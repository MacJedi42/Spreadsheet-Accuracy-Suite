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6.xml" ContentType="application/vnd.openxmlformats-officedocument.spreadsheetml.comments+xml"/>
  <Override PartName="/xl/comments7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showInkAnnotation="0" defaultThemeVersion="124226"/>
  <bookViews>
    <workbookView xWindow="0" yWindow="-15" windowWidth="4215" windowHeight="5625" tabRatio="915" activeTab="1"/>
  </bookViews>
  <sheets>
    <sheet name="summary" sheetId="6" r:id="rId1"/>
    <sheet name="REGIONAL PROJECT TEAM 3 years" sheetId="1" r:id="rId2"/>
    <sheet name="COMMUNICATIONS &amp; WSHOPS" sheetId="19" r:id="rId3"/>
    <sheet name="CROATIA 3 years" sheetId="4" r:id="rId4"/>
    <sheet name="B&amp;H 3 years" sheetId="7" r:id="rId5"/>
    <sheet name="SERBIA 3 years" sheetId="8" r:id="rId6"/>
    <sheet name="MONTENEGRO 3 years" sheetId="9" r:id="rId7"/>
    <sheet name="ALBANIA 3 years" sheetId="10" r:id="rId8"/>
    <sheet name="BP Training Serbia" sheetId="13" r:id="rId9"/>
    <sheet name="BP Training Albania" sheetId="14" r:id="rId10"/>
    <sheet name="BP Training Montenegro" sheetId="15" r:id="rId11"/>
    <sheet name="BP Training BiH" sheetId="16" r:id="rId12"/>
    <sheet name="BP Training Croatia" sheetId="17" r:id="rId13"/>
    <sheet name="training_budget" sheetId="12" r:id="rId14"/>
    <sheet name="Sheet1" sheetId="11" r:id="rId15"/>
  </sheets>
  <externalReferences>
    <externalReference r:id="rId16"/>
    <externalReference r:id="rId17"/>
  </externalReferences>
  <definedNames>
    <definedName name="_ZZ65536" localSheetId="12">[1]TotalExpenses!#REF!</definedName>
    <definedName name="_ZZ65536" localSheetId="2">[1]TotalExpenses!#REF!</definedName>
    <definedName name="_ZZ65536" localSheetId="13">[1]TotalExpenses!#REF!</definedName>
    <definedName name="_ZZ65536">[1]TotalExpenses!#REF!</definedName>
    <definedName name="a" localSheetId="2">[1]TotalExpenses!#REF!</definedName>
    <definedName name="a">[1]TotalExpenses!#REF!</definedName>
    <definedName name="_xlnm.Database" localSheetId="12">[2]A.XLS!#REF!</definedName>
    <definedName name="_xlnm.Database" localSheetId="2">[2]A.XLS!#REF!</definedName>
    <definedName name="_xlnm.Database" localSheetId="13">[2]A.XLS!#REF!</definedName>
    <definedName name="_xlnm.Database">[2]A.XLS!#REF!</definedName>
    <definedName name="July_99" localSheetId="2">#REF!</definedName>
    <definedName name="July_99">#REF!</definedName>
    <definedName name="_xlnm.Print_Area" localSheetId="12">'BP Training Croatia'!$A$1:$G$47</definedName>
    <definedName name="_xlnm.Print_Area" localSheetId="2">'COMMUNICATIONS &amp; WSHOPS'!$A$1:$O$46</definedName>
    <definedName name="_xlnm.Print_Area" localSheetId="1">'REGIONAL PROJECT TEAM 3 years'!$A$1:$O$45</definedName>
    <definedName name="_xlnm.Print_Area" localSheetId="0">summary!$A$1:$N$72</definedName>
    <definedName name="_xlnm.Print_Area" localSheetId="13">training_budget!$A$1:$G$43</definedName>
    <definedName name="PrintArea" localSheetId="2">#REF!</definedName>
    <definedName name="PrintArea">#REF!</definedName>
    <definedName name="Report" localSheetId="2">#REF!</definedName>
    <definedName name="Report">#REF!</definedName>
    <definedName name="spec" localSheetId="2">#REF!</definedName>
    <definedName name="spec">#REF!</definedName>
  </definedNames>
  <calcPr calcId="114210"/>
</workbook>
</file>

<file path=xl/calcChain.xml><?xml version="1.0" encoding="utf-8"?>
<calcChain xmlns="http://schemas.openxmlformats.org/spreadsheetml/2006/main">
  <c r="J36" i="1"/>
  <c r="G36"/>
  <c r="D36"/>
  <c r="C11"/>
  <c r="C10"/>
  <c r="J28" i="7"/>
  <c r="J28" i="8"/>
  <c r="J28" i="9"/>
  <c r="J28" i="10"/>
  <c r="G28" i="7"/>
  <c r="G28" i="8"/>
  <c r="G28" i="9"/>
  <c r="G28" i="10"/>
  <c r="D28" i="7"/>
  <c r="D28" i="8"/>
  <c r="D28" i="9"/>
  <c r="D28" i="10"/>
  <c r="D39"/>
  <c r="D39" i="9"/>
  <c r="D39" i="8"/>
  <c r="D39" i="7"/>
  <c r="C21" i="19"/>
  <c r="N20"/>
  <c r="M20"/>
  <c r="K20"/>
  <c r="H20"/>
  <c r="E20"/>
  <c r="F9" i="6"/>
  <c r="C9"/>
  <c r="B9"/>
  <c r="I63"/>
  <c r="F63"/>
  <c r="C63"/>
  <c r="N21" i="19"/>
  <c r="M21"/>
  <c r="O21"/>
  <c r="K21"/>
  <c r="H21"/>
  <c r="E21"/>
  <c r="P19"/>
  <c r="N19"/>
  <c r="M19"/>
  <c r="O19"/>
  <c r="K19"/>
  <c r="H19"/>
  <c r="E19"/>
  <c r="N18"/>
  <c r="I18"/>
  <c r="M18"/>
  <c r="O18"/>
  <c r="H18"/>
  <c r="E18"/>
  <c r="N17"/>
  <c r="M17"/>
  <c r="O17"/>
  <c r="K17"/>
  <c r="H17"/>
  <c r="E17"/>
  <c r="M52"/>
  <c r="J37"/>
  <c r="I38" i="6"/>
  <c r="G37" i="19"/>
  <c r="F38" i="6"/>
  <c r="D37" i="19"/>
  <c r="C38" i="6"/>
  <c r="N34" i="19"/>
  <c r="M34"/>
  <c r="K34"/>
  <c r="H34"/>
  <c r="E34"/>
  <c r="N33"/>
  <c r="M33"/>
  <c r="K33"/>
  <c r="H33"/>
  <c r="E33"/>
  <c r="N32"/>
  <c r="N31"/>
  <c r="E31"/>
  <c r="N30"/>
  <c r="N37"/>
  <c r="O29"/>
  <c r="K29"/>
  <c r="H29"/>
  <c r="J28"/>
  <c r="I28" i="6"/>
  <c r="G28" i="19"/>
  <c r="F28" i="6"/>
  <c r="D28" i="19"/>
  <c r="C28" i="6"/>
  <c r="M28"/>
  <c r="N27" i="19"/>
  <c r="M27"/>
  <c r="O27"/>
  <c r="K27"/>
  <c r="H27"/>
  <c r="E27"/>
  <c r="N26"/>
  <c r="M26"/>
  <c r="K26"/>
  <c r="H26"/>
  <c r="E26"/>
  <c r="N25"/>
  <c r="I28"/>
  <c r="K28"/>
  <c r="F28"/>
  <c r="H28"/>
  <c r="M25"/>
  <c r="O25"/>
  <c r="N24"/>
  <c r="M24"/>
  <c r="M28"/>
  <c r="K24"/>
  <c r="H24"/>
  <c r="E24"/>
  <c r="J22"/>
  <c r="I18" i="6"/>
  <c r="I22" i="19"/>
  <c r="G22"/>
  <c r="F18" i="6"/>
  <c r="F22" i="19"/>
  <c r="D22"/>
  <c r="C18" i="6"/>
  <c r="C22" i="19"/>
  <c r="N22"/>
  <c r="J15"/>
  <c r="G15"/>
  <c r="G49"/>
  <c r="G39"/>
  <c r="F49" i="6"/>
  <c r="D15" i="19"/>
  <c r="N14"/>
  <c r="K14"/>
  <c r="E14"/>
  <c r="N13"/>
  <c r="F13"/>
  <c r="E13"/>
  <c r="N12"/>
  <c r="N11"/>
  <c r="E11"/>
  <c r="N10"/>
  <c r="N9"/>
  <c r="E9"/>
  <c r="C15"/>
  <c r="N8"/>
  <c r="F8"/>
  <c r="E8"/>
  <c r="C14" i="1"/>
  <c r="N9"/>
  <c r="C9"/>
  <c r="E9"/>
  <c r="C10" i="10"/>
  <c r="E10"/>
  <c r="C9"/>
  <c r="E9"/>
  <c r="C10" i="9"/>
  <c r="E10"/>
  <c r="C9"/>
  <c r="E9"/>
  <c r="C10" i="8"/>
  <c r="C9"/>
  <c r="O34" i="19"/>
  <c r="K18"/>
  <c r="N15"/>
  <c r="D49"/>
  <c r="D39"/>
  <c r="J49"/>
  <c r="J39"/>
  <c r="I49" i="6"/>
  <c r="K22" i="19"/>
  <c r="N28"/>
  <c r="O33"/>
  <c r="M38" i="6"/>
  <c r="O20" i="19"/>
  <c r="E22"/>
  <c r="H22"/>
  <c r="E28" i="6"/>
  <c r="G28"/>
  <c r="H28"/>
  <c r="O26" i="19"/>
  <c r="N39"/>
  <c r="C49" i="6"/>
  <c r="M49"/>
  <c r="J28"/>
  <c r="M18"/>
  <c r="H18"/>
  <c r="D9"/>
  <c r="B18"/>
  <c r="D18"/>
  <c r="E18"/>
  <c r="G18"/>
  <c r="J18"/>
  <c r="M63"/>
  <c r="N49" i="19"/>
  <c r="N41"/>
  <c r="E15"/>
  <c r="O28"/>
  <c r="H8"/>
  <c r="F9"/>
  <c r="E10"/>
  <c r="F11"/>
  <c r="E9" i="6"/>
  <c r="G9"/>
  <c r="E12" i="19"/>
  <c r="H13"/>
  <c r="F14"/>
  <c r="H14"/>
  <c r="M22"/>
  <c r="O22"/>
  <c r="O24"/>
  <c r="E25"/>
  <c r="H25"/>
  <c r="K25"/>
  <c r="C28"/>
  <c r="E30"/>
  <c r="F31"/>
  <c r="E32"/>
  <c r="C37"/>
  <c r="B38" i="6"/>
  <c r="G41" i="19"/>
  <c r="D44"/>
  <c r="I8"/>
  <c r="M8"/>
  <c r="F10"/>
  <c r="F12"/>
  <c r="I13"/>
  <c r="K13"/>
  <c r="F30"/>
  <c r="F32"/>
  <c r="D41"/>
  <c r="J41"/>
  <c r="D43"/>
  <c r="D45"/>
  <c r="F9" i="1"/>
  <c r="I10" i="7"/>
  <c r="K10"/>
  <c r="F10"/>
  <c r="M9"/>
  <c r="E9"/>
  <c r="C10"/>
  <c r="M10"/>
  <c r="C10" i="4"/>
  <c r="I26" i="1"/>
  <c r="F26"/>
  <c r="C26"/>
  <c r="C16"/>
  <c r="F16"/>
  <c r="G37" i="13"/>
  <c r="G12" i="14"/>
  <c r="G37"/>
  <c r="G37" i="15"/>
  <c r="G12" i="17"/>
  <c r="G12" i="15"/>
  <c r="D38" i="6"/>
  <c r="E28" i="19"/>
  <c r="B28" i="6"/>
  <c r="L18"/>
  <c r="N18"/>
  <c r="D46" i="19"/>
  <c r="E37"/>
  <c r="I32"/>
  <c r="K32"/>
  <c r="H32"/>
  <c r="I10"/>
  <c r="K10"/>
  <c r="H10"/>
  <c r="K8"/>
  <c r="H31"/>
  <c r="I31"/>
  <c r="H9"/>
  <c r="I9"/>
  <c r="M14"/>
  <c r="O14"/>
  <c r="C49"/>
  <c r="F37"/>
  <c r="E38" i="6"/>
  <c r="G38"/>
  <c r="I30" i="19"/>
  <c r="H30"/>
  <c r="H37"/>
  <c r="I12"/>
  <c r="K12"/>
  <c r="H12"/>
  <c r="O8"/>
  <c r="H11"/>
  <c r="I11"/>
  <c r="E49"/>
  <c r="M13"/>
  <c r="O13"/>
  <c r="M32"/>
  <c r="O32"/>
  <c r="F15"/>
  <c r="H9" i="1"/>
  <c r="I9"/>
  <c r="K9"/>
  <c r="G12" i="13"/>
  <c r="G40"/>
  <c r="G18" i="16"/>
  <c r="G12"/>
  <c r="G37"/>
  <c r="G37" i="17"/>
  <c r="G45"/>
  <c r="G44"/>
  <c r="G43"/>
  <c r="G40"/>
  <c r="G31"/>
  <c r="G17"/>
  <c r="G21"/>
  <c r="G13"/>
  <c r="G10"/>
  <c r="G45" i="16"/>
  <c r="G44"/>
  <c r="G43"/>
  <c r="G40"/>
  <c r="G31"/>
  <c r="G17"/>
  <c r="G21"/>
  <c r="G13"/>
  <c r="G10"/>
  <c r="G14"/>
  <c r="G45" i="15"/>
  <c r="G44"/>
  <c r="G43"/>
  <c r="G40"/>
  <c r="G31"/>
  <c r="G17"/>
  <c r="G21"/>
  <c r="G13"/>
  <c r="G10"/>
  <c r="G45" i="14"/>
  <c r="G44"/>
  <c r="G43"/>
  <c r="G40"/>
  <c r="G31"/>
  <c r="G17"/>
  <c r="G21"/>
  <c r="G13"/>
  <c r="G10"/>
  <c r="G45" i="13"/>
  <c r="G44"/>
  <c r="G43"/>
  <c r="G31"/>
  <c r="G17"/>
  <c r="G21"/>
  <c r="G13"/>
  <c r="G10"/>
  <c r="G41" i="12"/>
  <c r="G40"/>
  <c r="G39"/>
  <c r="G34"/>
  <c r="G33"/>
  <c r="G32"/>
  <c r="G36"/>
  <c r="G28"/>
  <c r="G27"/>
  <c r="G26"/>
  <c r="G25"/>
  <c r="G24"/>
  <c r="G19"/>
  <c r="G18"/>
  <c r="G17"/>
  <c r="G21"/>
  <c r="G13"/>
  <c r="G12"/>
  <c r="G10"/>
  <c r="M9" i="1"/>
  <c r="O9"/>
  <c r="L28" i="6"/>
  <c r="N28"/>
  <c r="D28"/>
  <c r="K11" i="19"/>
  <c r="H9" i="6"/>
  <c r="C39" i="19"/>
  <c r="C41"/>
  <c r="F49"/>
  <c r="F39"/>
  <c r="H15"/>
  <c r="I37"/>
  <c r="H38" i="6"/>
  <c r="J38"/>
  <c r="K30" i="19"/>
  <c r="K9"/>
  <c r="M9"/>
  <c r="K31"/>
  <c r="M31"/>
  <c r="O31"/>
  <c r="M10"/>
  <c r="O10"/>
  <c r="M11"/>
  <c r="O11"/>
  <c r="M30"/>
  <c r="I15"/>
  <c r="M12"/>
  <c r="O12"/>
  <c r="G14" i="12"/>
  <c r="G29"/>
  <c r="G42"/>
  <c r="G14" i="13"/>
  <c r="G46"/>
  <c r="G46" i="14"/>
  <c r="G46" i="15"/>
  <c r="G46" i="16"/>
  <c r="G46" i="17"/>
  <c r="G14"/>
  <c r="G14" i="15"/>
  <c r="G14" i="14"/>
  <c r="G47"/>
  <c r="G47" i="16"/>
  <c r="G47" i="17"/>
  <c r="G47" i="13"/>
  <c r="G47" i="15"/>
  <c r="G43" i="12"/>
  <c r="L38" i="6"/>
  <c r="N38"/>
  <c r="C43" i="19"/>
  <c r="E43"/>
  <c r="H39"/>
  <c r="E49" i="6"/>
  <c r="B49"/>
  <c r="E39" i="19"/>
  <c r="E41"/>
  <c r="L9" i="6"/>
  <c r="F41" i="19"/>
  <c r="M37"/>
  <c r="O30"/>
  <c r="O37"/>
  <c r="I49"/>
  <c r="K15"/>
  <c r="O9"/>
  <c r="M15"/>
  <c r="H49"/>
  <c r="H41"/>
  <c r="K37"/>
  <c r="C44"/>
  <c r="F14" i="4"/>
  <c r="C14"/>
  <c r="C14" i="9"/>
  <c r="F14"/>
  <c r="C14" i="10"/>
  <c r="F14"/>
  <c r="C14" i="8"/>
  <c r="F14"/>
  <c r="C14" i="7"/>
  <c r="F14"/>
  <c r="F20"/>
  <c r="M20"/>
  <c r="C20"/>
  <c r="E20"/>
  <c r="F20" i="8"/>
  <c r="H20"/>
  <c r="F20" i="9"/>
  <c r="F20" i="10"/>
  <c r="F20" i="4"/>
  <c r="C20" i="8"/>
  <c r="M20"/>
  <c r="C20" i="9"/>
  <c r="C20" i="10"/>
  <c r="E20"/>
  <c r="C20" i="4"/>
  <c r="N20" i="7"/>
  <c r="K20"/>
  <c r="H20"/>
  <c r="N20" i="8"/>
  <c r="K20"/>
  <c r="E20"/>
  <c r="N20" i="9"/>
  <c r="K20"/>
  <c r="H20"/>
  <c r="E20"/>
  <c r="M20"/>
  <c r="O20"/>
  <c r="N20" i="10"/>
  <c r="K20"/>
  <c r="H20"/>
  <c r="M20"/>
  <c r="O20"/>
  <c r="N20" i="4"/>
  <c r="K20"/>
  <c r="H20"/>
  <c r="E20"/>
  <c r="M20"/>
  <c r="O20"/>
  <c r="G49" i="6"/>
  <c r="E63"/>
  <c r="G63"/>
  <c r="O20" i="8"/>
  <c r="I39" i="19"/>
  <c r="C45"/>
  <c r="D49" i="6"/>
  <c r="B63"/>
  <c r="E44" i="19"/>
  <c r="M49"/>
  <c r="O15"/>
  <c r="K49"/>
  <c r="O20" i="7"/>
  <c r="I51" i="6"/>
  <c r="F51"/>
  <c r="C51"/>
  <c r="I52"/>
  <c r="N28" i="8"/>
  <c r="I53" i="6"/>
  <c r="F53"/>
  <c r="I54"/>
  <c r="N28" i="10"/>
  <c r="C13"/>
  <c r="I13" i="9"/>
  <c r="I13" i="10"/>
  <c r="I13" i="8"/>
  <c r="F13" i="9"/>
  <c r="F13" i="10"/>
  <c r="F13" i="8"/>
  <c r="I13" i="7"/>
  <c r="F13"/>
  <c r="F13" i="4"/>
  <c r="C13"/>
  <c r="C31" i="1"/>
  <c r="F31"/>
  <c r="C36"/>
  <c r="I41" i="19"/>
  <c r="E45"/>
  <c r="C46"/>
  <c r="D63" i="6"/>
  <c r="E46" i="19"/>
  <c r="K39"/>
  <c r="K41"/>
  <c r="H49" i="6"/>
  <c r="H63"/>
  <c r="J63"/>
  <c r="M39" i="19"/>
  <c r="O39"/>
  <c r="O41"/>
  <c r="O49"/>
  <c r="M51" i="6"/>
  <c r="C54"/>
  <c r="F52"/>
  <c r="F54"/>
  <c r="N28" i="9"/>
  <c r="N28" i="7"/>
  <c r="C52" i="6"/>
  <c r="M52"/>
  <c r="C53"/>
  <c r="M53"/>
  <c r="I31" i="1"/>
  <c r="I36"/>
  <c r="F36"/>
  <c r="L63" i="6"/>
  <c r="N63"/>
  <c r="M41" i="19"/>
  <c r="J49" i="6"/>
  <c r="L49"/>
  <c r="N49"/>
  <c r="M54"/>
  <c r="F8" i="1"/>
  <c r="I8"/>
  <c r="F11"/>
  <c r="I11"/>
  <c r="F15"/>
  <c r="I15"/>
  <c r="I21" i="9"/>
  <c r="K21"/>
  <c r="I21" i="10"/>
  <c r="I21" i="8"/>
  <c r="F21" i="9"/>
  <c r="F21" i="10"/>
  <c r="M21"/>
  <c r="F21" i="8"/>
  <c r="C21" i="9"/>
  <c r="E21"/>
  <c r="C21" i="10"/>
  <c r="C21" i="8"/>
  <c r="M21"/>
  <c r="I21" i="4"/>
  <c r="F21"/>
  <c r="C21"/>
  <c r="I21" i="7"/>
  <c r="K21"/>
  <c r="F21"/>
  <c r="C21"/>
  <c r="E21"/>
  <c r="N21"/>
  <c r="M21"/>
  <c r="O21"/>
  <c r="H21"/>
  <c r="N21" i="8"/>
  <c r="K21"/>
  <c r="H21"/>
  <c r="N21" i="9"/>
  <c r="M21"/>
  <c r="H21"/>
  <c r="N21" i="10"/>
  <c r="K21"/>
  <c r="E21"/>
  <c r="N21" i="4"/>
  <c r="M21"/>
  <c r="K21"/>
  <c r="H21"/>
  <c r="E21"/>
  <c r="N25" i="1"/>
  <c r="M25"/>
  <c r="K25"/>
  <c r="H25"/>
  <c r="E25"/>
  <c r="C12"/>
  <c r="E12"/>
  <c r="C13"/>
  <c r="F13"/>
  <c r="I13"/>
  <c r="N12"/>
  <c r="N13"/>
  <c r="C19" i="4"/>
  <c r="N27" i="1"/>
  <c r="M27"/>
  <c r="K27"/>
  <c r="H27"/>
  <c r="E27"/>
  <c r="F15" i="10"/>
  <c r="F15" i="9"/>
  <c r="F15" i="8"/>
  <c r="H15"/>
  <c r="F15" i="7"/>
  <c r="P21" i="1"/>
  <c r="E20"/>
  <c r="H20"/>
  <c r="K20"/>
  <c r="M20"/>
  <c r="N20"/>
  <c r="K16"/>
  <c r="H16"/>
  <c r="E16"/>
  <c r="N14"/>
  <c r="F14"/>
  <c r="N15"/>
  <c r="M15"/>
  <c r="K15"/>
  <c r="H15"/>
  <c r="E15"/>
  <c r="N19"/>
  <c r="M19"/>
  <c r="K19"/>
  <c r="H19"/>
  <c r="E19"/>
  <c r="N21"/>
  <c r="M21"/>
  <c r="K21"/>
  <c r="H21"/>
  <c r="E21"/>
  <c r="N22"/>
  <c r="M22"/>
  <c r="K22"/>
  <c r="H22"/>
  <c r="E22"/>
  <c r="N26"/>
  <c r="M26"/>
  <c r="K26"/>
  <c r="H26"/>
  <c r="E26"/>
  <c r="I19" i="7"/>
  <c r="I19" i="8"/>
  <c r="I19" i="9"/>
  <c r="I19" i="10"/>
  <c r="I19" i="4"/>
  <c r="F19" i="7"/>
  <c r="F19" i="8"/>
  <c r="F19" i="9"/>
  <c r="H19"/>
  <c r="F19" i="10"/>
  <c r="F19" i="4"/>
  <c r="C19" i="7"/>
  <c r="C19" i="8"/>
  <c r="C19" i="9"/>
  <c r="C19" i="10"/>
  <c r="E19"/>
  <c r="N32" i="1"/>
  <c r="M32"/>
  <c r="K32"/>
  <c r="H32"/>
  <c r="E32"/>
  <c r="F10"/>
  <c r="I10"/>
  <c r="C22" i="7"/>
  <c r="E22"/>
  <c r="C22" i="8"/>
  <c r="C22" i="9"/>
  <c r="C22" i="10"/>
  <c r="C22" i="4"/>
  <c r="E22"/>
  <c r="I22" i="7"/>
  <c r="K22"/>
  <c r="I22" i="8"/>
  <c r="K22"/>
  <c r="I22" i="9"/>
  <c r="I22" i="10"/>
  <c r="K22"/>
  <c r="I22" i="4"/>
  <c r="F22" i="7"/>
  <c r="H22"/>
  <c r="F22" i="8"/>
  <c r="H22"/>
  <c r="F22" i="9"/>
  <c r="H22"/>
  <c r="F22" i="10"/>
  <c r="F22" i="4"/>
  <c r="H22"/>
  <c r="N22" i="7"/>
  <c r="N22" i="8"/>
  <c r="E22"/>
  <c r="N22" i="9"/>
  <c r="K22"/>
  <c r="E22"/>
  <c r="N22" i="10"/>
  <c r="H22"/>
  <c r="E22"/>
  <c r="M22"/>
  <c r="N22" i="4"/>
  <c r="K22"/>
  <c r="I15" i="7"/>
  <c r="I17"/>
  <c r="I15" i="8"/>
  <c r="I17"/>
  <c r="I15" i="9"/>
  <c r="I15" i="10"/>
  <c r="M15"/>
  <c r="I15" i="4"/>
  <c r="F15"/>
  <c r="N15" i="7"/>
  <c r="K15"/>
  <c r="H15"/>
  <c r="E15"/>
  <c r="N15" i="8"/>
  <c r="K15"/>
  <c r="E15"/>
  <c r="N15" i="9"/>
  <c r="M15"/>
  <c r="K15"/>
  <c r="H15"/>
  <c r="E15"/>
  <c r="N15" i="10"/>
  <c r="H15"/>
  <c r="E15"/>
  <c r="N15" i="4"/>
  <c r="K15"/>
  <c r="E15"/>
  <c r="F17" i="7"/>
  <c r="C17"/>
  <c r="F17" i="8"/>
  <c r="F17" i="10"/>
  <c r="C17" i="8"/>
  <c r="C17" i="9"/>
  <c r="C17" i="10"/>
  <c r="N14" i="7"/>
  <c r="K14"/>
  <c r="H14"/>
  <c r="E14"/>
  <c r="N14" i="8"/>
  <c r="K14"/>
  <c r="H14"/>
  <c r="N14" i="9"/>
  <c r="K14"/>
  <c r="H14"/>
  <c r="E14"/>
  <c r="N14" i="10"/>
  <c r="K14"/>
  <c r="M14"/>
  <c r="N14" i="4"/>
  <c r="K14"/>
  <c r="H14"/>
  <c r="E14"/>
  <c r="N13" i="7"/>
  <c r="K13"/>
  <c r="H13"/>
  <c r="E13"/>
  <c r="M13"/>
  <c r="O13"/>
  <c r="N13" i="8"/>
  <c r="M13"/>
  <c r="K13"/>
  <c r="H13"/>
  <c r="E13"/>
  <c r="N13" i="9"/>
  <c r="M13"/>
  <c r="K13"/>
  <c r="H13"/>
  <c r="E13"/>
  <c r="N13" i="10"/>
  <c r="M13"/>
  <c r="K13"/>
  <c r="H13"/>
  <c r="E13"/>
  <c r="N13" i="4"/>
  <c r="K13"/>
  <c r="H13"/>
  <c r="E13"/>
  <c r="M13"/>
  <c r="H10" i="7"/>
  <c r="E10"/>
  <c r="I10" i="8"/>
  <c r="K10"/>
  <c r="I10" i="9"/>
  <c r="K10"/>
  <c r="I10" i="10"/>
  <c r="K10"/>
  <c r="I10" i="4"/>
  <c r="F10" i="8"/>
  <c r="M10"/>
  <c r="F10" i="9"/>
  <c r="H10"/>
  <c r="F10" i="10"/>
  <c r="F10" i="4"/>
  <c r="M10"/>
  <c r="N10" i="10"/>
  <c r="N10" i="8"/>
  <c r="H10"/>
  <c r="N10" i="9"/>
  <c r="M10" i="10"/>
  <c r="H10"/>
  <c r="N10" i="4"/>
  <c r="K10"/>
  <c r="E10"/>
  <c r="N9" i="8"/>
  <c r="H9" i="7"/>
  <c r="N9"/>
  <c r="O9"/>
  <c r="M9" i="8"/>
  <c r="K9"/>
  <c r="H9"/>
  <c r="N9" i="9"/>
  <c r="M9"/>
  <c r="K9"/>
  <c r="H9"/>
  <c r="N9" i="10"/>
  <c r="M9"/>
  <c r="K9"/>
  <c r="H9"/>
  <c r="N9" i="4"/>
  <c r="M9"/>
  <c r="K9"/>
  <c r="H9"/>
  <c r="E9"/>
  <c r="I8" i="7"/>
  <c r="F8"/>
  <c r="C8"/>
  <c r="I8" i="4"/>
  <c r="K8"/>
  <c r="I8" i="8"/>
  <c r="I8" i="9"/>
  <c r="K8"/>
  <c r="I8" i="10"/>
  <c r="F8" i="4"/>
  <c r="H8"/>
  <c r="F8" i="8"/>
  <c r="F8" i="9"/>
  <c r="H8"/>
  <c r="F8" i="10"/>
  <c r="C8" i="4"/>
  <c r="M8"/>
  <c r="C8" i="8"/>
  <c r="C11"/>
  <c r="C8" i="9"/>
  <c r="M8"/>
  <c r="C8" i="10"/>
  <c r="N8" i="7"/>
  <c r="K8"/>
  <c r="E8"/>
  <c r="N8" i="8"/>
  <c r="M8"/>
  <c r="O8"/>
  <c r="K8"/>
  <c r="H8"/>
  <c r="E8"/>
  <c r="N8" i="9"/>
  <c r="N8" i="10"/>
  <c r="M8"/>
  <c r="K8"/>
  <c r="H8"/>
  <c r="E8"/>
  <c r="N8" i="4"/>
  <c r="N11"/>
  <c r="E8"/>
  <c r="E11"/>
  <c r="D44" i="6"/>
  <c r="G34"/>
  <c r="O35" i="10"/>
  <c r="K35"/>
  <c r="H35"/>
  <c r="O34"/>
  <c r="K34"/>
  <c r="H34"/>
  <c r="O33"/>
  <c r="K33"/>
  <c r="H33"/>
  <c r="O32"/>
  <c r="K32"/>
  <c r="H32"/>
  <c r="J23"/>
  <c r="I33" i="6"/>
  <c r="G23" i="10"/>
  <c r="F33" i="6"/>
  <c r="D23" i="10"/>
  <c r="C33" i="6"/>
  <c r="N19" i="10"/>
  <c r="K19"/>
  <c r="F23"/>
  <c r="E33" i="6"/>
  <c r="C23" i="10"/>
  <c r="B33" i="6"/>
  <c r="J17" i="10"/>
  <c r="G17"/>
  <c r="D17"/>
  <c r="C23" i="6"/>
  <c r="N16" i="10"/>
  <c r="M16"/>
  <c r="K16"/>
  <c r="H16"/>
  <c r="E16"/>
  <c r="J11"/>
  <c r="G11"/>
  <c r="D11"/>
  <c r="O35" i="9"/>
  <c r="K35"/>
  <c r="H35"/>
  <c r="O34"/>
  <c r="K34"/>
  <c r="H34"/>
  <c r="O33"/>
  <c r="K33"/>
  <c r="H33"/>
  <c r="O32"/>
  <c r="K32"/>
  <c r="H32"/>
  <c r="J23"/>
  <c r="I32" i="6"/>
  <c r="I23" i="9"/>
  <c r="H32" i="6"/>
  <c r="G23" i="9"/>
  <c r="F32" i="6"/>
  <c r="D23" i="9"/>
  <c r="C32" i="6"/>
  <c r="N19" i="9"/>
  <c r="K19"/>
  <c r="F23"/>
  <c r="E32" i="6"/>
  <c r="E19" i="9"/>
  <c r="J17"/>
  <c r="G17"/>
  <c r="D17"/>
  <c r="C22" i="6"/>
  <c r="N16" i="9"/>
  <c r="M16"/>
  <c r="K16"/>
  <c r="H16"/>
  <c r="E16"/>
  <c r="J11"/>
  <c r="G11"/>
  <c r="D11"/>
  <c r="N11"/>
  <c r="O35" i="8"/>
  <c r="K35"/>
  <c r="H35"/>
  <c r="O34"/>
  <c r="K34"/>
  <c r="H34"/>
  <c r="O33"/>
  <c r="K33"/>
  <c r="H33"/>
  <c r="O32"/>
  <c r="K32"/>
  <c r="H32"/>
  <c r="J23"/>
  <c r="I31" i="6"/>
  <c r="I23" i="8"/>
  <c r="H31" i="6"/>
  <c r="G23" i="8"/>
  <c r="F31" i="6"/>
  <c r="D23" i="8"/>
  <c r="C31" i="6"/>
  <c r="N19" i="8"/>
  <c r="K19"/>
  <c r="F23"/>
  <c r="E31" i="6"/>
  <c r="G31"/>
  <c r="C23" i="8"/>
  <c r="B31" i="6"/>
  <c r="J17" i="8"/>
  <c r="G17"/>
  <c r="D17"/>
  <c r="C21" i="6"/>
  <c r="N16" i="8"/>
  <c r="M16"/>
  <c r="K16"/>
  <c r="H16"/>
  <c r="E16"/>
  <c r="J11"/>
  <c r="G11"/>
  <c r="O35" i="7"/>
  <c r="K35"/>
  <c r="H35"/>
  <c r="O34"/>
  <c r="K34"/>
  <c r="H34"/>
  <c r="O33"/>
  <c r="K33"/>
  <c r="H33"/>
  <c r="O32"/>
  <c r="K32"/>
  <c r="H32"/>
  <c r="J23"/>
  <c r="I30" i="6"/>
  <c r="I23" i="7"/>
  <c r="H30" i="6"/>
  <c r="G23" i="7"/>
  <c r="F30" i="6"/>
  <c r="D23" i="7"/>
  <c r="C30" i="6"/>
  <c r="N19" i="7"/>
  <c r="K19"/>
  <c r="J17"/>
  <c r="G17"/>
  <c r="D17"/>
  <c r="C20" i="6"/>
  <c r="N16" i="7"/>
  <c r="M16"/>
  <c r="K16"/>
  <c r="H16"/>
  <c r="E16"/>
  <c r="G11"/>
  <c r="I17" i="4"/>
  <c r="M11" i="1"/>
  <c r="N11"/>
  <c r="O11"/>
  <c r="K11"/>
  <c r="H11"/>
  <c r="E11"/>
  <c r="C11" i="4"/>
  <c r="C17"/>
  <c r="C23"/>
  <c r="B29" i="6"/>
  <c r="F23" i="4"/>
  <c r="E29" i="6"/>
  <c r="I23" i="4"/>
  <c r="H29" i="6"/>
  <c r="C17" i="1"/>
  <c r="C23"/>
  <c r="C29"/>
  <c r="B27" i="6"/>
  <c r="F23" i="1"/>
  <c r="F29"/>
  <c r="E27" i="6"/>
  <c r="I23" i="1"/>
  <c r="I29"/>
  <c r="H27" i="6"/>
  <c r="J11" i="4"/>
  <c r="I9" i="6"/>
  <c r="J17" i="4"/>
  <c r="J23"/>
  <c r="I29" i="6"/>
  <c r="G11" i="4"/>
  <c r="G17"/>
  <c r="G23"/>
  <c r="F29" i="6"/>
  <c r="D11" i="4"/>
  <c r="D17"/>
  <c r="D23"/>
  <c r="C29" i="6"/>
  <c r="J17" i="1"/>
  <c r="J23"/>
  <c r="J29"/>
  <c r="G17"/>
  <c r="F8" i="6"/>
  <c r="G23" i="1"/>
  <c r="G29"/>
  <c r="F27" i="6"/>
  <c r="D17" i="1"/>
  <c r="D23"/>
  <c r="E23"/>
  <c r="D29"/>
  <c r="M16"/>
  <c r="N16"/>
  <c r="M16" i="4"/>
  <c r="N16"/>
  <c r="N17"/>
  <c r="N19"/>
  <c r="K16"/>
  <c r="K17"/>
  <c r="K19"/>
  <c r="H16"/>
  <c r="H19"/>
  <c r="H23"/>
  <c r="E16"/>
  <c r="E19"/>
  <c r="N10" i="1"/>
  <c r="N31"/>
  <c r="N33"/>
  <c r="N8"/>
  <c r="N28"/>
  <c r="M8"/>
  <c r="O8"/>
  <c r="M10"/>
  <c r="O10"/>
  <c r="M31"/>
  <c r="M33"/>
  <c r="M28"/>
  <c r="M29"/>
  <c r="K29"/>
  <c r="K10"/>
  <c r="K31"/>
  <c r="K36"/>
  <c r="K33"/>
  <c r="H10"/>
  <c r="H31"/>
  <c r="H33"/>
  <c r="E17"/>
  <c r="E10"/>
  <c r="E31"/>
  <c r="E33"/>
  <c r="E29"/>
  <c r="B8" i="6"/>
  <c r="B17"/>
  <c r="H17"/>
  <c r="C8"/>
  <c r="I8"/>
  <c r="F17"/>
  <c r="I17"/>
  <c r="C27"/>
  <c r="C35"/>
  <c r="I27"/>
  <c r="I35"/>
  <c r="G44"/>
  <c r="O33" i="1"/>
  <c r="O35" i="4"/>
  <c r="O34"/>
  <c r="O33"/>
  <c r="O32"/>
  <c r="K35"/>
  <c r="K34"/>
  <c r="K33"/>
  <c r="K32"/>
  <c r="H35"/>
  <c r="H34"/>
  <c r="H33"/>
  <c r="H32"/>
  <c r="E8" i="1"/>
  <c r="O30"/>
  <c r="K30"/>
  <c r="K28"/>
  <c r="K8"/>
  <c r="H30"/>
  <c r="H28"/>
  <c r="H8"/>
  <c r="E28"/>
  <c r="E17" i="6"/>
  <c r="O19" i="1"/>
  <c r="O16" i="10"/>
  <c r="O16" i="8"/>
  <c r="H17" i="9"/>
  <c r="E11" i="7"/>
  <c r="O16" i="9"/>
  <c r="N23"/>
  <c r="O14" i="10"/>
  <c r="O16" i="7"/>
  <c r="N23"/>
  <c r="O13" i="8"/>
  <c r="E17" i="7"/>
  <c r="M14" i="4"/>
  <c r="O14"/>
  <c r="M14" i="9"/>
  <c r="O14"/>
  <c r="O13" i="4"/>
  <c r="N17" i="1"/>
  <c r="O9" i="9"/>
  <c r="O9" i="10"/>
  <c r="F11" i="6"/>
  <c r="I23"/>
  <c r="F14"/>
  <c r="N17" i="9"/>
  <c r="I13" i="6"/>
  <c r="C13"/>
  <c r="I21"/>
  <c r="I12"/>
  <c r="F12"/>
  <c r="N17" i="7"/>
  <c r="K23" i="4"/>
  <c r="F11"/>
  <c r="N23"/>
  <c r="N23" i="1"/>
  <c r="H23"/>
  <c r="N29"/>
  <c r="I11" i="10"/>
  <c r="C11"/>
  <c r="H19"/>
  <c r="I11" i="9"/>
  <c r="C11"/>
  <c r="K17"/>
  <c r="I17"/>
  <c r="E19" i="8"/>
  <c r="H19"/>
  <c r="M19"/>
  <c r="O19"/>
  <c r="I11" i="7"/>
  <c r="C11"/>
  <c r="E19"/>
  <c r="M19"/>
  <c r="O19"/>
  <c r="H22" i="6"/>
  <c r="F11" i="9"/>
  <c r="F11" i="7"/>
  <c r="B23" i="6"/>
  <c r="C39" i="10"/>
  <c r="C28"/>
  <c r="B21" i="6"/>
  <c r="C39" i="8"/>
  <c r="C28"/>
  <c r="B22" i="6"/>
  <c r="C39" i="9"/>
  <c r="C28"/>
  <c r="B20" i="6"/>
  <c r="C39" i="7"/>
  <c r="C28"/>
  <c r="N36" i="1"/>
  <c r="K23"/>
  <c r="M8" i="7"/>
  <c r="M15" i="4"/>
  <c r="O22" i="10"/>
  <c r="F35" i="6"/>
  <c r="M27"/>
  <c r="O31" i="1"/>
  <c r="M36"/>
  <c r="M9" i="6"/>
  <c r="N9"/>
  <c r="J9"/>
  <c r="M17" i="9"/>
  <c r="C17" i="6"/>
  <c r="M17"/>
  <c r="E36" i="1"/>
  <c r="H36"/>
  <c r="H10" i="4"/>
  <c r="H11"/>
  <c r="O21"/>
  <c r="O21" i="9"/>
  <c r="E21" i="8"/>
  <c r="E23"/>
  <c r="I18" i="9"/>
  <c r="M18"/>
  <c r="F19" i="6"/>
  <c r="H19"/>
  <c r="F20"/>
  <c r="F21"/>
  <c r="F22"/>
  <c r="J18" i="10"/>
  <c r="N18"/>
  <c r="E23" i="6"/>
  <c r="C19"/>
  <c r="C25"/>
  <c r="I19"/>
  <c r="B19"/>
  <c r="B25"/>
  <c r="J18" i="7"/>
  <c r="N18"/>
  <c r="J18" i="8"/>
  <c r="N18"/>
  <c r="J18" i="9"/>
  <c r="N18"/>
  <c r="F23" i="6"/>
  <c r="F25"/>
  <c r="E21"/>
  <c r="E20"/>
  <c r="O21" i="1"/>
  <c r="J17" i="6"/>
  <c r="L17"/>
  <c r="M10" i="9"/>
  <c r="O10"/>
  <c r="O15"/>
  <c r="N10" i="7"/>
  <c r="O10"/>
  <c r="K9"/>
  <c r="J11"/>
  <c r="I11" i="6"/>
  <c r="O28" i="1"/>
  <c r="O26"/>
  <c r="K23" i="7"/>
  <c r="E23" i="9"/>
  <c r="K23"/>
  <c r="O29" i="1"/>
  <c r="H15" i="4"/>
  <c r="H17"/>
  <c r="K15" i="10"/>
  <c r="K17"/>
  <c r="O32" i="1"/>
  <c r="M19" i="4"/>
  <c r="M23" i="1"/>
  <c r="E13"/>
  <c r="H21" i="10"/>
  <c r="H23"/>
  <c r="O20" i="1"/>
  <c r="H13" i="6"/>
  <c r="J13"/>
  <c r="H14"/>
  <c r="E10"/>
  <c r="C10"/>
  <c r="I10"/>
  <c r="F10"/>
  <c r="B10"/>
  <c r="D33"/>
  <c r="O9" i="4"/>
  <c r="E8" i="9"/>
  <c r="E11"/>
  <c r="M8" i="6"/>
  <c r="E14" i="1"/>
  <c r="H14"/>
  <c r="I14"/>
  <c r="G17" i="6"/>
  <c r="D27"/>
  <c r="H29" i="1"/>
  <c r="G27" i="6"/>
  <c r="O25" i="1"/>
  <c r="O10" i="4"/>
  <c r="N17" i="10"/>
  <c r="O8"/>
  <c r="O21"/>
  <c r="O21" i="8"/>
  <c r="M30" i="6"/>
  <c r="J30"/>
  <c r="J27"/>
  <c r="L27"/>
  <c r="O15" i="1"/>
  <c r="E23" i="7"/>
  <c r="M32" i="6"/>
  <c r="J32"/>
  <c r="M23"/>
  <c r="O9" i="8"/>
  <c r="N11" i="7"/>
  <c r="E17" i="9"/>
  <c r="H17" i="8"/>
  <c r="H17" i="7"/>
  <c r="M15"/>
  <c r="O15"/>
  <c r="F17" i="4"/>
  <c r="M22"/>
  <c r="O22"/>
  <c r="N23" i="10"/>
  <c r="M22" i="8"/>
  <c r="O22"/>
  <c r="D26" i="4"/>
  <c r="C39" i="6"/>
  <c r="O8" i="4"/>
  <c r="N11" i="8"/>
  <c r="F11" i="10"/>
  <c r="F11" i="8"/>
  <c r="K11" i="10"/>
  <c r="D11" i="7"/>
  <c r="E17" i="4"/>
  <c r="O13" i="10"/>
  <c r="O13" i="9"/>
  <c r="K17" i="8"/>
  <c r="N17"/>
  <c r="K17" i="7"/>
  <c r="E23" i="4"/>
  <c r="M22" i="9"/>
  <c r="O22"/>
  <c r="M22" i="7"/>
  <c r="M23"/>
  <c r="E23" i="10"/>
  <c r="F23" i="7"/>
  <c r="E30" i="6"/>
  <c r="G30"/>
  <c r="I23" i="10"/>
  <c r="H33" i="6"/>
  <c r="H35"/>
  <c r="O15" i="10"/>
  <c r="M17"/>
  <c r="O8" i="9"/>
  <c r="M11"/>
  <c r="M11" i="7"/>
  <c r="O8"/>
  <c r="N11" i="10"/>
  <c r="O10"/>
  <c r="O22" i="7"/>
  <c r="M23" i="4"/>
  <c r="O19"/>
  <c r="G29" i="6"/>
  <c r="O17" i="10"/>
  <c r="H23" i="9"/>
  <c r="E11" i="10"/>
  <c r="K23" i="8"/>
  <c r="K23" i="10"/>
  <c r="E11" i="6"/>
  <c r="G11"/>
  <c r="E13"/>
  <c r="H19" i="7"/>
  <c r="H23"/>
  <c r="B11" i="6"/>
  <c r="H23" i="8"/>
  <c r="I11"/>
  <c r="M19" i="9"/>
  <c r="I17" i="10"/>
  <c r="M19"/>
  <c r="B14" i="6"/>
  <c r="J26" i="4"/>
  <c r="J39"/>
  <c r="J28"/>
  <c r="I50" i="6"/>
  <c r="I20"/>
  <c r="F13"/>
  <c r="M13"/>
  <c r="I22"/>
  <c r="J22"/>
  <c r="C14"/>
  <c r="I14"/>
  <c r="J14"/>
  <c r="M14" i="7"/>
  <c r="E14" i="10"/>
  <c r="E17"/>
  <c r="M14" i="8"/>
  <c r="O16" i="4"/>
  <c r="C23" i="7"/>
  <c r="B30" i="6"/>
  <c r="D30"/>
  <c r="D11" i="8"/>
  <c r="N23"/>
  <c r="C23" i="9"/>
  <c r="H8" i="7"/>
  <c r="H11"/>
  <c r="E9" i="8"/>
  <c r="E10"/>
  <c r="H14" i="10"/>
  <c r="H17"/>
  <c r="F17" i="9"/>
  <c r="M15" i="8"/>
  <c r="O15"/>
  <c r="D8" i="6"/>
  <c r="F12" i="1"/>
  <c r="I12"/>
  <c r="K13"/>
  <c r="M13"/>
  <c r="O27"/>
  <c r="D31" i="6"/>
  <c r="L31"/>
  <c r="M31"/>
  <c r="J31"/>
  <c r="O10" i="8"/>
  <c r="M11"/>
  <c r="O11"/>
  <c r="H11"/>
  <c r="H11" i="9"/>
  <c r="E14" i="6"/>
  <c r="G14"/>
  <c r="H11"/>
  <c r="K11" i="7"/>
  <c r="E14" i="8"/>
  <c r="E17"/>
  <c r="O23" i="7"/>
  <c r="H11" i="10"/>
  <c r="K11" i="8"/>
  <c r="K11" i="9"/>
  <c r="M21" i="6"/>
  <c r="N17"/>
  <c r="G32"/>
  <c r="O23" i="8"/>
  <c r="M17" i="4"/>
  <c r="O23" i="1"/>
  <c r="O22"/>
  <c r="G10" i="6"/>
  <c r="J29"/>
  <c r="M29"/>
  <c r="O23" i="4"/>
  <c r="G26"/>
  <c r="G39"/>
  <c r="G28"/>
  <c r="F50" i="6"/>
  <c r="M10"/>
  <c r="I11" i="4"/>
  <c r="K11"/>
  <c r="O16" i="1"/>
  <c r="O15" i="4"/>
  <c r="G23" i="6"/>
  <c r="G21"/>
  <c r="C48" i="1"/>
  <c r="C38"/>
  <c r="C40"/>
  <c r="M19" i="6"/>
  <c r="J19"/>
  <c r="D29"/>
  <c r="L29"/>
  <c r="D10"/>
  <c r="L33"/>
  <c r="G33"/>
  <c r="D23"/>
  <c r="D20"/>
  <c r="O17" i="9"/>
  <c r="J48" i="1"/>
  <c r="J38"/>
  <c r="I48" i="6"/>
  <c r="D48" i="1"/>
  <c r="D38"/>
  <c r="D19" i="6"/>
  <c r="L30"/>
  <c r="N30"/>
  <c r="J33"/>
  <c r="M33"/>
  <c r="D22"/>
  <c r="D21"/>
  <c r="G20"/>
  <c r="I18" i="8"/>
  <c r="M18"/>
  <c r="H21" i="6"/>
  <c r="J21"/>
  <c r="I18" i="7"/>
  <c r="M18"/>
  <c r="H20" i="6"/>
  <c r="L20"/>
  <c r="E48" i="1"/>
  <c r="B12" i="6"/>
  <c r="H12"/>
  <c r="J12"/>
  <c r="B13"/>
  <c r="J26" i="7"/>
  <c r="G26" i="10"/>
  <c r="G39"/>
  <c r="J26" i="9"/>
  <c r="J39"/>
  <c r="G26" i="8"/>
  <c r="G39"/>
  <c r="G26" i="7"/>
  <c r="G39"/>
  <c r="J26" i="10"/>
  <c r="J39"/>
  <c r="G26" i="9"/>
  <c r="G39"/>
  <c r="J26" i="8"/>
  <c r="J39"/>
  <c r="I55" i="6"/>
  <c r="D17"/>
  <c r="J39" i="7"/>
  <c r="D39" i="4"/>
  <c r="D28"/>
  <c r="D32"/>
  <c r="O36" i="1"/>
  <c r="E22" i="6"/>
  <c r="E19"/>
  <c r="N28" i="4"/>
  <c r="C50" i="6"/>
  <c r="M50"/>
  <c r="C48"/>
  <c r="E38" i="1"/>
  <c r="M35" i="6"/>
  <c r="E25"/>
  <c r="B15"/>
  <c r="I15"/>
  <c r="D25"/>
  <c r="I25"/>
  <c r="F15"/>
  <c r="J35"/>
  <c r="N27"/>
  <c r="G35"/>
  <c r="E35"/>
  <c r="B32"/>
  <c r="L32"/>
  <c r="N32"/>
  <c r="O11" i="9"/>
  <c r="B48" i="6"/>
  <c r="E40" i="1"/>
  <c r="C11" i="6"/>
  <c r="E12"/>
  <c r="G12"/>
  <c r="G48" i="1"/>
  <c r="G38"/>
  <c r="F48" i="6"/>
  <c r="F55"/>
  <c r="M14" i="1"/>
  <c r="O14"/>
  <c r="K14"/>
  <c r="D30" i="4"/>
  <c r="C64" i="6"/>
  <c r="M22"/>
  <c r="M20"/>
  <c r="E11" i="8"/>
  <c r="O17" i="4"/>
  <c r="M14" i="6"/>
  <c r="O11" i="7"/>
  <c r="M23" i="8"/>
  <c r="C12" i="6"/>
  <c r="M12"/>
  <c r="O14" i="8"/>
  <c r="O17"/>
  <c r="M17"/>
  <c r="O14" i="7"/>
  <c r="O17"/>
  <c r="M17"/>
  <c r="O11" i="10"/>
  <c r="M11"/>
  <c r="M23"/>
  <c r="O19"/>
  <c r="O23"/>
  <c r="O19" i="9"/>
  <c r="O23"/>
  <c r="M23"/>
  <c r="H23" i="6"/>
  <c r="H25"/>
  <c r="I18" i="10"/>
  <c r="M18"/>
  <c r="D32" i="6"/>
  <c r="D35"/>
  <c r="L14"/>
  <c r="D14"/>
  <c r="D11"/>
  <c r="G13"/>
  <c r="H12" i="1"/>
  <c r="O13"/>
  <c r="H13"/>
  <c r="F17"/>
  <c r="J11" i="6"/>
  <c r="L11"/>
  <c r="N31"/>
  <c r="I39"/>
  <c r="J30" i="4"/>
  <c r="I64" i="6"/>
  <c r="D34" i="4"/>
  <c r="F39" i="6"/>
  <c r="G30" i="4"/>
  <c r="F64" i="6"/>
  <c r="D33" i="4"/>
  <c r="M11"/>
  <c r="O11"/>
  <c r="H10" i="6"/>
  <c r="N26" i="4"/>
  <c r="N39"/>
  <c r="I41" i="6"/>
  <c r="J30" i="8"/>
  <c r="I66" i="6"/>
  <c r="D34" i="8"/>
  <c r="K26" i="9"/>
  <c r="K39"/>
  <c r="I26"/>
  <c r="I39"/>
  <c r="I28"/>
  <c r="K28"/>
  <c r="J30" i="10"/>
  <c r="I68" i="6"/>
  <c r="I43"/>
  <c r="D34" i="10"/>
  <c r="F40" i="6"/>
  <c r="D33" i="7"/>
  <c r="G30"/>
  <c r="F65" i="6"/>
  <c r="I42"/>
  <c r="J30" i="9"/>
  <c r="I67" i="6"/>
  <c r="D34" i="9"/>
  <c r="K26" i="10"/>
  <c r="K39"/>
  <c r="I26"/>
  <c r="I39"/>
  <c r="I28"/>
  <c r="K28"/>
  <c r="I40" i="6"/>
  <c r="J30" i="7"/>
  <c r="I65" i="6"/>
  <c r="D34" i="7"/>
  <c r="D13" i="6"/>
  <c r="L13"/>
  <c r="N13"/>
  <c r="L12"/>
  <c r="N12"/>
  <c r="D12"/>
  <c r="D44" i="1"/>
  <c r="J40"/>
  <c r="I62" i="6"/>
  <c r="I37"/>
  <c r="K26" i="8"/>
  <c r="K39"/>
  <c r="I26"/>
  <c r="I39"/>
  <c r="I28"/>
  <c r="K28"/>
  <c r="K26" i="7"/>
  <c r="K39"/>
  <c r="I26"/>
  <c r="I39"/>
  <c r="I28"/>
  <c r="K28"/>
  <c r="H26" i="10"/>
  <c r="H39"/>
  <c r="F26"/>
  <c r="F39"/>
  <c r="F28"/>
  <c r="H28"/>
  <c r="N29" i="6"/>
  <c r="B37"/>
  <c r="C42" i="1"/>
  <c r="D43"/>
  <c r="G40"/>
  <c r="F62" i="6"/>
  <c r="F37"/>
  <c r="N33"/>
  <c r="F42"/>
  <c r="D33" i="9"/>
  <c r="G30"/>
  <c r="F67" i="6"/>
  <c r="D26" i="10"/>
  <c r="N26"/>
  <c r="N39"/>
  <c r="F41" i="6"/>
  <c r="D33" i="8"/>
  <c r="G30"/>
  <c r="F66" i="6"/>
  <c r="N26" i="9"/>
  <c r="N39"/>
  <c r="D26"/>
  <c r="D33" i="10"/>
  <c r="G30"/>
  <c r="F68" i="6"/>
  <c r="F43"/>
  <c r="N26" i="7"/>
  <c r="N39"/>
  <c r="D26"/>
  <c r="J20" i="6"/>
  <c r="D40" i="1"/>
  <c r="C62" i="6"/>
  <c r="D42" i="1"/>
  <c r="D45"/>
  <c r="C37" i="6"/>
  <c r="H26" i="8"/>
  <c r="H39"/>
  <c r="F26"/>
  <c r="F39"/>
  <c r="F28"/>
  <c r="H28"/>
  <c r="H26" i="7"/>
  <c r="H39"/>
  <c r="F26"/>
  <c r="F39"/>
  <c r="F28"/>
  <c r="H28"/>
  <c r="L21" i="6"/>
  <c r="N21"/>
  <c r="M62"/>
  <c r="L35"/>
  <c r="G19"/>
  <c r="L19"/>
  <c r="G22"/>
  <c r="L22"/>
  <c r="N22"/>
  <c r="N38" i="1"/>
  <c r="C55" i="6"/>
  <c r="M48"/>
  <c r="M55"/>
  <c r="C15"/>
  <c r="I45"/>
  <c r="D15"/>
  <c r="N14"/>
  <c r="M25"/>
  <c r="M11"/>
  <c r="M15"/>
  <c r="F45"/>
  <c r="N35"/>
  <c r="B35"/>
  <c r="B62"/>
  <c r="D62"/>
  <c r="M64"/>
  <c r="H53"/>
  <c r="J53"/>
  <c r="N20"/>
  <c r="N40" i="1"/>
  <c r="N48"/>
  <c r="D48" i="6"/>
  <c r="H30" i="7"/>
  <c r="E51" i="6"/>
  <c r="G51"/>
  <c r="E52"/>
  <c r="G52"/>
  <c r="E54"/>
  <c r="G54"/>
  <c r="H52"/>
  <c r="J52"/>
  <c r="H54"/>
  <c r="J54"/>
  <c r="H51"/>
  <c r="J51"/>
  <c r="F26" i="4"/>
  <c r="F39"/>
  <c r="F28"/>
  <c r="H28"/>
  <c r="H26"/>
  <c r="H39"/>
  <c r="J23" i="6"/>
  <c r="J25"/>
  <c r="L23"/>
  <c r="N23"/>
  <c r="I69"/>
  <c r="K12" i="1"/>
  <c r="M12"/>
  <c r="I17"/>
  <c r="E8" i="6"/>
  <c r="E15"/>
  <c r="H17" i="1"/>
  <c r="N30" i="4"/>
  <c r="J10" i="6"/>
  <c r="L10"/>
  <c r="M39"/>
  <c r="D35" i="4"/>
  <c r="H37" i="7"/>
  <c r="H30" i="8"/>
  <c r="H37"/>
  <c r="M37" i="6"/>
  <c r="N30" i="7"/>
  <c r="N30" i="9"/>
  <c r="C43" i="6"/>
  <c r="M43"/>
  <c r="D32" i="10"/>
  <c r="D35"/>
  <c r="D30"/>
  <c r="C68" i="6"/>
  <c r="M68"/>
  <c r="E43"/>
  <c r="G43"/>
  <c r="F37" i="10"/>
  <c r="C33"/>
  <c r="E33"/>
  <c r="F30"/>
  <c r="E68" i="6"/>
  <c r="G68"/>
  <c r="I37" i="7"/>
  <c r="H40" i="6"/>
  <c r="C34" i="7"/>
  <c r="E34"/>
  <c r="I30"/>
  <c r="H65" i="6"/>
  <c r="J65"/>
  <c r="H41"/>
  <c r="J41"/>
  <c r="I37" i="8"/>
  <c r="C34"/>
  <c r="E34"/>
  <c r="I30"/>
  <c r="H66" i="6"/>
  <c r="J66"/>
  <c r="K37" i="10"/>
  <c r="K30"/>
  <c r="K37" i="9"/>
  <c r="K30"/>
  <c r="E40" i="6"/>
  <c r="C33" i="7"/>
  <c r="E33"/>
  <c r="F30"/>
  <c r="E65" i="6"/>
  <c r="G65"/>
  <c r="F37" i="7"/>
  <c r="E41" i="6"/>
  <c r="G41"/>
  <c r="F37" i="8"/>
  <c r="C33"/>
  <c r="E33"/>
  <c r="F30"/>
  <c r="E66" i="6"/>
  <c r="G66"/>
  <c r="C40"/>
  <c r="M40"/>
  <c r="D32" i="7"/>
  <c r="D35"/>
  <c r="D30"/>
  <c r="C65" i="6"/>
  <c r="M65"/>
  <c r="C42"/>
  <c r="M42"/>
  <c r="D32" i="9"/>
  <c r="D35"/>
  <c r="D30"/>
  <c r="N30" i="10"/>
  <c r="E42" i="1"/>
  <c r="D37" i="6"/>
  <c r="H37" i="10"/>
  <c r="H30"/>
  <c r="K30" i="7"/>
  <c r="K37"/>
  <c r="K30" i="8"/>
  <c r="K37"/>
  <c r="H43" i="6"/>
  <c r="J43"/>
  <c r="I37" i="10"/>
  <c r="C34"/>
  <c r="E34"/>
  <c r="I30"/>
  <c r="H68" i="6"/>
  <c r="J68"/>
  <c r="H42"/>
  <c r="J42"/>
  <c r="I37" i="9"/>
  <c r="I30"/>
  <c r="H67" i="6"/>
  <c r="J67"/>
  <c r="F69"/>
  <c r="N19"/>
  <c r="L25"/>
  <c r="G25"/>
  <c r="H37"/>
  <c r="J37"/>
  <c r="N11"/>
  <c r="N25"/>
  <c r="C34" i="9"/>
  <c r="E34"/>
  <c r="C67" i="6"/>
  <c r="M67"/>
  <c r="E50"/>
  <c r="H26" i="9"/>
  <c r="H39"/>
  <c r="F26"/>
  <c r="F39"/>
  <c r="F28"/>
  <c r="H28"/>
  <c r="D26" i="8"/>
  <c r="H30" i="4"/>
  <c r="H37"/>
  <c r="F30"/>
  <c r="C33"/>
  <c r="E33"/>
  <c r="E39" i="6"/>
  <c r="G39"/>
  <c r="F37" i="4"/>
  <c r="H8" i="6"/>
  <c r="K17" i="1"/>
  <c r="O12"/>
  <c r="M17"/>
  <c r="G8" i="6"/>
  <c r="G15"/>
  <c r="I26" i="4"/>
  <c r="I39"/>
  <c r="I28"/>
  <c r="K28"/>
  <c r="N10" i="6"/>
  <c r="I57"/>
  <c r="F57"/>
  <c r="G40"/>
  <c r="J40"/>
  <c r="E64"/>
  <c r="G64"/>
  <c r="I48" i="1"/>
  <c r="I38"/>
  <c r="K48"/>
  <c r="L8" i="6"/>
  <c r="L15"/>
  <c r="H15"/>
  <c r="C33" i="9"/>
  <c r="H50" i="6"/>
  <c r="G50"/>
  <c r="K26" i="4"/>
  <c r="K39"/>
  <c r="C41" i="6"/>
  <c r="C45"/>
  <c r="D30" i="8"/>
  <c r="C66" i="6"/>
  <c r="D32" i="8"/>
  <c r="N26"/>
  <c r="N39"/>
  <c r="E42" i="6"/>
  <c r="G42"/>
  <c r="J8"/>
  <c r="J15"/>
  <c r="O17" i="1"/>
  <c r="F48"/>
  <c r="F38"/>
  <c r="K37" i="4"/>
  <c r="H39" i="6"/>
  <c r="H45"/>
  <c r="C34" i="4"/>
  <c r="I37"/>
  <c r="I30"/>
  <c r="K38" i="1"/>
  <c r="K40"/>
  <c r="H48" i="6"/>
  <c r="I40" i="1"/>
  <c r="C44"/>
  <c r="E44"/>
  <c r="H38"/>
  <c r="E48" i="6"/>
  <c r="M38" i="1"/>
  <c r="O38"/>
  <c r="N8" i="6"/>
  <c r="N15"/>
  <c r="H55"/>
  <c r="H64"/>
  <c r="J64"/>
  <c r="C69"/>
  <c r="M66"/>
  <c r="E33" i="9"/>
  <c r="F37"/>
  <c r="E53" i="6"/>
  <c r="G53"/>
  <c r="F30" i="9"/>
  <c r="E67" i="6"/>
  <c r="G67"/>
  <c r="K30" i="4"/>
  <c r="E55" i="6"/>
  <c r="J50"/>
  <c r="N30" i="8"/>
  <c r="D35"/>
  <c r="M41" i="6"/>
  <c r="M45"/>
  <c r="M51" i="1"/>
  <c r="E37" i="6"/>
  <c r="E45"/>
  <c r="C43" i="1"/>
  <c r="F40"/>
  <c r="E34" i="4"/>
  <c r="J39" i="6"/>
  <c r="J45"/>
  <c r="J48"/>
  <c r="H62"/>
  <c r="H69"/>
  <c r="J55"/>
  <c r="E62"/>
  <c r="L62"/>
  <c r="H37" i="9"/>
  <c r="H30"/>
  <c r="M69" i="6"/>
  <c r="O40" i="1"/>
  <c r="H40"/>
  <c r="H48"/>
  <c r="M40"/>
  <c r="M48"/>
  <c r="G48" i="6"/>
  <c r="G55"/>
  <c r="L48"/>
  <c r="O48" i="1"/>
  <c r="C57" i="6"/>
  <c r="E43" i="1"/>
  <c r="E45"/>
  <c r="C45"/>
  <c r="G37" i="6"/>
  <c r="G45"/>
  <c r="L37"/>
  <c r="H57"/>
  <c r="J57"/>
  <c r="J62"/>
  <c r="J69"/>
  <c r="G62"/>
  <c r="G69"/>
  <c r="N48"/>
  <c r="E69"/>
  <c r="M57"/>
  <c r="E57"/>
  <c r="G57"/>
  <c r="N37"/>
  <c r="E26" i="8"/>
  <c r="E39"/>
  <c r="O26" i="9"/>
  <c r="O39"/>
  <c r="C26" i="8"/>
  <c r="C26" i="4"/>
  <c r="C39"/>
  <c r="C28"/>
  <c r="E26"/>
  <c r="E39"/>
  <c r="E26" i="10"/>
  <c r="C26"/>
  <c r="E26" i="7"/>
  <c r="E39"/>
  <c r="C26" i="9"/>
  <c r="E26"/>
  <c r="E39"/>
  <c r="C26" i="7"/>
  <c r="E39" i="10"/>
  <c r="C30"/>
  <c r="C32" i="7"/>
  <c r="C30" i="9"/>
  <c r="O26" i="7"/>
  <c r="O39"/>
  <c r="B40" i="6"/>
  <c r="O26" i="10"/>
  <c r="O39"/>
  <c r="M26"/>
  <c r="M39"/>
  <c r="B41" i="6"/>
  <c r="M26" i="9"/>
  <c r="M39"/>
  <c r="O26" i="4"/>
  <c r="O39"/>
  <c r="O26" i="8"/>
  <c r="O39"/>
  <c r="M26"/>
  <c r="M39"/>
  <c r="C32" i="4"/>
  <c r="C37" i="8"/>
  <c r="B39" i="6"/>
  <c r="C32" i="8"/>
  <c r="B43" i="6"/>
  <c r="M26" i="4"/>
  <c r="M39"/>
  <c r="M26" i="7"/>
  <c r="M39"/>
  <c r="B42" i="6"/>
  <c r="C32" i="10"/>
  <c r="C32" i="9"/>
  <c r="B45" i="6"/>
  <c r="C37" i="7"/>
  <c r="B50" i="6"/>
  <c r="E28" i="4"/>
  <c r="M28"/>
  <c r="O28"/>
  <c r="B53" i="6"/>
  <c r="B67"/>
  <c r="L67"/>
  <c r="N67"/>
  <c r="E28" i="9"/>
  <c r="M28"/>
  <c r="O28"/>
  <c r="B51" i="6"/>
  <c r="B65"/>
  <c r="L65"/>
  <c r="N65"/>
  <c r="E28" i="7"/>
  <c r="M28"/>
  <c r="O28"/>
  <c r="B52" i="6"/>
  <c r="B66"/>
  <c r="L66"/>
  <c r="N66"/>
  <c r="E28" i="8"/>
  <c r="M28"/>
  <c r="O28"/>
  <c r="O37"/>
  <c r="B54" i="6"/>
  <c r="B68"/>
  <c r="L68"/>
  <c r="N68"/>
  <c r="E28" i="10"/>
  <c r="M28"/>
  <c r="O28"/>
  <c r="O37"/>
  <c r="C30" i="4"/>
  <c r="C37"/>
  <c r="C37" i="9"/>
  <c r="C30" i="7"/>
  <c r="D65" i="6"/>
  <c r="C30" i="8"/>
  <c r="D66" i="6"/>
  <c r="C37" i="10"/>
  <c r="C35" i="9"/>
  <c r="E35"/>
  <c r="E32"/>
  <c r="D43" i="6"/>
  <c r="L43"/>
  <c r="D39"/>
  <c r="L39"/>
  <c r="O30" i="10"/>
  <c r="O37" i="7"/>
  <c r="O30"/>
  <c r="E32"/>
  <c r="C35"/>
  <c r="E35"/>
  <c r="C35" i="10"/>
  <c r="E35"/>
  <c r="E32"/>
  <c r="L42" i="6"/>
  <c r="N42"/>
  <c r="D42"/>
  <c r="M37" i="4"/>
  <c r="M30"/>
  <c r="E32" i="8"/>
  <c r="C35"/>
  <c r="E35"/>
  <c r="C35" i="4"/>
  <c r="E35"/>
  <c r="E32"/>
  <c r="O37"/>
  <c r="O30"/>
  <c r="L41" i="6"/>
  <c r="N41"/>
  <c r="D41"/>
  <c r="L40"/>
  <c r="N40"/>
  <c r="D40"/>
  <c r="M37" i="10"/>
  <c r="M30" i="8"/>
  <c r="M30" i="7"/>
  <c r="M37" i="8"/>
  <c r="O30"/>
  <c r="L45" i="6"/>
  <c r="D68"/>
  <c r="B64"/>
  <c r="B55"/>
  <c r="D64"/>
  <c r="D45"/>
  <c r="D67"/>
  <c r="B57"/>
  <c r="M30" i="10"/>
  <c r="M37" i="9"/>
  <c r="M30"/>
  <c r="M37" i="7"/>
  <c r="L54" i="6"/>
  <c r="N54"/>
  <c r="D54"/>
  <c r="E30" i="8"/>
  <c r="E37"/>
  <c r="L51" i="6"/>
  <c r="N51"/>
  <c r="D51"/>
  <c r="E37" i="9"/>
  <c r="E30"/>
  <c r="D50" i="6"/>
  <c r="L50"/>
  <c r="E37" i="10"/>
  <c r="E30"/>
  <c r="L52" i="6"/>
  <c r="N52"/>
  <c r="D52"/>
  <c r="E30" i="7"/>
  <c r="E37"/>
  <c r="O37" i="9"/>
  <c r="O30"/>
  <c r="L53" i="6"/>
  <c r="N53"/>
  <c r="D53"/>
  <c r="E30" i="4"/>
  <c r="E37"/>
  <c r="N39" i="6"/>
  <c r="N43"/>
  <c r="L55"/>
  <c r="D69"/>
  <c r="L64"/>
  <c r="N64"/>
  <c r="B69"/>
  <c r="N45"/>
  <c r="D55"/>
  <c r="D57"/>
  <c r="N50"/>
  <c r="N55"/>
  <c r="N57"/>
  <c r="L69"/>
  <c r="L57"/>
  <c r="L70"/>
  <c r="N62"/>
  <c r="N69"/>
</calcChain>
</file>

<file path=xl/comments1.xml><?xml version="1.0" encoding="utf-8"?>
<comments xmlns="http://schemas.openxmlformats.org/spreadsheetml/2006/main">
  <authors>
    <author xml:space="preserve"> </author>
  </authors>
  <commentList>
    <comment ref="B9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TO BE HIRED</t>
        </r>
      </text>
    </comment>
    <comment ref="B12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LOCAL PERMANENT STAFF TO BE IDENTIFIED</t>
        </r>
      </text>
    </comment>
    <comment ref="B13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TO BE IDENTIFIED MAY BE EMIRA</t>
        </r>
      </text>
    </comment>
    <comment ref="B14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TO BE HIRED</t>
        </r>
      </text>
    </comment>
    <comment ref="B27" authorId="0">
      <text>
        <r>
          <rPr>
            <b/>
            <sz val="8"/>
            <color indexed="81"/>
            <rFont val="Tahoma"/>
            <charset val="1"/>
          </rPr>
          <t xml:space="preserve"> :  INTERNATIONAL TRIPS</t>
        </r>
        <r>
          <rPr>
            <sz val="8"/>
            <color indexed="81"/>
            <rFont val="Tahoma"/>
            <charset val="1"/>
          </rPr>
          <t xml:space="preserve">
DCOMM 2 trips  X Year
PPP LEADER 2Trips X Year</t>
        </r>
      </text>
    </comment>
    <comment ref="B28" authorId="0">
      <text>
        <r>
          <rPr>
            <b/>
            <sz val="8"/>
            <color indexed="81"/>
            <rFont val="Tahoma"/>
            <charset val="1"/>
          </rPr>
          <t xml:space="preserve"> :  INTERNATIONAL TRIPS</t>
        </r>
        <r>
          <rPr>
            <sz val="8"/>
            <color indexed="81"/>
            <rFont val="Tahoma"/>
            <charset val="1"/>
          </rPr>
          <t xml:space="preserve">
DCOMM 4 trips  X Year
PPP LEADER 3 Trips X Year</t>
        </r>
      </text>
    </comment>
  </commentList>
</comments>
</file>

<file path=xl/comments2.xml><?xml version="1.0" encoding="utf-8"?>
<comments xmlns="http://schemas.openxmlformats.org/spreadsheetml/2006/main">
  <authors>
    <author xml:space="preserve"> </author>
  </authors>
  <commentList>
    <comment ref="B17" authorId="0">
      <text>
        <r>
          <rPr>
            <b/>
            <sz val="8"/>
            <color indexed="81"/>
            <rFont val="Tahoma"/>
            <family val="2"/>
          </rPr>
          <t>2 trainings 1 ion year 1 and 1 on year 2 see Anne e-mail</t>
        </r>
      </text>
    </comment>
    <comment ref="B19" authorId="0">
      <text>
        <r>
          <rPr>
            <b/>
            <sz val="8"/>
            <color indexed="81"/>
            <rFont val="Tahoma"/>
            <charset val="1"/>
          </rPr>
          <t>We may wish to move and divide figures per PAs if there will be the need of rebalancing the budget between Gen.costs and Country costs: Press trips 15000, Visibility 30000, regional conference 20000, publications Pas 15000. We may use this line for translations</t>
        </r>
      </text>
    </comment>
  </commentList>
</comments>
</file>

<file path=xl/comments3.xml><?xml version="1.0" encoding="utf-8"?>
<comments xmlns="http://schemas.openxmlformats.org/spreadsheetml/2006/main">
  <authors>
    <author xml:space="preserve"> </author>
    <author>..</author>
  </authors>
  <commentList>
    <comment ref="B8" authorId="0">
      <text>
        <r>
          <rPr>
            <b/>
            <sz val="8"/>
            <color indexed="81"/>
            <rFont val="Tahoma"/>
            <charset val="1"/>
          </rPr>
          <t xml:space="preserve"> :</t>
        </r>
        <r>
          <rPr>
            <sz val="8"/>
            <color indexed="81"/>
            <rFont val="Tahoma"/>
            <charset val="1"/>
          </rPr>
          <t xml:space="preserve">
Consultant to be splited through each country
divide the cost by 6 PA(B6H have two)</t>
        </r>
      </text>
    </comment>
    <comment ref="N8" authorId="1">
      <text>
        <r>
          <rPr>
            <b/>
            <sz val="8"/>
            <color indexed="81"/>
            <rFont val="Tahoma"/>
          </rPr>
          <t>..:</t>
        </r>
        <r>
          <rPr>
            <sz val="8"/>
            <color indexed="81"/>
            <rFont val="Tahoma"/>
          </rPr>
          <t xml:space="preserve">
andrea policy</t>
        </r>
      </text>
    </comment>
    <comment ref="B10" authorId="0">
      <text>
        <r>
          <rPr>
            <b/>
            <sz val="8"/>
            <color indexed="81"/>
            <rFont val="Tahoma"/>
            <charset val="1"/>
          </rPr>
          <t xml:space="preserve"> :</t>
        </r>
        <r>
          <rPr>
            <sz val="8"/>
            <color indexed="81"/>
            <rFont val="Tahoma"/>
            <charset val="1"/>
          </rPr>
          <t xml:space="preserve">
to be added in each country (B&amp;H 2 PA)</t>
        </r>
      </text>
    </comment>
  </commentList>
</comments>
</file>

<file path=xl/comments4.xml><?xml version="1.0" encoding="utf-8"?>
<comments xmlns="http://schemas.openxmlformats.org/spreadsheetml/2006/main">
  <authors>
    <author xml:space="preserve"> </author>
    <author>..</author>
  </authors>
  <commentList>
    <comment ref="B8" authorId="0">
      <text>
        <r>
          <rPr>
            <b/>
            <sz val="8"/>
            <color indexed="81"/>
            <rFont val="Tahoma"/>
            <charset val="1"/>
          </rPr>
          <t xml:space="preserve"> :</t>
        </r>
        <r>
          <rPr>
            <sz val="8"/>
            <color indexed="81"/>
            <rFont val="Tahoma"/>
            <charset val="1"/>
          </rPr>
          <t xml:space="preserve">
Consultant to be splited through each country
divide the cost by 6 PA(B6H have two)</t>
        </r>
      </text>
    </comment>
    <comment ref="N8" authorId="1">
      <text>
        <r>
          <rPr>
            <b/>
            <sz val="8"/>
            <color indexed="81"/>
            <rFont val="Tahoma"/>
          </rPr>
          <t>..:</t>
        </r>
        <r>
          <rPr>
            <sz val="8"/>
            <color indexed="81"/>
            <rFont val="Tahoma"/>
          </rPr>
          <t xml:space="preserve">
andrea policy</t>
        </r>
      </text>
    </comment>
    <comment ref="B10" authorId="0">
      <text>
        <r>
          <rPr>
            <b/>
            <sz val="8"/>
            <color indexed="81"/>
            <rFont val="Tahoma"/>
            <charset val="1"/>
          </rPr>
          <t xml:space="preserve"> :</t>
        </r>
        <r>
          <rPr>
            <sz val="8"/>
            <color indexed="81"/>
            <rFont val="Tahoma"/>
            <charset val="1"/>
          </rPr>
          <t xml:space="preserve">
to be added in each country (B&amp;H 2 PA)</t>
        </r>
      </text>
    </comment>
    <comment ref="B13" authorId="0">
      <text>
        <r>
          <rPr>
            <b/>
            <sz val="8"/>
            <color indexed="81"/>
            <rFont val="Tahoma"/>
            <charset val="1"/>
          </rPr>
          <t xml:space="preserve"> :</t>
        </r>
        <r>
          <rPr>
            <sz val="8"/>
            <color indexed="81"/>
            <rFont val="Tahoma"/>
            <charset val="1"/>
          </rPr>
          <t xml:space="preserve">
See Anne e-mail about this and cost should be distributed per country</t>
        </r>
      </text>
    </comment>
    <comment ref="B14" authorId="0">
      <text>
        <r>
          <rPr>
            <b/>
            <sz val="8"/>
            <color indexed="81"/>
            <rFont val="Tahoma"/>
            <charset val="1"/>
          </rPr>
          <t xml:space="preserve"> :</t>
        </r>
        <r>
          <rPr>
            <sz val="8"/>
            <color indexed="81"/>
            <rFont val="Tahoma"/>
            <charset val="1"/>
          </rPr>
          <t xml:space="preserve">
distribute per country</t>
        </r>
      </text>
    </comment>
    <comment ref="B15" authorId="0">
      <text>
        <r>
          <rPr>
            <b/>
            <sz val="8"/>
            <color indexed="81"/>
            <rFont val="Tahoma"/>
            <charset val="1"/>
          </rPr>
          <t xml:space="preserve"> :</t>
        </r>
        <r>
          <rPr>
            <sz val="8"/>
            <color indexed="81"/>
            <rFont val="Tahoma"/>
            <charset val="1"/>
          </rPr>
          <t xml:space="preserve">
distribute it per country</t>
        </r>
      </text>
    </comment>
  </commentList>
</comments>
</file>

<file path=xl/comments5.xml><?xml version="1.0" encoding="utf-8"?>
<comments xmlns="http://schemas.openxmlformats.org/spreadsheetml/2006/main">
  <authors>
    <author xml:space="preserve"> </author>
    <author>..</author>
  </authors>
  <commentList>
    <comment ref="B8" authorId="0">
      <text>
        <r>
          <rPr>
            <b/>
            <sz val="8"/>
            <color indexed="81"/>
            <rFont val="Tahoma"/>
            <charset val="1"/>
          </rPr>
          <t xml:space="preserve"> :</t>
        </r>
        <r>
          <rPr>
            <sz val="8"/>
            <color indexed="81"/>
            <rFont val="Tahoma"/>
            <charset val="1"/>
          </rPr>
          <t xml:space="preserve">
Consultant to be splited through each country
divide the cost by 6 PA(B6H have two)</t>
        </r>
      </text>
    </comment>
    <comment ref="N8" authorId="1">
      <text>
        <r>
          <rPr>
            <b/>
            <sz val="8"/>
            <color indexed="81"/>
            <rFont val="Tahoma"/>
          </rPr>
          <t>..:</t>
        </r>
        <r>
          <rPr>
            <sz val="8"/>
            <color indexed="81"/>
            <rFont val="Tahoma"/>
          </rPr>
          <t xml:space="preserve">
andrea policy</t>
        </r>
      </text>
    </comment>
    <comment ref="F9" author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1 person Serbia y2</t>
        </r>
      </text>
    </comment>
    <comment ref="B13" authorId="0">
      <text>
        <r>
          <rPr>
            <b/>
            <sz val="8"/>
            <color indexed="81"/>
            <rFont val="Tahoma"/>
            <charset val="1"/>
          </rPr>
          <t xml:space="preserve"> :</t>
        </r>
        <r>
          <rPr>
            <sz val="8"/>
            <color indexed="81"/>
            <rFont val="Tahoma"/>
            <charset val="1"/>
          </rPr>
          <t xml:space="preserve">
See Anne e-mail about this and cost should be distributed per country</t>
        </r>
      </text>
    </comment>
    <comment ref="B14" authorId="0">
      <text>
        <r>
          <rPr>
            <b/>
            <sz val="8"/>
            <color indexed="81"/>
            <rFont val="Tahoma"/>
            <charset val="1"/>
          </rPr>
          <t xml:space="preserve"> :</t>
        </r>
        <r>
          <rPr>
            <sz val="8"/>
            <color indexed="81"/>
            <rFont val="Tahoma"/>
            <charset val="1"/>
          </rPr>
          <t xml:space="preserve">
distribute per country</t>
        </r>
      </text>
    </comment>
    <comment ref="B15" authorId="0">
      <text>
        <r>
          <rPr>
            <b/>
            <sz val="8"/>
            <color indexed="81"/>
            <rFont val="Tahoma"/>
            <charset val="1"/>
          </rPr>
          <t xml:space="preserve"> :</t>
        </r>
        <r>
          <rPr>
            <sz val="8"/>
            <color indexed="81"/>
            <rFont val="Tahoma"/>
            <charset val="1"/>
          </rPr>
          <t xml:space="preserve">
distribute it per country</t>
        </r>
      </text>
    </comment>
  </commentList>
</comments>
</file>

<file path=xl/comments6.xml><?xml version="1.0" encoding="utf-8"?>
<comments xmlns="http://schemas.openxmlformats.org/spreadsheetml/2006/main">
  <authors>
    <author xml:space="preserve"> </author>
    <author>..</author>
  </authors>
  <commentList>
    <comment ref="B8" authorId="0">
      <text>
        <r>
          <rPr>
            <b/>
            <sz val="8"/>
            <color indexed="81"/>
            <rFont val="Tahoma"/>
            <charset val="1"/>
          </rPr>
          <t xml:space="preserve"> :</t>
        </r>
        <r>
          <rPr>
            <sz val="8"/>
            <color indexed="81"/>
            <rFont val="Tahoma"/>
            <charset val="1"/>
          </rPr>
          <t xml:space="preserve">
Consultant to be splited through each country
divide the cost by 6 PA(B6H have two)</t>
        </r>
      </text>
    </comment>
    <comment ref="N8" authorId="1">
      <text>
        <r>
          <rPr>
            <b/>
            <sz val="8"/>
            <color indexed="81"/>
            <rFont val="Tahoma"/>
          </rPr>
          <t>..:</t>
        </r>
        <r>
          <rPr>
            <sz val="8"/>
            <color indexed="81"/>
            <rFont val="Tahoma"/>
          </rPr>
          <t xml:space="preserve">
andrea policy</t>
        </r>
      </text>
    </comment>
    <comment ref="B13" authorId="0">
      <text>
        <r>
          <rPr>
            <b/>
            <sz val="8"/>
            <color indexed="81"/>
            <rFont val="Tahoma"/>
            <charset val="1"/>
          </rPr>
          <t xml:space="preserve"> :</t>
        </r>
        <r>
          <rPr>
            <sz val="8"/>
            <color indexed="81"/>
            <rFont val="Tahoma"/>
            <charset val="1"/>
          </rPr>
          <t xml:space="preserve">
See Anne e-mail about this and cost should be distributed per country</t>
        </r>
      </text>
    </comment>
    <comment ref="B14" authorId="0">
      <text>
        <r>
          <rPr>
            <b/>
            <sz val="8"/>
            <color indexed="81"/>
            <rFont val="Tahoma"/>
            <charset val="1"/>
          </rPr>
          <t xml:space="preserve"> :</t>
        </r>
        <r>
          <rPr>
            <sz val="8"/>
            <color indexed="81"/>
            <rFont val="Tahoma"/>
            <charset val="1"/>
          </rPr>
          <t xml:space="preserve">
distribute per country</t>
        </r>
      </text>
    </comment>
    <comment ref="B15" authorId="0">
      <text>
        <r>
          <rPr>
            <b/>
            <sz val="8"/>
            <color indexed="81"/>
            <rFont val="Tahoma"/>
            <charset val="1"/>
          </rPr>
          <t xml:space="preserve"> :</t>
        </r>
        <r>
          <rPr>
            <sz val="8"/>
            <color indexed="81"/>
            <rFont val="Tahoma"/>
            <charset val="1"/>
          </rPr>
          <t xml:space="preserve">
distribute it per country</t>
        </r>
      </text>
    </comment>
  </commentList>
</comments>
</file>

<file path=xl/comments7.xml><?xml version="1.0" encoding="utf-8"?>
<comments xmlns="http://schemas.openxmlformats.org/spreadsheetml/2006/main">
  <authors>
    <author xml:space="preserve"> </author>
    <author>..</author>
  </authors>
  <commentList>
    <comment ref="B8" authorId="0">
      <text>
        <r>
          <rPr>
            <b/>
            <sz val="8"/>
            <color indexed="81"/>
            <rFont val="Tahoma"/>
            <charset val="1"/>
          </rPr>
          <t xml:space="preserve"> :</t>
        </r>
        <r>
          <rPr>
            <sz val="8"/>
            <color indexed="81"/>
            <rFont val="Tahoma"/>
            <charset val="1"/>
          </rPr>
          <t xml:space="preserve">
Consultant to be splited through each country
divide the cost by 6 PA(B6H have two)</t>
        </r>
      </text>
    </comment>
    <comment ref="N8" authorId="1">
      <text>
        <r>
          <rPr>
            <b/>
            <sz val="8"/>
            <color indexed="81"/>
            <rFont val="Tahoma"/>
          </rPr>
          <t>..:</t>
        </r>
        <r>
          <rPr>
            <sz val="8"/>
            <color indexed="81"/>
            <rFont val="Tahoma"/>
          </rPr>
          <t xml:space="preserve">
andrea policy</t>
        </r>
      </text>
    </comment>
    <comment ref="B13" authorId="0">
      <text>
        <r>
          <rPr>
            <b/>
            <sz val="8"/>
            <color indexed="81"/>
            <rFont val="Tahoma"/>
            <charset val="1"/>
          </rPr>
          <t xml:space="preserve"> :</t>
        </r>
        <r>
          <rPr>
            <sz val="8"/>
            <color indexed="81"/>
            <rFont val="Tahoma"/>
            <charset val="1"/>
          </rPr>
          <t xml:space="preserve">
See Anne e-mail about this and cost should be distributed per country</t>
        </r>
      </text>
    </comment>
    <comment ref="B14" authorId="0">
      <text>
        <r>
          <rPr>
            <b/>
            <sz val="8"/>
            <color indexed="81"/>
            <rFont val="Tahoma"/>
            <charset val="1"/>
          </rPr>
          <t xml:space="preserve"> :</t>
        </r>
        <r>
          <rPr>
            <sz val="8"/>
            <color indexed="81"/>
            <rFont val="Tahoma"/>
            <charset val="1"/>
          </rPr>
          <t xml:space="preserve">
distribute per country</t>
        </r>
      </text>
    </comment>
    <comment ref="B15" authorId="0">
      <text>
        <r>
          <rPr>
            <b/>
            <sz val="8"/>
            <color indexed="81"/>
            <rFont val="Tahoma"/>
            <charset val="1"/>
          </rPr>
          <t xml:space="preserve"> :</t>
        </r>
        <r>
          <rPr>
            <sz val="8"/>
            <color indexed="81"/>
            <rFont val="Tahoma"/>
            <charset val="1"/>
          </rPr>
          <t xml:space="preserve">
distribute it per country</t>
        </r>
      </text>
    </comment>
  </commentList>
</comments>
</file>

<file path=xl/sharedStrings.xml><?xml version="1.0" encoding="utf-8"?>
<sst xmlns="http://schemas.openxmlformats.org/spreadsheetml/2006/main" count="858" uniqueCount="156">
  <si>
    <t>Category</t>
  </si>
  <si>
    <t>WWF MEDPO</t>
  </si>
  <si>
    <t>YEAR 3</t>
  </si>
  <si>
    <t>YEAR 2</t>
  </si>
  <si>
    <t>YEAR 1</t>
  </si>
  <si>
    <t>Travel BP development lead  local</t>
  </si>
  <si>
    <t xml:space="preserve">Travel BP consultant (international) </t>
  </si>
  <si>
    <t xml:space="preserve">Printing of six business plans </t>
  </si>
  <si>
    <t>Travel</t>
  </si>
  <si>
    <t>Total</t>
  </si>
  <si>
    <t>Total 1</t>
  </si>
  <si>
    <t>Total 2</t>
  </si>
  <si>
    <t>Total 3</t>
  </si>
  <si>
    <t>Total 4</t>
  </si>
  <si>
    <t xml:space="preserve">Year 1 </t>
  </si>
  <si>
    <t>Year 2</t>
  </si>
  <si>
    <t>Year 3</t>
  </si>
  <si>
    <t xml:space="preserve">Total 3 years </t>
  </si>
  <si>
    <t>WWF MedPO</t>
  </si>
  <si>
    <t>meeting spaces will be in-kind contribution by Ministries/PAs</t>
  </si>
  <si>
    <t xml:space="preserve">Travel PPP Lead </t>
  </si>
  <si>
    <t>Studies, publications and workshops</t>
  </si>
  <si>
    <t>Total Direct Cost for MedPO ORC and Admin</t>
  </si>
  <si>
    <t>TOTAL  3 YEARS</t>
  </si>
  <si>
    <t xml:space="preserve">Total </t>
  </si>
  <si>
    <t>Total 5</t>
  </si>
  <si>
    <t>Donor</t>
  </si>
  <si>
    <t xml:space="preserve">New Coalitions for Biodiversity - Developing public-private partnerships within protected areas in five countries of the South East Europe - Budget </t>
  </si>
  <si>
    <t>YEAR 1 - 2011</t>
  </si>
  <si>
    <t>YEAR 2 - 2012</t>
  </si>
  <si>
    <t>YEAR 3 -2013</t>
  </si>
  <si>
    <t>YEAR 2 -2012</t>
  </si>
  <si>
    <t>YEAR 3 2013</t>
  </si>
  <si>
    <t>BP development international support team: Expert 1: 30 month. (Marlen Flores)</t>
  </si>
  <si>
    <t>Back to MATRA proposal</t>
  </si>
  <si>
    <t>Need more assumptions for estimation</t>
  </si>
  <si>
    <t>BP development workshops (1 WS x Y x PA)</t>
  </si>
  <si>
    <t>check with old MATRA proposal</t>
  </si>
  <si>
    <t>Capacity building on BP and N. 2000  (€ 2000 per PA)</t>
  </si>
  <si>
    <t>Promotion of PAs values, communications work to attract business, promotional materials for development of pub-priv partnerships (2,5)</t>
  </si>
  <si>
    <t>Production of “how-to” guide for establishing public private partnerships based on the project experiences (off line or online tool) (At. 2,8)</t>
  </si>
  <si>
    <t>CROATIA</t>
  </si>
  <si>
    <t>B&amp;H</t>
  </si>
  <si>
    <t>SERBIA</t>
  </si>
  <si>
    <t>MONTENEGRO</t>
  </si>
  <si>
    <t>ALBANIA</t>
  </si>
  <si>
    <t>Summary per country</t>
  </si>
  <si>
    <t>Public launches/visibility events to highlight public-private partnership achievements (2,7) € 4000 x country</t>
  </si>
  <si>
    <t xml:space="preserve">Public launches/visibility events to highlight public-private partnership achievements (2,7) € 6000 (2 events) </t>
  </si>
  <si>
    <t>Travel project supervision team (PPP component)</t>
  </si>
  <si>
    <t>Travel project supervision team (BP component)</t>
  </si>
  <si>
    <t xml:space="preserve">Travel costs for PPP staff selection </t>
  </si>
  <si>
    <t>BP development lead local (36 month - 100%)</t>
  </si>
  <si>
    <t>Travel project regional Leader</t>
  </si>
  <si>
    <t>Equipment (4xPC/software/printer and office set up)</t>
  </si>
  <si>
    <t>ORC for  local lead (4 people)</t>
  </si>
  <si>
    <t>PA staff cost (€ 2000 x YEAR)</t>
  </si>
  <si>
    <t>Twelve Market Studies (2x PA x 1000)</t>
  </si>
  <si>
    <t>Travel Regional Project leader (3Xcountry)</t>
  </si>
  <si>
    <t>TRAINING BUDGET TEMPLATE</t>
  </si>
  <si>
    <t>Training Title:</t>
  </si>
  <si>
    <t>Country</t>
  </si>
  <si>
    <t>Local Coordinator</t>
  </si>
  <si>
    <t>PROJECT STAFF PARTICIPANTS</t>
  </si>
  <si>
    <t>Ref.</t>
  </si>
  <si>
    <t>ITEM Description</t>
  </si>
  <si>
    <t>number days</t>
  </si>
  <si>
    <t>daily cost</t>
  </si>
  <si>
    <t>Total cost</t>
  </si>
  <si>
    <t>Honorare/Personal</t>
  </si>
  <si>
    <t>Training local coordination: x days X Euro</t>
  </si>
  <si>
    <t>External Trainers:  days x Euro</t>
  </si>
  <si>
    <t>Translation fees:  days x  Euro</t>
  </si>
  <si>
    <t>Facilitation fees :  days X  Euro</t>
  </si>
  <si>
    <t>Sub-total 1</t>
  </si>
  <si>
    <t>Rent of facilities &amp; insurence</t>
  </si>
  <si>
    <t>Meeting room  and equipment</t>
  </si>
  <si>
    <t>Translation cabine (  days x euro)</t>
  </si>
  <si>
    <t>Translation cabine transport</t>
  </si>
  <si>
    <t>Insurance participants &amp; Lecturers ( pers. X  days)</t>
  </si>
  <si>
    <t>Sub-total 2</t>
  </si>
  <si>
    <t>Travel costs</t>
  </si>
  <si>
    <t>Local travel costs for participants, lecturers &amp; translator</t>
  </si>
  <si>
    <t>International travel costs lecturers: (Nº  lectures x Euro )</t>
  </si>
  <si>
    <t xml:space="preserve">Travel costs translater: Nº translater x Euro </t>
  </si>
  <si>
    <t>Local transport ( part x  Euro public transport)</t>
  </si>
  <si>
    <t>Local transport (Nº lecture + Nº translater x  Euro public transport)</t>
  </si>
  <si>
    <t>Sub-total 3</t>
  </si>
  <si>
    <t>number participants</t>
  </si>
  <si>
    <t>Board and Lodging</t>
  </si>
  <si>
    <t>External Trainers: Nº person x Nº days x  Euro</t>
  </si>
  <si>
    <t>Participants: Nº participants x  days x  Euro</t>
  </si>
  <si>
    <t>Participants not sleeping in the hotel</t>
  </si>
  <si>
    <t>Translater:  days x  Euro</t>
  </si>
  <si>
    <t>Sub-total 4</t>
  </si>
  <si>
    <t>Number items</t>
  </si>
  <si>
    <t>cost</t>
  </si>
  <si>
    <t>Printing</t>
  </si>
  <si>
    <t>Documentation: Nº pax x  Euro</t>
  </si>
  <si>
    <t>Certificates: Nº0 x  Euro</t>
  </si>
  <si>
    <t>Sub-total 6</t>
  </si>
  <si>
    <t xml:space="preserve">GRAND TOTAL </t>
  </si>
  <si>
    <t>Training on public-private partnership development for PA managers</t>
  </si>
  <si>
    <t>Ministry focal point (NPCs+Serbian focal point)</t>
  </si>
  <si>
    <t>Fees/Personel</t>
  </si>
  <si>
    <t>PPP Regional Leader (36 month - 100% )</t>
  </si>
  <si>
    <t>Regional Project leader (36 month - 100%)</t>
  </si>
  <si>
    <t>1 Workshop</t>
  </si>
  <si>
    <t>Business plan development</t>
  </si>
  <si>
    <t>Serbia</t>
  </si>
  <si>
    <t>NP Tara/Hotel Omorika</t>
  </si>
  <si>
    <t>Regional BP development Lead</t>
  </si>
  <si>
    <t>number man/days</t>
  </si>
  <si>
    <t>in-kind</t>
  </si>
  <si>
    <t>Technician/operator</t>
  </si>
  <si>
    <t>Local travel cost for regional project coordinator</t>
  </si>
  <si>
    <t>Local travel cost for regional BP lead</t>
  </si>
  <si>
    <t>Local travel costs for participants (20 particpants)</t>
  </si>
  <si>
    <t>Regional project coordinator</t>
  </si>
  <si>
    <t>Regional BP lead</t>
  </si>
  <si>
    <t>Albania</t>
  </si>
  <si>
    <t>NP Dajti</t>
  </si>
  <si>
    <t>Montenegro</t>
  </si>
  <si>
    <t>Podgorica/Hotel Philia</t>
  </si>
  <si>
    <t>BiH</t>
  </si>
  <si>
    <t>NP Hutovo blato (+ NP Sutjeska participants)</t>
  </si>
  <si>
    <t>Local travel costs for participants (30x80)</t>
  </si>
  <si>
    <t>Croatia</t>
  </si>
  <si>
    <t>NP Sjeverni Velebit</t>
  </si>
  <si>
    <t>Summary per COUNTRY</t>
  </si>
  <si>
    <t>LifeWeb</t>
  </si>
  <si>
    <t>PA staff cost (€ 2000 x YEAR x 2 PA)</t>
  </si>
  <si>
    <t>Assistant  to Project Leader (36 month - 100%)</t>
  </si>
  <si>
    <t>PPP Regional Leader Assistant  (36 month - 100%)</t>
  </si>
  <si>
    <t>PPP capacity building international support: 10% of Education &amp; Capacity Building Manager WWF- MEDPO</t>
  </si>
  <si>
    <t>PPP development international support: 30% /Year, Director of Comms WWF-MEDPO</t>
  </si>
  <si>
    <t>COMMUNICATIONS &amp; WSHOPS</t>
  </si>
  <si>
    <t>One Planet Leader - Training on corporate &amp; private sector relationships development (2 people training)</t>
  </si>
  <si>
    <t>Project Title</t>
  </si>
  <si>
    <t>Duration</t>
  </si>
  <si>
    <t>3 Years</t>
  </si>
  <si>
    <t>Prepared by:</t>
  </si>
  <si>
    <t>Marzia Ventimiglia</t>
  </si>
  <si>
    <t>Date:</t>
  </si>
  <si>
    <t>Project Staff</t>
  </si>
  <si>
    <t>REGIONAL PROJECT TEAM</t>
  </si>
  <si>
    <t>Management Fees - 8,5%</t>
  </si>
  <si>
    <t>Management Fees -8,5%</t>
  </si>
  <si>
    <t>Director of Conservation WWF-MEDPO</t>
  </si>
  <si>
    <t>Local Office Running Costs</t>
  </si>
  <si>
    <t>COMMUNICATIONS &amp; WORK-SHOPS</t>
  </si>
  <si>
    <t xml:space="preserve">REGIONAL PROJECT TEAM </t>
  </si>
  <si>
    <t>Project Activities:</t>
  </si>
  <si>
    <t>Project Title:</t>
  </si>
  <si>
    <t>Bosnia &amp; Herzegovina</t>
  </si>
  <si>
    <t>Project Administration Staff:  
1. WWF-MEDPO administrator
2. Local administrator)</t>
  </si>
</sst>
</file>

<file path=xl/styles.xml><?xml version="1.0" encoding="utf-8"?>
<styleSheet xmlns="http://schemas.openxmlformats.org/spreadsheetml/2006/main">
  <numFmts count="14">
    <numFmt numFmtId="164" formatCode="_-* #,##0_-;\-* #,##0_-;_-* &quot;-&quot;_-;_-@_-"/>
    <numFmt numFmtId="165" formatCode="_-* #,##0.00_-;\-* #,##0.00_-;_-* &quot;-&quot;??_-;_-@_-"/>
    <numFmt numFmtId="166" formatCode="_-* #,##0.00\ _P_t_s_-;\-* #,##0.00\ _P_t_s_-;_-* &quot;-&quot;??\ _P_t_s_-;_-@_-"/>
    <numFmt numFmtId="167" formatCode="#,##0.00\ _€"/>
    <numFmt numFmtId="168" formatCode="#,##0\ _€"/>
    <numFmt numFmtId="169" formatCode="_-* #,##0\ _P_t_s_-;\-* #,##0\ _P_t_s_-;_-* &quot;-&quot;??\ _P_t_s_-;_-@_-"/>
    <numFmt numFmtId="170" formatCode="_-* #,##0.00\ _F_B_-;\-* #,##0.00\ _F_B_-;_-* &quot;-&quot;??\ _F_B_-;_-@_-"/>
    <numFmt numFmtId="171" formatCode="0.0"/>
    <numFmt numFmtId="172" formatCode="\$#,##0_);\(\$#,##0\)"/>
    <numFmt numFmtId="173" formatCode="mmmm\ d\,\ yyyy"/>
    <numFmt numFmtId="174" formatCode="_-[$€]\ * #,##0.00_-;\-[$€]\ * #,##0.00_-;_-[$€]\ * &quot;-&quot;??_-;_-@_-"/>
    <numFmt numFmtId="175" formatCode="_-* #,##0\ _€_-;\-* #,##0\ _€_-;_-* &quot;- &quot;_€_-;_-@_-"/>
    <numFmt numFmtId="176" formatCode="_-* #,##0.00\ _€_-;\-* #,##0.00\ _€_-;_-* \-??\ _€_-;_-@_-"/>
    <numFmt numFmtId="177" formatCode="_-&quot;L.&quot;\ * #,##0_-;\-&quot;L.&quot;\ * #,##0_-;_-&quot;L.&quot;\ * &quot;-&quot;_-;_-@_-"/>
  </numFmts>
  <fonts count="26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</font>
    <font>
      <sz val="8"/>
      <color indexed="81"/>
      <name val="Tahoma"/>
    </font>
    <font>
      <b/>
      <sz val="8"/>
      <color indexed="81"/>
      <name val="Tahoma"/>
    </font>
    <font>
      <b/>
      <sz val="8"/>
      <name val="Arial"/>
      <family val="2"/>
    </font>
    <font>
      <b/>
      <sz val="8"/>
      <name val="Arial"/>
    </font>
    <font>
      <sz val="8"/>
      <color indexed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62"/>
      <name val="Arial"/>
      <family val="2"/>
    </font>
    <font>
      <sz val="10"/>
      <color indexed="62"/>
      <name val="Arial"/>
      <family val="2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sz val="10"/>
      <color indexed="10"/>
      <name val="Arial"/>
      <family val="2"/>
    </font>
    <font>
      <sz val="8"/>
      <color indexed="81"/>
      <name val="Tahoma"/>
      <charset val="1"/>
    </font>
    <font>
      <b/>
      <sz val="8"/>
      <color indexed="81"/>
      <name val="Tahoma"/>
      <charset val="1"/>
    </font>
    <font>
      <sz val="8"/>
      <color indexed="8"/>
      <name val="Arial"/>
      <family val="2"/>
    </font>
    <font>
      <b/>
      <sz val="10"/>
      <color indexed="10"/>
      <name val="Arial"/>
      <family val="2"/>
    </font>
    <font>
      <b/>
      <sz val="7.2"/>
      <color indexed="8"/>
      <name val="Arial"/>
      <family val="2"/>
    </font>
    <font>
      <b/>
      <sz val="8"/>
      <color indexed="8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166" fontId="1" fillId="0" borderId="0" applyFont="0" applyFill="0" applyBorder="0" applyAlignment="0" applyProtection="0"/>
    <xf numFmtId="170" fontId="10" fillId="0" borderId="0" applyFont="0" applyFill="0" applyBorder="0" applyAlignment="0" applyProtection="0"/>
    <xf numFmtId="39" fontId="10" fillId="0" borderId="0" applyFill="0" applyBorder="0" applyAlignment="0" applyProtection="0"/>
    <xf numFmtId="39" fontId="10" fillId="0" borderId="0" applyFill="0" applyBorder="0" applyAlignment="0" applyProtection="0"/>
    <xf numFmtId="165" fontId="10" fillId="0" borderId="0" applyFont="0" applyFill="0" applyBorder="0" applyAlignment="0" applyProtection="0"/>
    <xf numFmtId="37" fontId="10" fillId="0" borderId="0" applyFill="0" applyBorder="0" applyAlignment="0" applyProtection="0"/>
    <xf numFmtId="172" fontId="10" fillId="0" borderId="0" applyFill="0" applyBorder="0" applyAlignment="0" applyProtection="0"/>
    <xf numFmtId="173" fontId="10" fillId="0" borderId="0" applyFill="0" applyBorder="0" applyAlignment="0" applyProtection="0"/>
    <xf numFmtId="174" fontId="10" fillId="0" borderId="0" applyFont="0" applyFill="0" applyBorder="0" applyAlignment="0" applyProtection="0"/>
    <xf numFmtId="2" fontId="10" fillId="0" borderId="0" applyFill="0" applyBorder="0" applyAlignment="0" applyProtection="0"/>
    <xf numFmtId="164" fontId="22" fillId="0" borderId="0" applyFont="0" applyFill="0" applyBorder="0" applyAlignment="0" applyProtection="0"/>
    <xf numFmtId="175" fontId="10" fillId="0" borderId="0" applyFill="0" applyBorder="0" applyAlignment="0" applyProtection="0"/>
    <xf numFmtId="176" fontId="10" fillId="0" borderId="0" applyFill="0" applyBorder="0" applyAlignment="0" applyProtection="0"/>
    <xf numFmtId="0" fontId="10" fillId="0" borderId="0"/>
    <xf numFmtId="0" fontId="10" fillId="0" borderId="0"/>
    <xf numFmtId="0" fontId="25" fillId="0" borderId="0"/>
    <xf numFmtId="9" fontId="1" fillId="0" borderId="0" applyFont="0" applyFill="0" applyBorder="0" applyAlignment="0" applyProtection="0"/>
    <xf numFmtId="177" fontId="10" fillId="0" borderId="0" applyFont="0" applyFill="0" applyBorder="0" applyAlignment="0" applyProtection="0"/>
  </cellStyleXfs>
  <cellXfs count="332">
    <xf numFmtId="0" fontId="0" fillId="0" borderId="0" xfId="0"/>
    <xf numFmtId="0" fontId="0" fillId="0" borderId="1" xfId="0" applyBorder="1"/>
    <xf numFmtId="0" fontId="3" fillId="0" borderId="1" xfId="0" applyFont="1" applyBorder="1"/>
    <xf numFmtId="0" fontId="6" fillId="0" borderId="1" xfId="0" applyFont="1" applyBorder="1"/>
    <xf numFmtId="0" fontId="3" fillId="0" borderId="1" xfId="0" applyFont="1" applyFill="1" applyBorder="1"/>
    <xf numFmtId="0" fontId="0" fillId="0" borderId="0" xfId="0" applyFill="1"/>
    <xf numFmtId="0" fontId="0" fillId="0" borderId="0" xfId="0" applyFill="1" applyBorder="1"/>
    <xf numFmtId="0" fontId="2" fillId="0" borderId="0" xfId="0" applyFont="1"/>
    <xf numFmtId="169" fontId="0" fillId="0" borderId="1" xfId="0" applyNumberFormat="1" applyBorder="1"/>
    <xf numFmtId="169" fontId="0" fillId="0" borderId="2" xfId="0" applyNumberFormat="1" applyBorder="1"/>
    <xf numFmtId="169" fontId="0" fillId="0" borderId="3" xfId="0" applyNumberFormat="1" applyBorder="1"/>
    <xf numFmtId="0" fontId="3" fillId="0" borderId="0" xfId="0" applyFont="1" applyBorder="1" applyAlignment="1">
      <alignment wrapText="1"/>
    </xf>
    <xf numFmtId="169" fontId="0" fillId="0" borderId="0" xfId="0" applyNumberFormat="1" applyFill="1" applyBorder="1"/>
    <xf numFmtId="169" fontId="0" fillId="0" borderId="0" xfId="0" applyNumberFormat="1"/>
    <xf numFmtId="169" fontId="0" fillId="0" borderId="1" xfId="1" applyNumberFormat="1" applyFont="1" applyBorder="1"/>
    <xf numFmtId="169" fontId="2" fillId="0" borderId="1" xfId="1" applyNumberFormat="1" applyFont="1" applyBorder="1"/>
    <xf numFmtId="0" fontId="0" fillId="0" borderId="4" xfId="0" applyBorder="1"/>
    <xf numFmtId="0" fontId="0" fillId="0" borderId="5" xfId="0" applyBorder="1"/>
    <xf numFmtId="166" fontId="0" fillId="0" borderId="6" xfId="1" applyFont="1" applyBorder="1"/>
    <xf numFmtId="169" fontId="0" fillId="0" borderId="2" xfId="1" applyNumberFormat="1" applyFont="1" applyBorder="1"/>
    <xf numFmtId="169" fontId="0" fillId="0" borderId="3" xfId="1" applyNumberFormat="1" applyFont="1" applyBorder="1"/>
    <xf numFmtId="169" fontId="2" fillId="0" borderId="2" xfId="1" applyNumberFormat="1" applyFont="1" applyBorder="1"/>
    <xf numFmtId="169" fontId="2" fillId="0" borderId="3" xfId="1" applyNumberFormat="1" applyFont="1" applyBorder="1"/>
    <xf numFmtId="0" fontId="7" fillId="2" borderId="7" xfId="0" applyFont="1" applyFill="1" applyBorder="1" applyAlignment="1">
      <alignment wrapText="1"/>
    </xf>
    <xf numFmtId="0" fontId="3" fillId="0" borderId="7" xfId="0" applyFont="1" applyBorder="1" applyAlignment="1">
      <alignment wrapText="1"/>
    </xf>
    <xf numFmtId="0" fontId="6" fillId="3" borderId="7" xfId="0" applyFont="1" applyFill="1" applyBorder="1" applyAlignment="1">
      <alignment wrapText="1"/>
    </xf>
    <xf numFmtId="166" fontId="0" fillId="0" borderId="4" xfId="1" applyFont="1" applyBorder="1"/>
    <xf numFmtId="166" fontId="0" fillId="0" borderId="5" xfId="1" applyFont="1" applyBorder="1"/>
    <xf numFmtId="0" fontId="6" fillId="0" borderId="8" xfId="0" applyFont="1" applyFill="1" applyBorder="1" applyAlignment="1">
      <alignment wrapText="1"/>
    </xf>
    <xf numFmtId="169" fontId="0" fillId="0" borderId="9" xfId="0" applyNumberFormat="1" applyBorder="1"/>
    <xf numFmtId="169" fontId="0" fillId="0" borderId="10" xfId="0" applyNumberFormat="1" applyBorder="1"/>
    <xf numFmtId="169" fontId="0" fillId="0" borderId="11" xfId="0" applyNumberFormat="1" applyBorder="1"/>
    <xf numFmtId="0" fontId="6" fillId="3" borderId="12" xfId="0" applyFont="1" applyFill="1" applyBorder="1" applyAlignment="1">
      <alignment wrapText="1"/>
    </xf>
    <xf numFmtId="169" fontId="2" fillId="0" borderId="13" xfId="0" applyNumberFormat="1" applyFont="1" applyBorder="1"/>
    <xf numFmtId="169" fontId="2" fillId="0" borderId="14" xfId="0" applyNumberFormat="1" applyFont="1" applyBorder="1"/>
    <xf numFmtId="169" fontId="2" fillId="0" borderId="15" xfId="0" applyNumberFormat="1" applyFont="1" applyBorder="1"/>
    <xf numFmtId="0" fontId="2" fillId="0" borderId="16" xfId="0" applyFont="1" applyBorder="1"/>
    <xf numFmtId="0" fontId="2" fillId="0" borderId="1" xfId="0" applyFont="1" applyBorder="1"/>
    <xf numFmtId="0" fontId="6" fillId="0" borderId="17" xfId="0" applyFont="1" applyFill="1" applyBorder="1" applyAlignment="1">
      <alignment wrapText="1"/>
    </xf>
    <xf numFmtId="169" fontId="0" fillId="0" borderId="18" xfId="0" applyNumberFormat="1" applyBorder="1"/>
    <xf numFmtId="169" fontId="0" fillId="0" borderId="19" xfId="0" applyNumberFormat="1" applyBorder="1"/>
    <xf numFmtId="169" fontId="0" fillId="0" borderId="20" xfId="0" applyNumberFormat="1" applyBorder="1"/>
    <xf numFmtId="0" fontId="6" fillId="0" borderId="12" xfId="0" applyFont="1" applyBorder="1"/>
    <xf numFmtId="169" fontId="0" fillId="0" borderId="3" xfId="0" applyNumberFormat="1" applyFill="1" applyBorder="1"/>
    <xf numFmtId="0" fontId="14" fillId="0" borderId="0" xfId="0" applyFont="1"/>
    <xf numFmtId="0" fontId="10" fillId="0" borderId="0" xfId="0" applyFont="1"/>
    <xf numFmtId="0" fontId="17" fillId="0" borderId="0" xfId="0" applyFont="1"/>
    <xf numFmtId="0" fontId="6" fillId="0" borderId="1" xfId="0" applyFont="1" applyBorder="1" applyAlignment="1">
      <alignment vertical="top"/>
    </xf>
    <xf numFmtId="168" fontId="3" fillId="0" borderId="2" xfId="0" applyNumberFormat="1" applyFont="1" applyBorder="1" applyAlignment="1">
      <alignment vertical="top"/>
    </xf>
    <xf numFmtId="168" fontId="3" fillId="0" borderId="1" xfId="0" applyNumberFormat="1" applyFont="1" applyBorder="1" applyAlignment="1">
      <alignment vertical="top"/>
    </xf>
    <xf numFmtId="168" fontId="3" fillId="0" borderId="3" xfId="0" applyNumberFormat="1" applyFont="1" applyBorder="1" applyAlignment="1">
      <alignment vertical="top"/>
    </xf>
    <xf numFmtId="168" fontId="3" fillId="0" borderId="2" xfId="0" applyNumberFormat="1" applyFont="1" applyFill="1" applyBorder="1" applyAlignment="1">
      <alignment vertical="top"/>
    </xf>
    <xf numFmtId="168" fontId="3" fillId="0" borderId="1" xfId="0" applyNumberFormat="1" applyFont="1" applyBorder="1" applyAlignment="1">
      <alignment vertical="top" wrapText="1"/>
    </xf>
    <xf numFmtId="0" fontId="0" fillId="0" borderId="0" xfId="0" applyAlignment="1">
      <alignment vertical="top"/>
    </xf>
    <xf numFmtId="168" fontId="3" fillId="0" borderId="1" xfId="0" applyNumberFormat="1" applyFont="1" applyFill="1" applyBorder="1" applyAlignment="1">
      <alignment vertical="top"/>
    </xf>
    <xf numFmtId="0" fontId="6" fillId="0" borderId="1" xfId="0" applyFont="1" applyBorder="1" applyAlignment="1">
      <alignment horizontal="left" vertical="top"/>
    </xf>
    <xf numFmtId="0" fontId="9" fillId="0" borderId="21" xfId="0" applyFont="1" applyBorder="1" applyAlignment="1">
      <alignment horizontal="left" vertical="top" wrapText="1"/>
    </xf>
    <xf numFmtId="168" fontId="3" fillId="0" borderId="1" xfId="0" applyNumberFormat="1" applyFont="1" applyBorder="1" applyAlignment="1">
      <alignment horizontal="left" vertical="top"/>
    </xf>
    <xf numFmtId="168" fontId="3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168" fontId="9" fillId="0" borderId="1" xfId="0" applyNumberFormat="1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168" fontId="9" fillId="0" borderId="2" xfId="0" applyNumberFormat="1" applyFont="1" applyBorder="1" applyAlignment="1">
      <alignment horizontal="right" vertical="top"/>
    </xf>
    <xf numFmtId="168" fontId="9" fillId="0" borderId="1" xfId="0" applyNumberFormat="1" applyFont="1" applyBorder="1" applyAlignment="1">
      <alignment horizontal="right" vertical="top"/>
    </xf>
    <xf numFmtId="168" fontId="9" fillId="0" borderId="3" xfId="0" applyNumberFormat="1" applyFont="1" applyBorder="1" applyAlignment="1">
      <alignment horizontal="right" vertical="top"/>
    </xf>
    <xf numFmtId="168" fontId="3" fillId="0" borderId="2" xfId="0" applyNumberFormat="1" applyFont="1" applyBorder="1" applyAlignment="1">
      <alignment horizontal="right" vertical="top"/>
    </xf>
    <xf numFmtId="168" fontId="3" fillId="0" borderId="1" xfId="0" applyNumberFormat="1" applyFont="1" applyBorder="1" applyAlignment="1">
      <alignment horizontal="right" vertical="top"/>
    </xf>
    <xf numFmtId="168" fontId="3" fillId="0" borderId="3" xfId="0" applyNumberFormat="1" applyFont="1" applyBorder="1" applyAlignment="1">
      <alignment horizontal="right" vertical="top"/>
    </xf>
    <xf numFmtId="168" fontId="3" fillId="0" borderId="2" xfId="0" applyNumberFormat="1" applyFont="1" applyFill="1" applyBorder="1" applyAlignment="1">
      <alignment horizontal="right" vertical="top"/>
    </xf>
    <xf numFmtId="168" fontId="3" fillId="0" borderId="1" xfId="0" applyNumberFormat="1" applyFont="1" applyBorder="1" applyAlignment="1">
      <alignment horizontal="right" vertical="top" wrapText="1"/>
    </xf>
    <xf numFmtId="168" fontId="3" fillId="0" borderId="1" xfId="0" applyNumberFormat="1" applyFont="1" applyFill="1" applyBorder="1" applyAlignment="1">
      <alignment horizontal="right" vertical="top"/>
    </xf>
    <xf numFmtId="0" fontId="0" fillId="0" borderId="0" xfId="0" applyFill="1" applyBorder="1" applyAlignment="1">
      <alignment vertical="top"/>
    </xf>
    <xf numFmtId="0" fontId="3" fillId="3" borderId="21" xfId="0" applyFont="1" applyFill="1" applyBorder="1" applyAlignment="1">
      <alignment horizontal="left" vertical="top"/>
    </xf>
    <xf numFmtId="0" fontId="7" fillId="2" borderId="21" xfId="0" applyFont="1" applyFill="1" applyBorder="1" applyAlignment="1">
      <alignment horizontal="left" vertical="top" wrapText="1"/>
    </xf>
    <xf numFmtId="0" fontId="6" fillId="3" borderId="21" xfId="0" applyFont="1" applyFill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 wrapText="1"/>
    </xf>
    <xf numFmtId="0" fontId="3" fillId="0" borderId="21" xfId="0" applyFont="1" applyFill="1" applyBorder="1" applyAlignment="1">
      <alignment horizontal="left" vertical="top" wrapText="1"/>
    </xf>
    <xf numFmtId="0" fontId="16" fillId="0" borderId="21" xfId="0" applyFont="1" applyFill="1" applyBorder="1" applyAlignment="1">
      <alignment horizontal="left" vertical="top" wrapText="1"/>
    </xf>
    <xf numFmtId="0" fontId="6" fillId="0" borderId="2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/>
    </xf>
    <xf numFmtId="0" fontId="0" fillId="0" borderId="0" xfId="0" applyAlignment="1">
      <alignment horizontal="right" vertical="top"/>
    </xf>
    <xf numFmtId="0" fontId="3" fillId="3" borderId="2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3" fillId="3" borderId="3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vertical="top"/>
    </xf>
    <xf numFmtId="168" fontId="3" fillId="3" borderId="3" xfId="0" applyNumberFormat="1" applyFont="1" applyFill="1" applyBorder="1" applyAlignment="1">
      <alignment horizontal="right" vertical="top"/>
    </xf>
    <xf numFmtId="168" fontId="3" fillId="3" borderId="1" xfId="0" applyNumberFormat="1" applyFont="1" applyFill="1" applyBorder="1" applyAlignment="1">
      <alignment horizontal="right" vertical="top"/>
    </xf>
    <xf numFmtId="0" fontId="7" fillId="2" borderId="7" xfId="0" applyFont="1" applyFill="1" applyBorder="1" applyAlignment="1">
      <alignment horizontal="right" vertical="top"/>
    </xf>
    <xf numFmtId="168" fontId="3" fillId="2" borderId="1" xfId="0" applyNumberFormat="1" applyFont="1" applyFill="1" applyBorder="1" applyAlignment="1">
      <alignment horizontal="right" vertical="top"/>
    </xf>
    <xf numFmtId="168" fontId="3" fillId="2" borderId="3" xfId="0" applyNumberFormat="1" applyFont="1" applyFill="1" applyBorder="1" applyAlignment="1">
      <alignment horizontal="right" vertical="top"/>
    </xf>
    <xf numFmtId="168" fontId="3" fillId="2" borderId="2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right" vertical="top"/>
    </xf>
    <xf numFmtId="168" fontId="9" fillId="0" borderId="2" xfId="0" applyNumberFormat="1" applyFont="1" applyFill="1" applyBorder="1" applyAlignment="1">
      <alignment horizontal="right" vertical="top"/>
    </xf>
    <xf numFmtId="168" fontId="9" fillId="0" borderId="1" xfId="0" applyNumberFormat="1" applyFont="1" applyFill="1" applyBorder="1" applyAlignment="1">
      <alignment horizontal="right" vertical="top"/>
    </xf>
    <xf numFmtId="168" fontId="9" fillId="0" borderId="1" xfId="0" applyNumberFormat="1" applyFont="1" applyFill="1" applyBorder="1" applyAlignment="1">
      <alignment vertical="top"/>
    </xf>
    <xf numFmtId="0" fontId="10" fillId="0" borderId="0" xfId="0" applyFont="1" applyAlignment="1">
      <alignment vertical="top"/>
    </xf>
    <xf numFmtId="168" fontId="9" fillId="0" borderId="1" xfId="0" applyNumberFormat="1" applyFont="1" applyBorder="1" applyAlignment="1">
      <alignment vertical="top"/>
    </xf>
    <xf numFmtId="168" fontId="3" fillId="3" borderId="2" xfId="0" applyNumberFormat="1" applyFont="1" applyFill="1" applyBorder="1" applyAlignment="1">
      <alignment horizontal="right" vertical="top"/>
    </xf>
    <xf numFmtId="168" fontId="6" fillId="3" borderId="3" xfId="0" applyNumberFormat="1" applyFont="1" applyFill="1" applyBorder="1" applyAlignment="1">
      <alignment horizontal="right" vertical="top"/>
    </xf>
    <xf numFmtId="168" fontId="3" fillId="3" borderId="1" xfId="0" applyNumberFormat="1" applyFont="1" applyFill="1" applyBorder="1" applyAlignment="1">
      <alignment vertical="top"/>
    </xf>
    <xf numFmtId="168" fontId="7" fillId="2" borderId="2" xfId="0" applyNumberFormat="1" applyFont="1" applyFill="1" applyBorder="1" applyAlignment="1">
      <alignment horizontal="right" vertical="top"/>
    </xf>
    <xf numFmtId="168" fontId="7" fillId="2" borderId="1" xfId="0" applyNumberFormat="1" applyFont="1" applyFill="1" applyBorder="1" applyAlignment="1">
      <alignment horizontal="right" vertical="top"/>
    </xf>
    <xf numFmtId="168" fontId="7" fillId="2" borderId="3" xfId="0" applyNumberFormat="1" applyFont="1" applyFill="1" applyBorder="1" applyAlignment="1">
      <alignment horizontal="right" vertical="top"/>
    </xf>
    <xf numFmtId="168" fontId="7" fillId="2" borderId="1" xfId="0" applyNumberFormat="1" applyFont="1" applyFill="1" applyBorder="1" applyAlignment="1">
      <alignment vertical="top"/>
    </xf>
    <xf numFmtId="168" fontId="6" fillId="3" borderId="2" xfId="0" applyNumberFormat="1" applyFont="1" applyFill="1" applyBorder="1" applyAlignment="1">
      <alignment horizontal="right" vertical="top"/>
    </xf>
    <xf numFmtId="168" fontId="6" fillId="3" borderId="1" xfId="0" applyNumberFormat="1" applyFont="1" applyFill="1" applyBorder="1" applyAlignment="1">
      <alignment horizontal="right" vertical="top"/>
    </xf>
    <xf numFmtId="168" fontId="6" fillId="3" borderId="1" xfId="0" applyNumberFormat="1" applyFont="1" applyFill="1" applyBorder="1" applyAlignment="1">
      <alignment vertical="top"/>
    </xf>
    <xf numFmtId="167" fontId="3" fillId="0" borderId="1" xfId="0" applyNumberFormat="1" applyFont="1" applyBorder="1" applyAlignment="1">
      <alignment vertical="top"/>
    </xf>
    <xf numFmtId="168" fontId="16" fillId="0" borderId="1" xfId="0" applyNumberFormat="1" applyFont="1" applyBorder="1" applyAlignment="1">
      <alignment vertical="top"/>
    </xf>
    <xf numFmtId="0" fontId="17" fillId="0" borderId="0" xfId="0" applyFont="1" applyAlignment="1">
      <alignment vertical="top"/>
    </xf>
    <xf numFmtId="168" fontId="6" fillId="0" borderId="2" xfId="0" applyNumberFormat="1" applyFont="1" applyFill="1" applyBorder="1" applyAlignment="1">
      <alignment horizontal="right" vertical="top"/>
    </xf>
    <xf numFmtId="168" fontId="6" fillId="0" borderId="1" xfId="0" applyNumberFormat="1" applyFont="1" applyFill="1" applyBorder="1" applyAlignment="1">
      <alignment horizontal="right" vertical="top"/>
    </xf>
    <xf numFmtId="168" fontId="6" fillId="0" borderId="3" xfId="0" applyNumberFormat="1" applyFont="1" applyFill="1" applyBorder="1" applyAlignment="1">
      <alignment horizontal="right" vertical="top"/>
    </xf>
    <xf numFmtId="168" fontId="6" fillId="0" borderId="1" xfId="0" applyNumberFormat="1" applyFont="1" applyFill="1" applyBorder="1" applyAlignment="1">
      <alignment vertical="top"/>
    </xf>
    <xf numFmtId="0" fontId="0" fillId="0" borderId="0" xfId="0" applyFill="1" applyAlignment="1">
      <alignment vertical="top"/>
    </xf>
    <xf numFmtId="168" fontId="6" fillId="3" borderId="22" xfId="0" applyNumberFormat="1" applyFont="1" applyFill="1" applyBorder="1" applyAlignment="1">
      <alignment horizontal="right" vertical="top"/>
    </xf>
    <xf numFmtId="168" fontId="6" fillId="3" borderId="23" xfId="0" applyNumberFormat="1" applyFont="1" applyFill="1" applyBorder="1" applyAlignment="1">
      <alignment horizontal="right" vertical="top"/>
    </xf>
    <xf numFmtId="168" fontId="6" fillId="3" borderId="24" xfId="0" applyNumberFormat="1" applyFont="1" applyFill="1" applyBorder="1" applyAlignment="1">
      <alignment horizontal="right" vertical="top"/>
    </xf>
    <xf numFmtId="168" fontId="6" fillId="3" borderId="23" xfId="0" applyNumberFormat="1" applyFont="1" applyFill="1" applyBorder="1" applyAlignment="1">
      <alignment vertical="top"/>
    </xf>
    <xf numFmtId="168" fontId="7" fillId="3" borderId="24" xfId="0" applyNumberFormat="1" applyFont="1" applyFill="1" applyBorder="1" applyAlignment="1">
      <alignment horizontal="right" vertical="top"/>
    </xf>
    <xf numFmtId="168" fontId="7" fillId="3" borderId="1" xfId="0" applyNumberFormat="1" applyFont="1" applyFill="1" applyBorder="1" applyAlignment="1">
      <alignment horizontal="right" vertical="top"/>
    </xf>
    <xf numFmtId="168" fontId="6" fillId="5" borderId="1" xfId="0" applyNumberFormat="1" applyFont="1" applyFill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168" fontId="0" fillId="3" borderId="1" xfId="0" applyNumberFormat="1" applyFill="1" applyBorder="1" applyAlignment="1">
      <alignment horizontal="right" vertical="top"/>
    </xf>
    <xf numFmtId="168" fontId="0" fillId="3" borderId="1" xfId="0" applyNumberFormat="1" applyFill="1" applyBorder="1" applyAlignment="1">
      <alignment vertical="top"/>
    </xf>
    <xf numFmtId="0" fontId="0" fillId="3" borderId="1" xfId="0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68" fontId="2" fillId="3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9" fontId="0" fillId="3" borderId="0" xfId="17" applyFont="1" applyFill="1" applyBorder="1" applyAlignment="1">
      <alignment horizontal="right" vertical="top"/>
    </xf>
    <xf numFmtId="9" fontId="0" fillId="3" borderId="0" xfId="17" applyFont="1" applyFill="1" applyBorder="1" applyAlignment="1">
      <alignment vertical="top"/>
    </xf>
    <xf numFmtId="168" fontId="0" fillId="4" borderId="1" xfId="0" applyNumberFormat="1" applyFill="1" applyBorder="1" applyAlignment="1">
      <alignment horizontal="right" vertical="top"/>
    </xf>
    <xf numFmtId="168" fontId="0" fillId="4" borderId="1" xfId="0" applyNumberFormat="1" applyFill="1" applyBorder="1" applyAlignment="1">
      <alignment vertical="top"/>
    </xf>
    <xf numFmtId="0" fontId="0" fillId="0" borderId="0" xfId="0" applyFill="1" applyBorder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9" fillId="0" borderId="21" xfId="0" applyFont="1" applyFill="1" applyBorder="1" applyAlignment="1">
      <alignment horizontal="left" vertical="top" wrapText="1"/>
    </xf>
    <xf numFmtId="0" fontId="9" fillId="0" borderId="21" xfId="0" applyFont="1" applyBorder="1" applyAlignment="1">
      <alignment horizontal="left" vertical="top"/>
    </xf>
    <xf numFmtId="168" fontId="3" fillId="3" borderId="3" xfId="0" applyNumberFormat="1" applyFont="1" applyFill="1" applyBorder="1" applyAlignment="1">
      <alignment vertical="top"/>
    </xf>
    <xf numFmtId="0" fontId="7" fillId="2" borderId="7" xfId="0" applyFont="1" applyFill="1" applyBorder="1" applyAlignment="1">
      <alignment vertical="top"/>
    </xf>
    <xf numFmtId="168" fontId="3" fillId="2" borderId="1" xfId="0" applyNumberFormat="1" applyFont="1" applyFill="1" applyBorder="1" applyAlignment="1">
      <alignment vertical="top"/>
    </xf>
    <xf numFmtId="168" fontId="3" fillId="2" borderId="3" xfId="0" applyNumberFormat="1" applyFont="1" applyFill="1" applyBorder="1" applyAlignment="1">
      <alignment vertical="top"/>
    </xf>
    <xf numFmtId="168" fontId="3" fillId="2" borderId="2" xfId="0" applyNumberFormat="1" applyFont="1" applyFill="1" applyBorder="1" applyAlignment="1">
      <alignment vertical="top"/>
    </xf>
    <xf numFmtId="168" fontId="13" fillId="0" borderId="1" xfId="0" applyNumberFormat="1" applyFont="1" applyBorder="1" applyAlignment="1">
      <alignment vertical="top"/>
    </xf>
    <xf numFmtId="0" fontId="14" fillId="0" borderId="0" xfId="0" applyFont="1" applyAlignment="1">
      <alignment vertical="top"/>
    </xf>
    <xf numFmtId="168" fontId="9" fillId="0" borderId="3" xfId="0" applyNumberFormat="1" applyFont="1" applyBorder="1" applyAlignment="1">
      <alignment vertical="top"/>
    </xf>
    <xf numFmtId="168" fontId="9" fillId="0" borderId="2" xfId="0" applyNumberFormat="1" applyFont="1" applyBorder="1" applyAlignment="1">
      <alignment vertical="top"/>
    </xf>
    <xf numFmtId="168" fontId="3" fillId="3" borderId="2" xfId="0" applyNumberFormat="1" applyFont="1" applyFill="1" applyBorder="1" applyAlignment="1">
      <alignment vertical="top"/>
    </xf>
    <xf numFmtId="168" fontId="6" fillId="3" borderId="2" xfId="0" applyNumberFormat="1" applyFont="1" applyFill="1" applyBorder="1" applyAlignment="1">
      <alignment vertical="top"/>
    </xf>
    <xf numFmtId="168" fontId="6" fillId="3" borderId="3" xfId="0" applyNumberFormat="1" applyFont="1" applyFill="1" applyBorder="1" applyAlignment="1">
      <alignment vertical="top"/>
    </xf>
    <xf numFmtId="168" fontId="16" fillId="0" borderId="2" xfId="0" applyNumberFormat="1" applyFont="1" applyBorder="1" applyAlignment="1">
      <alignment vertical="top"/>
    </xf>
    <xf numFmtId="168" fontId="16" fillId="0" borderId="3" xfId="0" applyNumberFormat="1" applyFont="1" applyBorder="1" applyAlignment="1">
      <alignment vertical="top"/>
    </xf>
    <xf numFmtId="168" fontId="6" fillId="0" borderId="2" xfId="0" applyNumberFormat="1" applyFont="1" applyFill="1" applyBorder="1" applyAlignment="1">
      <alignment vertical="top"/>
    </xf>
    <xf numFmtId="168" fontId="6" fillId="0" borderId="3" xfId="0" applyNumberFormat="1" applyFont="1" applyFill="1" applyBorder="1" applyAlignment="1">
      <alignment vertical="top"/>
    </xf>
    <xf numFmtId="168" fontId="7" fillId="0" borderId="3" xfId="0" applyNumberFormat="1" applyFont="1" applyFill="1" applyBorder="1" applyAlignment="1">
      <alignment vertical="top"/>
    </xf>
    <xf numFmtId="168" fontId="7" fillId="0" borderId="1" xfId="0" applyNumberFormat="1" applyFont="1" applyFill="1" applyBorder="1" applyAlignment="1">
      <alignment vertical="top"/>
    </xf>
    <xf numFmtId="168" fontId="6" fillId="3" borderId="22" xfId="0" applyNumberFormat="1" applyFont="1" applyFill="1" applyBorder="1" applyAlignment="1">
      <alignment vertical="top"/>
    </xf>
    <xf numFmtId="168" fontId="6" fillId="3" borderId="24" xfId="0" applyNumberFormat="1" applyFont="1" applyFill="1" applyBorder="1" applyAlignment="1">
      <alignment vertical="top"/>
    </xf>
    <xf numFmtId="168" fontId="7" fillId="3" borderId="24" xfId="0" applyNumberFormat="1" applyFont="1" applyFill="1" applyBorder="1" applyAlignment="1">
      <alignment vertical="top"/>
    </xf>
    <xf numFmtId="168" fontId="7" fillId="3" borderId="1" xfId="0" applyNumberFormat="1" applyFont="1" applyFill="1" applyBorder="1" applyAlignment="1">
      <alignment vertical="top"/>
    </xf>
    <xf numFmtId="168" fontId="0" fillId="0" borderId="25" xfId="0" applyNumberFormat="1" applyBorder="1" applyAlignment="1">
      <alignment vertical="top"/>
    </xf>
    <xf numFmtId="168" fontId="0" fillId="0" borderId="25" xfId="0" applyNumberFormat="1" applyFill="1" applyBorder="1" applyAlignment="1">
      <alignment vertical="top"/>
    </xf>
    <xf numFmtId="168" fontId="6" fillId="0" borderId="25" xfId="0" applyNumberFormat="1" applyFont="1" applyFill="1" applyBorder="1" applyAlignment="1">
      <alignment vertical="top"/>
    </xf>
    <xf numFmtId="167" fontId="3" fillId="0" borderId="25" xfId="0" applyNumberFormat="1" applyFont="1" applyFill="1" applyBorder="1" applyAlignment="1">
      <alignment vertical="top"/>
    </xf>
    <xf numFmtId="168" fontId="0" fillId="0" borderId="1" xfId="0" applyNumberFormat="1" applyFill="1" applyBorder="1" applyAlignment="1">
      <alignment vertical="top"/>
    </xf>
    <xf numFmtId="167" fontId="3" fillId="0" borderId="1" xfId="0" applyNumberFormat="1" applyFont="1" applyFill="1" applyBorder="1" applyAlignment="1">
      <alignment vertical="top"/>
    </xf>
    <xf numFmtId="167" fontId="3" fillId="3" borderId="1" xfId="0" applyNumberFormat="1" applyFont="1" applyFill="1" applyBorder="1" applyAlignment="1">
      <alignment vertical="top"/>
    </xf>
    <xf numFmtId="168" fontId="0" fillId="0" borderId="0" xfId="0" applyNumberFormat="1" applyAlignment="1">
      <alignment vertical="top"/>
    </xf>
    <xf numFmtId="0" fontId="3" fillId="0" borderId="1" xfId="0" applyFont="1" applyBorder="1" applyAlignment="1">
      <alignment vertical="top"/>
    </xf>
    <xf numFmtId="0" fontId="15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top"/>
    </xf>
    <xf numFmtId="0" fontId="6" fillId="0" borderId="1" xfId="0" applyFont="1" applyBorder="1" applyAlignment="1">
      <alignment horizontal="right" vertical="top"/>
    </xf>
    <xf numFmtId="0" fontId="6" fillId="3" borderId="2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3" borderId="21" xfId="0" applyFont="1" applyFill="1" applyBorder="1" applyAlignment="1">
      <alignment horizontal="center" vertical="top"/>
    </xf>
    <xf numFmtId="168" fontId="6" fillId="3" borderId="3" xfId="0" applyNumberFormat="1" applyFont="1" applyFill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168" fontId="6" fillId="3" borderId="1" xfId="0" applyNumberFormat="1" applyFont="1" applyFill="1" applyBorder="1" applyAlignment="1">
      <alignment horizontal="center" vertical="top"/>
    </xf>
    <xf numFmtId="0" fontId="2" fillId="0" borderId="0" xfId="0" applyFont="1" applyAlignment="1">
      <alignment horizontal="center"/>
    </xf>
    <xf numFmtId="168" fontId="20" fillId="6" borderId="3" xfId="0" applyNumberFormat="1" applyFont="1" applyFill="1" applyBorder="1" applyAlignment="1">
      <alignment vertical="top"/>
    </xf>
    <xf numFmtId="168" fontId="6" fillId="5" borderId="25" xfId="0" applyNumberFormat="1" applyFont="1" applyFill="1" applyBorder="1" applyAlignment="1">
      <alignment horizontal="center" vertical="top"/>
    </xf>
    <xf numFmtId="168" fontId="0" fillId="0" borderId="25" xfId="0" applyNumberFormat="1" applyBorder="1" applyAlignment="1">
      <alignment horizontal="center" vertical="top"/>
    </xf>
    <xf numFmtId="0" fontId="8" fillId="0" borderId="21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0" fontId="3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3" fillId="0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0" xfId="0" applyAlignment="1">
      <alignment horizontal="center" vertical="top"/>
    </xf>
    <xf numFmtId="0" fontId="3" fillId="3" borderId="21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center" vertical="top"/>
    </xf>
    <xf numFmtId="168" fontId="3" fillId="3" borderId="3" xfId="0" applyNumberFormat="1" applyFont="1" applyFill="1" applyBorder="1" applyAlignment="1">
      <alignment horizontal="center" vertical="top"/>
    </xf>
    <xf numFmtId="168" fontId="3" fillId="3" borderId="1" xfId="0" applyNumberFormat="1" applyFont="1" applyFill="1" applyBorder="1" applyAlignment="1">
      <alignment horizontal="center" vertical="top"/>
    </xf>
    <xf numFmtId="168" fontId="9" fillId="0" borderId="9" xfId="0" applyNumberFormat="1" applyFont="1" applyBorder="1" applyAlignment="1">
      <alignment horizontal="right" vertical="top"/>
    </xf>
    <xf numFmtId="168" fontId="9" fillId="0" borderId="10" xfId="0" applyNumberFormat="1" applyFont="1" applyBorder="1" applyAlignment="1">
      <alignment horizontal="right" vertical="top"/>
    </xf>
    <xf numFmtId="168" fontId="9" fillId="0" borderId="11" xfId="0" applyNumberFormat="1" applyFont="1" applyBorder="1" applyAlignment="1">
      <alignment horizontal="right" vertical="top"/>
    </xf>
    <xf numFmtId="168" fontId="9" fillId="0" borderId="10" xfId="0" applyNumberFormat="1" applyFont="1" applyFill="1" applyBorder="1" applyAlignment="1">
      <alignment vertical="top"/>
    </xf>
    <xf numFmtId="168" fontId="9" fillId="0" borderId="21" xfId="0" applyNumberFormat="1" applyFont="1" applyBorder="1" applyAlignment="1">
      <alignment horizontal="right" vertical="top"/>
    </xf>
    <xf numFmtId="0" fontId="20" fillId="0" borderId="21" xfId="0" applyFont="1" applyBorder="1" applyAlignment="1">
      <alignment horizontal="left" vertical="top" wrapText="1"/>
    </xf>
    <xf numFmtId="0" fontId="10" fillId="0" borderId="0" xfId="15" applyFont="1"/>
    <xf numFmtId="0" fontId="2" fillId="0" borderId="0" xfId="15" applyFont="1" applyAlignment="1">
      <alignment vertical="center"/>
    </xf>
    <xf numFmtId="0" fontId="2" fillId="0" borderId="0" xfId="15" applyFont="1"/>
    <xf numFmtId="0" fontId="10" fillId="0" borderId="0" xfId="15" applyFont="1" applyAlignment="1">
      <alignment wrapText="1"/>
    </xf>
    <xf numFmtId="0" fontId="2" fillId="0" borderId="0" xfId="15" applyFont="1" applyAlignment="1">
      <alignment wrapText="1"/>
    </xf>
    <xf numFmtId="0" fontId="2" fillId="0" borderId="26" xfId="15" applyFont="1" applyBorder="1"/>
    <xf numFmtId="0" fontId="2" fillId="0" borderId="27" xfId="15" applyFont="1" applyBorder="1"/>
    <xf numFmtId="0" fontId="2" fillId="0" borderId="12" xfId="15" applyFont="1" applyBorder="1"/>
    <xf numFmtId="0" fontId="2" fillId="0" borderId="28" xfId="15" applyFont="1" applyBorder="1" applyAlignment="1">
      <alignment horizontal="center" vertical="center"/>
    </xf>
    <xf numFmtId="0" fontId="2" fillId="0" borderId="29" xfId="15" applyFont="1" applyFill="1" applyBorder="1" applyAlignment="1">
      <alignment horizontal="center" vertical="center"/>
    </xf>
    <xf numFmtId="0" fontId="2" fillId="0" borderId="16" xfId="15" applyFont="1" applyFill="1" applyBorder="1" applyAlignment="1">
      <alignment horizontal="center" vertical="center"/>
    </xf>
    <xf numFmtId="0" fontId="2" fillId="0" borderId="30" xfId="15" applyFont="1" applyFill="1" applyBorder="1" applyAlignment="1">
      <alignment horizontal="center" vertical="center" wrapText="1"/>
    </xf>
    <xf numFmtId="0" fontId="21" fillId="0" borderId="16" xfId="15" applyFont="1" applyFill="1" applyBorder="1" applyAlignment="1">
      <alignment horizontal="center" vertical="center"/>
    </xf>
    <xf numFmtId="0" fontId="2" fillId="0" borderId="31" xfId="15" applyFont="1" applyFill="1" applyBorder="1" applyAlignment="1">
      <alignment horizontal="center" vertical="center"/>
    </xf>
    <xf numFmtId="0" fontId="2" fillId="0" borderId="2" xfId="15" applyFont="1" applyFill="1" applyBorder="1"/>
    <xf numFmtId="0" fontId="2" fillId="0" borderId="21" xfId="15" applyFont="1" applyFill="1" applyBorder="1" applyAlignment="1">
      <alignment wrapText="1"/>
    </xf>
    <xf numFmtId="0" fontId="2" fillId="0" borderId="32" xfId="15" applyFont="1" applyFill="1" applyBorder="1" applyAlignment="1">
      <alignment wrapText="1"/>
    </xf>
    <xf numFmtId="0" fontId="2" fillId="0" borderId="33" xfId="15" applyFont="1" applyFill="1" applyBorder="1" applyAlignment="1">
      <alignment wrapText="1"/>
    </xf>
    <xf numFmtId="0" fontId="2" fillId="0" borderId="34" xfId="15" applyFont="1" applyFill="1" applyBorder="1" applyAlignment="1">
      <alignment wrapText="1"/>
    </xf>
    <xf numFmtId="0" fontId="10" fillId="0" borderId="2" xfId="15" applyFont="1" applyBorder="1" applyAlignment="1">
      <alignment wrapText="1"/>
    </xf>
    <xf numFmtId="0" fontId="10" fillId="0" borderId="21" xfId="15" applyFont="1" applyBorder="1" applyAlignment="1">
      <alignment wrapText="1"/>
    </xf>
    <xf numFmtId="170" fontId="10" fillId="3" borderId="33" xfId="2" applyFont="1" applyFill="1" applyBorder="1" applyAlignment="1">
      <alignment wrapText="1"/>
    </xf>
    <xf numFmtId="170" fontId="2" fillId="0" borderId="32" xfId="2" applyFont="1" applyFill="1" applyBorder="1" applyAlignment="1">
      <alignment wrapText="1"/>
    </xf>
    <xf numFmtId="170" fontId="2" fillId="0" borderId="33" xfId="2" applyFont="1" applyFill="1" applyBorder="1" applyAlignment="1">
      <alignment wrapText="1"/>
    </xf>
    <xf numFmtId="170" fontId="2" fillId="0" borderId="34" xfId="2" applyFont="1" applyFill="1" applyBorder="1" applyAlignment="1">
      <alignment wrapText="1"/>
    </xf>
    <xf numFmtId="170" fontId="10" fillId="7" borderId="32" xfId="2" applyFont="1" applyFill="1" applyBorder="1" applyAlignment="1">
      <alignment vertical="center" wrapText="1"/>
    </xf>
    <xf numFmtId="170" fontId="10" fillId="7" borderId="33" xfId="2" applyFont="1" applyFill="1" applyBorder="1" applyAlignment="1">
      <alignment vertical="center" wrapText="1"/>
    </xf>
    <xf numFmtId="170" fontId="10" fillId="0" borderId="34" xfId="2" applyFont="1" applyBorder="1" applyAlignment="1">
      <alignment wrapText="1"/>
    </xf>
    <xf numFmtId="170" fontId="10" fillId="7" borderId="32" xfId="2" applyFont="1" applyFill="1" applyBorder="1" applyAlignment="1">
      <alignment wrapText="1"/>
    </xf>
    <xf numFmtId="170" fontId="10" fillId="7" borderId="33" xfId="2" applyFont="1" applyFill="1" applyBorder="1" applyAlignment="1">
      <alignment wrapText="1"/>
    </xf>
    <xf numFmtId="170" fontId="2" fillId="4" borderId="27" xfId="2" applyFont="1" applyFill="1" applyBorder="1" applyAlignment="1">
      <alignment horizontal="right" wrapText="1"/>
    </xf>
    <xf numFmtId="170" fontId="10" fillId="4" borderId="35" xfId="2" applyFont="1" applyFill="1" applyBorder="1" applyAlignment="1">
      <alignment wrapText="1"/>
    </xf>
    <xf numFmtId="170" fontId="10" fillId="4" borderId="27" xfId="2" applyFont="1" applyFill="1" applyBorder="1"/>
    <xf numFmtId="170" fontId="10" fillId="4" borderId="36" xfId="2" applyFont="1" applyFill="1" applyBorder="1"/>
    <xf numFmtId="170" fontId="2" fillId="0" borderId="16" xfId="2" applyFont="1" applyFill="1" applyBorder="1" applyAlignment="1">
      <alignment horizontal="center" vertical="center"/>
    </xf>
    <xf numFmtId="170" fontId="2" fillId="0" borderId="30" xfId="2" applyFont="1" applyFill="1" applyBorder="1" applyAlignment="1">
      <alignment horizontal="center" vertical="center" wrapText="1"/>
    </xf>
    <xf numFmtId="170" fontId="21" fillId="0" borderId="16" xfId="2" applyFont="1" applyFill="1" applyBorder="1" applyAlignment="1">
      <alignment horizontal="center" vertical="center"/>
    </xf>
    <xf numFmtId="170" fontId="2" fillId="0" borderId="31" xfId="2" applyFont="1" applyFill="1" applyBorder="1" applyAlignment="1">
      <alignment horizontal="center" vertical="center"/>
    </xf>
    <xf numFmtId="170" fontId="2" fillId="3" borderId="33" xfId="2" applyFont="1" applyFill="1" applyBorder="1" applyAlignment="1">
      <alignment wrapText="1"/>
    </xf>
    <xf numFmtId="171" fontId="10" fillId="0" borderId="2" xfId="15" applyNumberFormat="1" applyFont="1" applyBorder="1" applyAlignment="1">
      <alignment vertical="center" wrapText="1"/>
    </xf>
    <xf numFmtId="0" fontId="10" fillId="0" borderId="21" xfId="15" applyFont="1" applyBorder="1" applyAlignment="1">
      <alignment vertical="center" wrapText="1"/>
    </xf>
    <xf numFmtId="170" fontId="10" fillId="3" borderId="33" xfId="2" applyFont="1" applyFill="1" applyBorder="1" applyAlignment="1">
      <alignment vertical="center" wrapText="1"/>
    </xf>
    <xf numFmtId="170" fontId="2" fillId="0" borderId="16" xfId="2" applyFont="1" applyFill="1" applyBorder="1" applyAlignment="1">
      <alignment horizontal="center" vertical="center" wrapText="1"/>
    </xf>
    <xf numFmtId="0" fontId="2" fillId="0" borderId="2" xfId="15" applyFont="1" applyBorder="1" applyAlignment="1">
      <alignment vertical="center" wrapText="1"/>
    </xf>
    <xf numFmtId="0" fontId="2" fillId="0" borderId="21" xfId="15" applyFont="1" applyBorder="1" applyAlignment="1">
      <alignment horizontal="left" vertical="center" wrapText="1"/>
    </xf>
    <xf numFmtId="170" fontId="2" fillId="3" borderId="33" xfId="2" applyFont="1" applyFill="1" applyBorder="1" applyAlignment="1">
      <alignment horizontal="left" vertical="center" wrapText="1"/>
    </xf>
    <xf numFmtId="170" fontId="2" fillId="0" borderId="34" xfId="2" applyFont="1" applyBorder="1" applyAlignment="1">
      <alignment horizontal="left" vertical="center" wrapText="1"/>
    </xf>
    <xf numFmtId="0" fontId="10" fillId="3" borderId="33" xfId="15" applyFont="1" applyFill="1" applyBorder="1" applyAlignment="1">
      <alignment vertical="center" wrapText="1"/>
    </xf>
    <xf numFmtId="1" fontId="2" fillId="0" borderId="2" xfId="15" applyNumberFormat="1" applyFont="1" applyBorder="1" applyAlignment="1">
      <alignment vertical="center" wrapText="1"/>
    </xf>
    <xf numFmtId="0" fontId="2" fillId="0" borderId="21" xfId="15" applyFont="1" applyBorder="1" applyAlignment="1">
      <alignment vertical="center" wrapText="1"/>
    </xf>
    <xf numFmtId="170" fontId="2" fillId="0" borderId="33" xfId="2" applyFont="1" applyBorder="1" applyAlignment="1">
      <alignment vertical="center" wrapText="1"/>
    </xf>
    <xf numFmtId="170" fontId="2" fillId="0" borderId="32" xfId="2" applyFont="1" applyBorder="1" applyAlignment="1">
      <alignment vertical="center" wrapText="1"/>
    </xf>
    <xf numFmtId="170" fontId="2" fillId="0" borderId="34" xfId="2" applyFont="1" applyBorder="1" applyAlignment="1">
      <alignment vertical="center" wrapText="1"/>
    </xf>
    <xf numFmtId="170" fontId="10" fillId="0" borderId="34" xfId="2" applyFont="1" applyBorder="1" applyAlignment="1">
      <alignment vertical="center" wrapText="1"/>
    </xf>
    <xf numFmtId="0" fontId="2" fillId="0" borderId="2" xfId="15" applyNumberFormat="1" applyFont="1" applyBorder="1" applyAlignment="1">
      <alignment vertical="center" wrapText="1"/>
    </xf>
    <xf numFmtId="170" fontId="2" fillId="3" borderId="33" xfId="2" applyFont="1" applyFill="1" applyBorder="1" applyAlignment="1">
      <alignment vertical="center" wrapText="1"/>
    </xf>
    <xf numFmtId="170" fontId="2" fillId="8" borderId="23" xfId="2" applyFont="1" applyFill="1" applyBorder="1" applyAlignment="1">
      <alignment horizontal="center" vertical="center" wrapText="1"/>
    </xf>
    <xf numFmtId="170" fontId="2" fillId="8" borderId="23" xfId="2" applyFont="1" applyFill="1" applyBorder="1" applyAlignment="1">
      <alignment wrapText="1"/>
    </xf>
    <xf numFmtId="170" fontId="2" fillId="8" borderId="23" xfId="2" applyFont="1" applyFill="1" applyBorder="1"/>
    <xf numFmtId="170" fontId="2" fillId="8" borderId="24" xfId="2" applyFont="1" applyFill="1" applyBorder="1"/>
    <xf numFmtId="0" fontId="23" fillId="0" borderId="1" xfId="0" applyFont="1" applyBorder="1" applyAlignment="1">
      <alignment vertical="top"/>
    </xf>
    <xf numFmtId="0" fontId="25" fillId="0" borderId="0" xfId="16"/>
    <xf numFmtId="0" fontId="24" fillId="0" borderId="0" xfId="15" applyFont="1"/>
    <xf numFmtId="0" fontId="10" fillId="0" borderId="21" xfId="15" applyFont="1" applyBorder="1" applyAlignment="1">
      <alignment horizontal="left" vertical="center" wrapText="1"/>
    </xf>
    <xf numFmtId="170" fontId="10" fillId="0" borderId="34" xfId="2" applyFont="1" applyBorder="1" applyAlignment="1">
      <alignment horizontal="left" vertical="center" wrapText="1"/>
    </xf>
    <xf numFmtId="170" fontId="10" fillId="0" borderId="32" xfId="2" applyFont="1" applyBorder="1" applyAlignment="1">
      <alignment vertical="center" wrapText="1"/>
    </xf>
    <xf numFmtId="170" fontId="10" fillId="0" borderId="33" xfId="2" applyFont="1" applyBorder="1" applyAlignment="1">
      <alignment vertical="center" wrapText="1"/>
    </xf>
    <xf numFmtId="169" fontId="0" fillId="0" borderId="37" xfId="1" applyNumberFormat="1" applyFont="1" applyBorder="1"/>
    <xf numFmtId="0" fontId="3" fillId="3" borderId="3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38" xfId="0" applyFont="1" applyFill="1" applyBorder="1" applyAlignment="1">
      <alignment horizontal="center"/>
    </xf>
    <xf numFmtId="14" fontId="10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2" borderId="21" xfId="0" applyFont="1" applyFill="1" applyBorder="1" applyAlignment="1">
      <alignment horizontal="left" vertical="top" wrapText="1"/>
    </xf>
    <xf numFmtId="0" fontId="6" fillId="2" borderId="7" xfId="0" applyFont="1" applyFill="1" applyBorder="1" applyAlignment="1">
      <alignment wrapText="1"/>
    </xf>
    <xf numFmtId="0" fontId="9" fillId="0" borderId="7" xfId="0" applyFont="1" applyBorder="1" applyAlignment="1">
      <alignment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  <xf numFmtId="0" fontId="6" fillId="0" borderId="21" xfId="0" applyFont="1" applyBorder="1" applyAlignment="1">
      <alignment horizontal="left" vertical="top"/>
    </xf>
    <xf numFmtId="0" fontId="6" fillId="0" borderId="1" xfId="0" applyFont="1" applyBorder="1" applyAlignment="1">
      <alignment horizontal="center"/>
    </xf>
    <xf numFmtId="0" fontId="6" fillId="0" borderId="21" xfId="0" applyFont="1" applyBorder="1" applyAlignment="1">
      <alignment horizontal="center" vertical="top"/>
    </xf>
    <xf numFmtId="0" fontId="6" fillId="9" borderId="38" xfId="0" applyFont="1" applyFill="1" applyBorder="1" applyAlignment="1">
      <alignment horizontal="center"/>
    </xf>
    <xf numFmtId="0" fontId="6" fillId="9" borderId="39" xfId="0" applyFont="1" applyFill="1" applyBorder="1" applyAlignment="1">
      <alignment horizontal="center"/>
    </xf>
    <xf numFmtId="0" fontId="6" fillId="9" borderId="40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6" fillId="5" borderId="38" xfId="0" applyFont="1" applyFill="1" applyBorder="1" applyAlignment="1">
      <alignment horizontal="center"/>
    </xf>
    <xf numFmtId="0" fontId="6" fillId="5" borderId="39" xfId="0" applyFont="1" applyFill="1" applyBorder="1" applyAlignment="1">
      <alignment horizontal="center"/>
    </xf>
    <xf numFmtId="0" fontId="6" fillId="5" borderId="40" xfId="0" applyFont="1" applyFill="1" applyBorder="1" applyAlignment="1">
      <alignment horizontal="center"/>
    </xf>
    <xf numFmtId="0" fontId="6" fillId="10" borderId="38" xfId="0" applyFont="1" applyFill="1" applyBorder="1" applyAlignment="1">
      <alignment horizontal="center"/>
    </xf>
    <xf numFmtId="0" fontId="6" fillId="10" borderId="39" xfId="0" applyFont="1" applyFill="1" applyBorder="1" applyAlignment="1">
      <alignment horizontal="center"/>
    </xf>
    <xf numFmtId="0" fontId="6" fillId="10" borderId="40" xfId="0" applyFont="1" applyFill="1" applyBorder="1" applyAlignment="1">
      <alignment horizontal="center"/>
    </xf>
    <xf numFmtId="0" fontId="6" fillId="9" borderId="21" xfId="0" applyFont="1" applyFill="1" applyBorder="1" applyAlignment="1">
      <alignment horizontal="center" vertical="top"/>
    </xf>
    <xf numFmtId="0" fontId="6" fillId="9" borderId="32" xfId="0" applyFont="1" applyFill="1" applyBorder="1" applyAlignment="1">
      <alignment horizontal="center" vertical="top"/>
    </xf>
    <xf numFmtId="0" fontId="6" fillId="9" borderId="41" xfId="0" applyFont="1" applyFill="1" applyBorder="1" applyAlignment="1">
      <alignment horizontal="center" vertical="top"/>
    </xf>
    <xf numFmtId="0" fontId="6" fillId="5" borderId="38" xfId="0" applyFont="1" applyFill="1" applyBorder="1" applyAlignment="1">
      <alignment horizontal="center" vertical="top"/>
    </xf>
    <xf numFmtId="0" fontId="6" fillId="5" borderId="39" xfId="0" applyFont="1" applyFill="1" applyBorder="1" applyAlignment="1">
      <alignment horizontal="center" vertical="top"/>
    </xf>
    <xf numFmtId="0" fontId="6" fillId="5" borderId="40" xfId="0" applyFont="1" applyFill="1" applyBorder="1" applyAlignment="1">
      <alignment horizontal="center" vertical="top"/>
    </xf>
    <xf numFmtId="0" fontId="6" fillId="10" borderId="38" xfId="0" applyFont="1" applyFill="1" applyBorder="1" applyAlignment="1">
      <alignment horizontal="center" vertical="top"/>
    </xf>
    <xf numFmtId="0" fontId="6" fillId="10" borderId="39" xfId="0" applyFont="1" applyFill="1" applyBorder="1" applyAlignment="1">
      <alignment horizontal="center" vertical="top"/>
    </xf>
    <xf numFmtId="0" fontId="6" fillId="10" borderId="40" xfId="0" applyFont="1" applyFill="1" applyBorder="1" applyAlignment="1">
      <alignment horizontal="center" vertical="top"/>
    </xf>
    <xf numFmtId="0" fontId="6" fillId="9" borderId="38" xfId="0" applyFont="1" applyFill="1" applyBorder="1" applyAlignment="1">
      <alignment horizontal="center" vertical="top"/>
    </xf>
    <xf numFmtId="0" fontId="6" fillId="9" borderId="39" xfId="0" applyFont="1" applyFill="1" applyBorder="1" applyAlignment="1">
      <alignment horizontal="center" vertical="top"/>
    </xf>
    <xf numFmtId="0" fontId="6" fillId="9" borderId="40" xfId="0" applyFont="1" applyFill="1" applyBorder="1" applyAlignment="1">
      <alignment horizontal="center" vertical="top"/>
    </xf>
    <xf numFmtId="0" fontId="6" fillId="9" borderId="21" xfId="0" applyFont="1" applyFill="1" applyBorder="1" applyAlignment="1">
      <alignment horizontal="right" vertical="top"/>
    </xf>
    <xf numFmtId="0" fontId="6" fillId="9" borderId="32" xfId="0" applyFont="1" applyFill="1" applyBorder="1" applyAlignment="1">
      <alignment horizontal="right" vertical="top"/>
    </xf>
    <xf numFmtId="0" fontId="6" fillId="9" borderId="41" xfId="0" applyFont="1" applyFill="1" applyBorder="1" applyAlignment="1">
      <alignment horizontal="right" vertical="top"/>
    </xf>
    <xf numFmtId="0" fontId="2" fillId="4" borderId="13" xfId="15" applyFont="1" applyFill="1" applyBorder="1" applyAlignment="1">
      <alignment horizontal="right" wrapText="1"/>
    </xf>
    <xf numFmtId="0" fontId="2" fillId="4" borderId="42" xfId="15" applyFont="1" applyFill="1" applyBorder="1" applyAlignment="1">
      <alignment horizontal="right" wrapText="1"/>
    </xf>
    <xf numFmtId="0" fontId="2" fillId="0" borderId="12" xfId="15" applyFont="1" applyBorder="1" applyAlignment="1">
      <alignment horizontal="left"/>
    </xf>
    <xf numFmtId="0" fontId="2" fillId="0" borderId="35" xfId="15" applyFont="1" applyBorder="1" applyAlignment="1">
      <alignment horizontal="left"/>
    </xf>
    <xf numFmtId="0" fontId="2" fillId="0" borderId="36" xfId="15" applyFont="1" applyBorder="1" applyAlignment="1">
      <alignment horizontal="left"/>
    </xf>
    <xf numFmtId="0" fontId="2" fillId="0" borderId="12" xfId="15" applyFont="1" applyBorder="1" applyAlignment="1">
      <alignment horizontal="center"/>
    </xf>
    <xf numFmtId="0" fontId="2" fillId="0" borderId="35" xfId="15" applyFont="1" applyBorder="1" applyAlignment="1">
      <alignment horizontal="center"/>
    </xf>
    <xf numFmtId="0" fontId="2" fillId="0" borderId="36" xfId="15" applyFont="1" applyBorder="1" applyAlignment="1">
      <alignment horizontal="center"/>
    </xf>
    <xf numFmtId="0" fontId="2" fillId="8" borderId="22" xfId="15" applyFont="1" applyFill="1" applyBorder="1" applyAlignment="1">
      <alignment horizontal="center" vertical="center" wrapText="1"/>
    </xf>
    <xf numFmtId="0" fontId="2" fillId="8" borderId="23" xfId="15" applyFont="1" applyFill="1" applyBorder="1" applyAlignment="1">
      <alignment horizontal="center" vertical="center" wrapText="1"/>
    </xf>
  </cellXfs>
  <cellStyles count="19">
    <cellStyle name="Comma" xfId="1" builtinId="3"/>
    <cellStyle name="Comma 2" xfId="2"/>
    <cellStyle name="Comma 2 2" xfId="3"/>
    <cellStyle name="Comma 2 3" xfId="4"/>
    <cellStyle name="Comma 3" xfId="5"/>
    <cellStyle name="Comma0" xfId="6"/>
    <cellStyle name="Currency0" xfId="7"/>
    <cellStyle name="Date" xfId="8"/>
    <cellStyle name="Euro" xfId="9"/>
    <cellStyle name="Fixed" xfId="10"/>
    <cellStyle name="Migliaia (0)_9e0649" xfId="11"/>
    <cellStyle name="Milliers [0]_ACCOUNTING_SYSTEM 2006" xfId="12"/>
    <cellStyle name="Milliers_ACCOUNTING_SYSTEM 2006" xfId="13"/>
    <cellStyle name="Normal" xfId="0" builtinId="0"/>
    <cellStyle name="Normal 2" xfId="14"/>
    <cellStyle name="Normal 3" xfId="15"/>
    <cellStyle name="Normal 4" xfId="16"/>
    <cellStyle name="Percent" xfId="17" builtinId="5"/>
    <cellStyle name="Valuta (0)_4300" xfId="1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undraising%20status&amp;proposals/PMR_Middle_Atlas_feb04/PMR_GT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2001\Fin2001\Budgets\MedPO_Budget_FY2001\2001\Fin2001\Budgets\MedPO_Budget_FY2001\Fin99\FY98.XLW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3_Consolidated"/>
      <sheetName val="R3_GTTE"/>
      <sheetName val="R3_PMR"/>
      <sheetName val="FLR_report_revised_pedro&amp;nicolò"/>
      <sheetName val="FLR_report"/>
      <sheetName val="gtte1"/>
      <sheetName val="FLR_budget04"/>
      <sheetName val="Gis_IEA_budget"/>
      <sheetName val="GIS_contract_Ali"/>
      <sheetName val="GIS_travel"/>
      <sheetName val="TotalExpen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udget98"/>
      <sheetName val="FY.XLS"/>
      <sheetName val="FY_actulized"/>
      <sheetName val="FYB"/>
      <sheetName val="FY1.XLS"/>
      <sheetName val="FY2.XLS"/>
      <sheetName val="Foglio2"/>
      <sheetName val="A.XLS"/>
      <sheetName val="MAVA (2)"/>
      <sheetName val="MAVA"/>
      <sheetName val="QFREP2_97"/>
      <sheetName val="QFREP1_97"/>
      <sheetName val="QFREP3_97 "/>
      <sheetName val="QFREP4_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6"/>
  <sheetViews>
    <sheetView topLeftCell="A33" workbookViewId="0">
      <selection activeCell="B51" sqref="B51"/>
    </sheetView>
  </sheetViews>
  <sheetFormatPr defaultRowHeight="12.75"/>
  <cols>
    <col min="1" max="1" width="31.28515625" bestFit="1" customWidth="1"/>
    <col min="2" max="2" width="16.28515625" customWidth="1"/>
    <col min="3" max="3" width="13.5703125" customWidth="1"/>
    <col min="4" max="4" width="14.85546875" customWidth="1"/>
    <col min="5" max="6" width="14.7109375" customWidth="1"/>
    <col min="7" max="7" width="14.85546875" customWidth="1"/>
    <col min="8" max="8" width="13.85546875" customWidth="1"/>
    <col min="9" max="9" width="12.7109375" customWidth="1"/>
    <col min="10" max="10" width="14.85546875" customWidth="1"/>
    <col min="11" max="11" width="2.7109375" customWidth="1"/>
    <col min="12" max="12" width="14" bestFit="1" customWidth="1"/>
    <col min="13" max="13" width="12.140625" bestFit="1" customWidth="1"/>
    <col min="14" max="14" width="13.7109375" bestFit="1" customWidth="1"/>
    <col min="15" max="17" width="12.140625" bestFit="1" customWidth="1"/>
    <col min="18" max="18" width="13.85546875" bestFit="1" customWidth="1"/>
    <col min="19" max="19" width="11.140625" bestFit="1" customWidth="1"/>
  </cols>
  <sheetData>
    <row r="1" spans="1:14">
      <c r="A1" s="7" t="s">
        <v>138</v>
      </c>
      <c r="B1" s="7" t="s">
        <v>130</v>
      </c>
      <c r="C1" s="300" t="s">
        <v>27</v>
      </c>
      <c r="D1" s="300"/>
      <c r="E1" s="300"/>
      <c r="F1" s="300"/>
      <c r="G1" s="300"/>
      <c r="H1" s="300"/>
      <c r="I1" s="300"/>
      <c r="J1" s="300"/>
      <c r="K1" s="300"/>
    </row>
    <row r="2" spans="1:14">
      <c r="A2" s="7" t="s">
        <v>139</v>
      </c>
      <c r="B2" s="45" t="s">
        <v>140</v>
      </c>
    </row>
    <row r="3" spans="1:14">
      <c r="A3" s="7" t="s">
        <v>141</v>
      </c>
      <c r="B3" t="s">
        <v>142</v>
      </c>
      <c r="C3" s="288" t="s">
        <v>143</v>
      </c>
      <c r="D3" s="287">
        <v>40366</v>
      </c>
    </row>
    <row r="4" spans="1:14" ht="13.5" thickBot="1"/>
    <row r="5" spans="1:14" s="7" customFormat="1" ht="13.5" thickBot="1">
      <c r="A5" s="42" t="s">
        <v>46</v>
      </c>
      <c r="B5" s="301" t="s">
        <v>4</v>
      </c>
      <c r="C5" s="302"/>
      <c r="D5" s="303"/>
      <c r="E5" s="304" t="s">
        <v>3</v>
      </c>
      <c r="F5" s="305"/>
      <c r="G5" s="306"/>
      <c r="H5" s="297" t="s">
        <v>2</v>
      </c>
      <c r="I5" s="298"/>
      <c r="J5" s="299"/>
      <c r="L5" s="297" t="s">
        <v>23</v>
      </c>
      <c r="M5" s="298"/>
      <c r="N5" s="299"/>
    </row>
    <row r="6" spans="1:14" s="191" customFormat="1" ht="13.5" thickBot="1">
      <c r="A6" s="281" t="s">
        <v>0</v>
      </c>
      <c r="B6" s="282" t="s">
        <v>26</v>
      </c>
      <c r="C6" s="283" t="s">
        <v>1</v>
      </c>
      <c r="D6" s="284" t="s">
        <v>9</v>
      </c>
      <c r="E6" s="282" t="s">
        <v>26</v>
      </c>
      <c r="F6" s="283" t="s">
        <v>1</v>
      </c>
      <c r="G6" s="284" t="s">
        <v>9</v>
      </c>
      <c r="H6" s="282" t="s">
        <v>26</v>
      </c>
      <c r="I6" s="283" t="s">
        <v>1</v>
      </c>
      <c r="J6" s="284" t="s">
        <v>9</v>
      </c>
      <c r="K6" s="186"/>
      <c r="L6" s="282" t="s">
        <v>26</v>
      </c>
      <c r="M6" s="283" t="s">
        <v>1</v>
      </c>
      <c r="N6" s="284" t="s">
        <v>9</v>
      </c>
    </row>
    <row r="7" spans="1:14">
      <c r="A7" s="290" t="s">
        <v>144</v>
      </c>
      <c r="B7" s="26"/>
      <c r="C7" s="27"/>
      <c r="D7" s="18"/>
      <c r="E7" s="16"/>
      <c r="F7" s="17"/>
      <c r="G7" s="18"/>
      <c r="H7" s="16"/>
      <c r="I7" s="17"/>
      <c r="J7" s="18"/>
      <c r="L7" s="16"/>
      <c r="M7" s="17"/>
      <c r="N7" s="18"/>
    </row>
    <row r="8" spans="1:14">
      <c r="A8" s="24" t="s">
        <v>145</v>
      </c>
      <c r="B8" s="19">
        <f ca="1">'REGIONAL PROJECT TEAM 3 years'!C17</f>
        <v>253364.40065749999</v>
      </c>
      <c r="C8" s="14">
        <f ca="1">'REGIONAL PROJECT TEAM 3 years'!D17</f>
        <v>0</v>
      </c>
      <c r="D8" s="20">
        <f t="shared" ref="D8:D14" si="0">SUM(B8:C8)</f>
        <v>253364.40065749999</v>
      </c>
      <c r="E8" s="19">
        <f ca="1">'REGIONAL PROJECT TEAM 3 years'!F17</f>
        <v>266032.62069037498</v>
      </c>
      <c r="F8" s="14">
        <f ca="1">'REGIONAL PROJECT TEAM 3 years'!G17</f>
        <v>0</v>
      </c>
      <c r="G8" s="20">
        <f t="shared" ref="G8:G14" si="1">SUM(E8:F8)</f>
        <v>266032.62069037498</v>
      </c>
      <c r="H8" s="19">
        <f ca="1">'REGIONAL PROJECT TEAM 3 years'!I17</f>
        <v>271065.50172489375</v>
      </c>
      <c r="I8" s="14">
        <f ca="1">'REGIONAL PROJECT TEAM 3 years'!J17</f>
        <v>0</v>
      </c>
      <c r="J8" s="20">
        <f t="shared" ref="J8:J14" si="2">SUM(H8:I8)</f>
        <v>271065.50172489375</v>
      </c>
      <c r="L8" s="19">
        <f t="shared" ref="L8:M14" si="3">SUM(B8,E8,H8)</f>
        <v>790462.5230727687</v>
      </c>
      <c r="M8" s="14">
        <f t="shared" si="3"/>
        <v>0</v>
      </c>
      <c r="N8" s="20">
        <f t="shared" ref="N8:N14" si="4">SUM(L8:M8)</f>
        <v>790462.5230727687</v>
      </c>
    </row>
    <row r="9" spans="1:14">
      <c r="A9" s="24" t="s">
        <v>136</v>
      </c>
      <c r="B9" s="19">
        <f ca="1">SUM('COMMUNICATIONS &amp; WSHOPS'!C11)</f>
        <v>0</v>
      </c>
      <c r="C9" s="14">
        <f ca="1">SUM('COMMUNICATIONS &amp; WSHOPS'!D11)</f>
        <v>0</v>
      </c>
      <c r="D9" s="20">
        <f t="shared" si="0"/>
        <v>0</v>
      </c>
      <c r="E9" s="19">
        <f ca="1">SUM('COMMUNICATIONS &amp; WSHOPS'!F11)</f>
        <v>0</v>
      </c>
      <c r="F9" s="14">
        <f ca="1">SUM('COMMUNICATIONS &amp; WSHOPS'!G11)</f>
        <v>0</v>
      </c>
      <c r="G9" s="20">
        <f ca="1">SUM(E9:F9)</f>
        <v>0</v>
      </c>
      <c r="H9" s="19">
        <f ca="1">SUM('COMMUNICATIONS &amp; WSHOPS'!I11)</f>
        <v>0</v>
      </c>
      <c r="I9" s="14">
        <f ca="1">SUM('CROATIA 3 years'!J11)</f>
        <v>0</v>
      </c>
      <c r="J9" s="20">
        <f>SUM(H9:I9)</f>
        <v>0</v>
      </c>
      <c r="L9" s="19">
        <f>SUM(B9,E9,H9)</f>
        <v>0</v>
      </c>
      <c r="M9" s="14">
        <f>SUM(C9,F9,I9)</f>
        <v>0</v>
      </c>
      <c r="N9" s="20">
        <f>SUM(L9:M9)</f>
        <v>0</v>
      </c>
    </row>
    <row r="10" spans="1:14">
      <c r="A10" s="24" t="s">
        <v>41</v>
      </c>
      <c r="B10" s="19">
        <f ca="1">SUM('CROATIA 3 years'!C11)</f>
        <v>7580.5</v>
      </c>
      <c r="C10" s="14">
        <f ca="1">SUM('CROATIA 3 years'!D11)</f>
        <v>0</v>
      </c>
      <c r="D10" s="20">
        <f t="shared" si="0"/>
        <v>7580.5</v>
      </c>
      <c r="E10" s="19">
        <f ca="1">SUM('CROATIA 3 years'!F11)</f>
        <v>5333.3333333333339</v>
      </c>
      <c r="F10" s="14">
        <f ca="1">SUM('CROATIA 3 years'!G11)</f>
        <v>0</v>
      </c>
      <c r="G10" s="20">
        <f t="shared" si="1"/>
        <v>5333.3333333333339</v>
      </c>
      <c r="H10" s="19">
        <f ca="1">SUM('CROATIA 3 years'!I11)</f>
        <v>5333.3333333333339</v>
      </c>
      <c r="I10" s="14">
        <f ca="1">SUM('CROATIA 3 years'!J11)</f>
        <v>0</v>
      </c>
      <c r="J10" s="20">
        <f t="shared" si="2"/>
        <v>5333.3333333333339</v>
      </c>
      <c r="L10" s="19">
        <f t="shared" si="3"/>
        <v>18247.166666666668</v>
      </c>
      <c r="M10" s="14">
        <f t="shared" si="3"/>
        <v>0</v>
      </c>
      <c r="N10" s="20">
        <f t="shared" si="4"/>
        <v>18247.166666666668</v>
      </c>
    </row>
    <row r="11" spans="1:14">
      <c r="A11" s="24" t="s">
        <v>42</v>
      </c>
      <c r="B11" s="19">
        <f ca="1">'B&amp;H 3 years'!$C$11</f>
        <v>14321</v>
      </c>
      <c r="C11" s="14">
        <f ca="1">'B&amp;H 3 years'!$D$11</f>
        <v>0</v>
      </c>
      <c r="D11" s="20">
        <f t="shared" si="0"/>
        <v>14321</v>
      </c>
      <c r="E11" s="19">
        <f ca="1">'B&amp;H 3 years'!$F$11</f>
        <v>10666.666666666668</v>
      </c>
      <c r="F11" s="14">
        <f ca="1">'B&amp;H 3 years'!$G$11</f>
        <v>0</v>
      </c>
      <c r="G11" s="20">
        <f t="shared" si="1"/>
        <v>10666.666666666668</v>
      </c>
      <c r="H11" s="19">
        <f ca="1">'B&amp;H 3 years'!$I$11</f>
        <v>10666.666666666668</v>
      </c>
      <c r="I11" s="14">
        <f ca="1">'B&amp;H 3 years'!$J$11</f>
        <v>0</v>
      </c>
      <c r="J11" s="20">
        <f t="shared" si="2"/>
        <v>10666.666666666668</v>
      </c>
      <c r="L11" s="19">
        <f t="shared" si="3"/>
        <v>35654.333333333336</v>
      </c>
      <c r="M11" s="14">
        <f t="shared" si="3"/>
        <v>0</v>
      </c>
      <c r="N11" s="20">
        <f t="shared" si="4"/>
        <v>35654.333333333336</v>
      </c>
    </row>
    <row r="12" spans="1:14">
      <c r="A12" s="24" t="s">
        <v>43</v>
      </c>
      <c r="B12" s="19">
        <f ca="1">'SERBIA 3 years'!$C$11</f>
        <v>7580.5</v>
      </c>
      <c r="C12" s="14">
        <f ca="1">'SERBIA 3 years'!$D$11</f>
        <v>0</v>
      </c>
      <c r="D12" s="20">
        <f t="shared" si="0"/>
        <v>7580.5</v>
      </c>
      <c r="E12" s="19">
        <f ca="1">'SERBIA 3 years'!$F$11</f>
        <v>7333.3333333333339</v>
      </c>
      <c r="F12" s="14">
        <f ca="1">'SERBIA 3 years'!$G$11</f>
        <v>0</v>
      </c>
      <c r="G12" s="20">
        <f t="shared" si="1"/>
        <v>7333.3333333333339</v>
      </c>
      <c r="H12" s="19">
        <f ca="1">'SERBIA 3 years'!$I$11</f>
        <v>5333.3333333333339</v>
      </c>
      <c r="I12" s="14">
        <f ca="1">'SERBIA 3 years'!$J$11</f>
        <v>0</v>
      </c>
      <c r="J12" s="20">
        <f t="shared" si="2"/>
        <v>5333.3333333333339</v>
      </c>
      <c r="L12" s="19">
        <f t="shared" si="3"/>
        <v>20247.166666666668</v>
      </c>
      <c r="M12" s="14">
        <f t="shared" si="3"/>
        <v>0</v>
      </c>
      <c r="N12" s="20">
        <f t="shared" si="4"/>
        <v>20247.166666666668</v>
      </c>
    </row>
    <row r="13" spans="1:14">
      <c r="A13" s="24" t="s">
        <v>44</v>
      </c>
      <c r="B13" s="19">
        <f ca="1">'MONTENEGRO 3 years'!$C$11</f>
        <v>7580.5</v>
      </c>
      <c r="C13" s="14">
        <f ca="1">'MONTENEGRO 3 years'!$D$11</f>
        <v>0</v>
      </c>
      <c r="D13" s="20">
        <f t="shared" si="0"/>
        <v>7580.5</v>
      </c>
      <c r="E13" s="19">
        <f ca="1">'MONTENEGRO 3 years'!$F$11</f>
        <v>5333.3333333333339</v>
      </c>
      <c r="F13" s="14">
        <f ca="1">'MONTENEGRO 3 years'!$G$11</f>
        <v>0</v>
      </c>
      <c r="G13" s="20">
        <f t="shared" si="1"/>
        <v>5333.3333333333339</v>
      </c>
      <c r="H13" s="19">
        <f ca="1">'MONTENEGRO 3 years'!$I$11</f>
        <v>5333.3333333333339</v>
      </c>
      <c r="I13" s="14">
        <f ca="1">'MONTENEGRO 3 years'!$J$11</f>
        <v>0</v>
      </c>
      <c r="J13" s="20">
        <f t="shared" si="2"/>
        <v>5333.3333333333339</v>
      </c>
      <c r="L13" s="19">
        <f t="shared" si="3"/>
        <v>18247.166666666668</v>
      </c>
      <c r="M13" s="14">
        <f t="shared" si="3"/>
        <v>0</v>
      </c>
      <c r="N13" s="20">
        <f t="shared" si="4"/>
        <v>18247.166666666668</v>
      </c>
    </row>
    <row r="14" spans="1:14">
      <c r="A14" s="24" t="s">
        <v>45</v>
      </c>
      <c r="B14" s="19">
        <f ca="1">'ALBANIA 3 years'!$C$11</f>
        <v>7580.5</v>
      </c>
      <c r="C14" s="14">
        <f ca="1">'ALBANIA 3 years'!$D$11</f>
        <v>0</v>
      </c>
      <c r="D14" s="20">
        <f t="shared" si="0"/>
        <v>7580.5</v>
      </c>
      <c r="E14" s="19">
        <f ca="1">'ALBANIA 3 years'!$F$11</f>
        <v>5333.3333333333339</v>
      </c>
      <c r="F14" s="14">
        <f ca="1">'ALBANIA 3 years'!$G$11</f>
        <v>0</v>
      </c>
      <c r="G14" s="20">
        <f t="shared" si="1"/>
        <v>5333.3333333333339</v>
      </c>
      <c r="H14" s="19">
        <f ca="1">'ALBANIA 3 years'!$I$11</f>
        <v>5333.3333333333339</v>
      </c>
      <c r="I14" s="14">
        <f ca="1">'ALBANIA 3 years'!$J$11</f>
        <v>0</v>
      </c>
      <c r="J14" s="20">
        <f t="shared" si="2"/>
        <v>5333.3333333333339</v>
      </c>
      <c r="L14" s="19">
        <f t="shared" si="3"/>
        <v>18247.166666666668</v>
      </c>
      <c r="M14" s="14">
        <f t="shared" si="3"/>
        <v>0</v>
      </c>
      <c r="N14" s="20">
        <f t="shared" si="4"/>
        <v>18247.166666666668</v>
      </c>
    </row>
    <row r="15" spans="1:14" s="7" customFormat="1">
      <c r="A15" s="25" t="s">
        <v>10</v>
      </c>
      <c r="B15" s="21">
        <f>SUM(B8:B14)</f>
        <v>298007.40065750002</v>
      </c>
      <c r="C15" s="15">
        <f t="shared" ref="C15:N15" si="5">SUM(C8:C14)</f>
        <v>0</v>
      </c>
      <c r="D15" s="22">
        <f t="shared" si="5"/>
        <v>298007.40065750002</v>
      </c>
      <c r="E15" s="21">
        <f t="shared" si="5"/>
        <v>300032.62069037493</v>
      </c>
      <c r="F15" s="15">
        <f t="shared" si="5"/>
        <v>0</v>
      </c>
      <c r="G15" s="22">
        <f t="shared" si="5"/>
        <v>300032.62069037493</v>
      </c>
      <c r="H15" s="21">
        <f t="shared" si="5"/>
        <v>303065.50172489369</v>
      </c>
      <c r="I15" s="15">
        <f t="shared" si="5"/>
        <v>0</v>
      </c>
      <c r="J15" s="22">
        <f t="shared" si="5"/>
        <v>303065.50172489369</v>
      </c>
      <c r="L15" s="21">
        <f>SUM(L8:L14)</f>
        <v>901105.52307276858</v>
      </c>
      <c r="M15" s="15">
        <f t="shared" si="5"/>
        <v>0</v>
      </c>
      <c r="N15" s="22">
        <f t="shared" si="5"/>
        <v>901105.52307276858</v>
      </c>
    </row>
    <row r="16" spans="1:14">
      <c r="A16" s="23" t="s">
        <v>21</v>
      </c>
      <c r="B16" s="19"/>
      <c r="C16" s="14"/>
      <c r="D16" s="20"/>
      <c r="E16" s="19"/>
      <c r="F16" s="14"/>
      <c r="G16" s="20"/>
      <c r="H16" s="19"/>
      <c r="I16" s="14"/>
      <c r="J16" s="20"/>
      <c r="L16" s="19"/>
      <c r="M16" s="14"/>
      <c r="N16" s="20"/>
    </row>
    <row r="17" spans="1:14">
      <c r="A17" s="24" t="s">
        <v>145</v>
      </c>
      <c r="B17" s="19">
        <f ca="1">'REGIONAL PROJECT TEAM 3 years'!C23</f>
        <v>0</v>
      </c>
      <c r="C17" s="14">
        <f ca="1">'REGIONAL PROJECT TEAM 3 years'!D23</f>
        <v>0</v>
      </c>
      <c r="D17" s="20">
        <f t="shared" ref="D17:D23" si="6">SUM(B17:C17)</f>
        <v>0</v>
      </c>
      <c r="E17" s="19">
        <f ca="1">'REGIONAL PROJECT TEAM 3 years'!F23</f>
        <v>0</v>
      </c>
      <c r="F17" s="14">
        <f ca="1">'REGIONAL PROJECT TEAM 3 years'!G23</f>
        <v>0</v>
      </c>
      <c r="G17" s="20">
        <f t="shared" ref="G17:G23" si="7">SUM(E17:F17)</f>
        <v>0</v>
      </c>
      <c r="H17" s="19">
        <f ca="1">'REGIONAL PROJECT TEAM 3 years'!I23</f>
        <v>0</v>
      </c>
      <c r="I17" s="14">
        <f ca="1">'REGIONAL PROJECT TEAM 3 years'!J23</f>
        <v>0</v>
      </c>
      <c r="J17" s="20">
        <f t="shared" ref="J17:J23" si="8">SUM(H17:I17)</f>
        <v>0</v>
      </c>
      <c r="L17" s="19">
        <f t="shared" ref="L17:M23" si="9">SUM(B17,E17,H17)</f>
        <v>0</v>
      </c>
      <c r="M17" s="14">
        <f t="shared" si="9"/>
        <v>0</v>
      </c>
      <c r="N17" s="20">
        <f t="shared" ref="N17:N23" si="10">SUM(L17:M17)</f>
        <v>0</v>
      </c>
    </row>
    <row r="18" spans="1:14">
      <c r="A18" s="291" t="s">
        <v>150</v>
      </c>
      <c r="B18" s="19">
        <f ca="1">SUM('COMMUNICATIONS &amp; WSHOPS'!$C$22)</f>
        <v>58000</v>
      </c>
      <c r="C18" s="14">
        <f ca="1">SUM('COMMUNICATIONS &amp; WSHOPS'!$D$22)</f>
        <v>0</v>
      </c>
      <c r="D18" s="20">
        <f ca="1">SUM(B18:C18)</f>
        <v>58000</v>
      </c>
      <c r="E18" s="19">
        <f ca="1">SUM('COMMUNICATIONS &amp; WSHOPS'!$F$22)</f>
        <v>48000</v>
      </c>
      <c r="F18" s="14">
        <f ca="1">SUM('COMMUNICATIONS &amp; WSHOPS'!$G$22)</f>
        <v>0</v>
      </c>
      <c r="G18" s="20">
        <f ca="1">SUM(E18:F18)</f>
        <v>48000</v>
      </c>
      <c r="H18" s="19">
        <f ca="1">SUM('COMMUNICATIONS &amp; WSHOPS'!$I$22)</f>
        <v>39000</v>
      </c>
      <c r="I18" s="14">
        <f ca="1">SUM('COMMUNICATIONS &amp; WSHOPS'!$J$22)</f>
        <v>0</v>
      </c>
      <c r="J18" s="20">
        <f>SUM(H18:I18)</f>
        <v>39000</v>
      </c>
      <c r="L18" s="19">
        <f>SUM(B18,E18,H18)</f>
        <v>145000</v>
      </c>
      <c r="M18" s="14">
        <f>SUM(C18,F18,I18)</f>
        <v>0</v>
      </c>
      <c r="N18" s="20">
        <f>SUM(L18:M18)</f>
        <v>145000</v>
      </c>
    </row>
    <row r="19" spans="1:14">
      <c r="A19" s="24" t="s">
        <v>41</v>
      </c>
      <c r="B19" s="19">
        <f ca="1">SUM('CROATIA 3 years'!$C$17)</f>
        <v>6941</v>
      </c>
      <c r="C19" s="14">
        <f ca="1">SUM('CROATIA 3 years'!$D$17)</f>
        <v>0</v>
      </c>
      <c r="D19" s="20">
        <f t="shared" si="6"/>
        <v>6941</v>
      </c>
      <c r="E19" s="19">
        <f ca="1">SUM('CROATIA 3 years'!$F$17)</f>
        <v>12607.666666666666</v>
      </c>
      <c r="F19" s="14">
        <f ca="1">SUM('CROATIA 3 years'!$G$17)</f>
        <v>0</v>
      </c>
      <c r="G19" s="20">
        <f t="shared" si="7"/>
        <v>12607.666666666666</v>
      </c>
      <c r="H19" s="19">
        <f ca="1">SUM('CROATIA 3 years'!$I$17)</f>
        <v>1666.6666666666667</v>
      </c>
      <c r="I19" s="14">
        <f ca="1">SUM('CROATIA 3 years'!$J$17)</f>
        <v>0</v>
      </c>
      <c r="J19" s="20">
        <f t="shared" si="8"/>
        <v>1666.6666666666667</v>
      </c>
      <c r="L19" s="19">
        <f t="shared" si="9"/>
        <v>21215.333333333332</v>
      </c>
      <c r="M19" s="14">
        <f t="shared" si="9"/>
        <v>0</v>
      </c>
      <c r="N19" s="20">
        <f t="shared" si="10"/>
        <v>21215.333333333332</v>
      </c>
    </row>
    <row r="20" spans="1:14">
      <c r="A20" s="24" t="s">
        <v>42</v>
      </c>
      <c r="B20" s="19">
        <f ca="1">SUM('B&amp;H 3 years'!$C$17)</f>
        <v>3135</v>
      </c>
      <c r="C20" s="14">
        <f ca="1">SUM('B&amp;H 3 years'!$D$17)</f>
        <v>0</v>
      </c>
      <c r="D20" s="20">
        <f t="shared" si="6"/>
        <v>3135</v>
      </c>
      <c r="E20" s="19">
        <f ca="1">SUM('B&amp;H 3 years'!$F$17)</f>
        <v>16468.333333333336</v>
      </c>
      <c r="F20" s="14">
        <f ca="1">SUM('B&amp;H 3 years'!$G$17)</f>
        <v>0</v>
      </c>
      <c r="G20" s="20">
        <f t="shared" si="7"/>
        <v>16468.333333333336</v>
      </c>
      <c r="H20" s="19">
        <f ca="1">SUM('B&amp;H 3 years'!$I$17)</f>
        <v>7333.3333333333339</v>
      </c>
      <c r="I20" s="14">
        <f ca="1">SUM('B&amp;H 3 years'!$J$17)</f>
        <v>0</v>
      </c>
      <c r="J20" s="20">
        <f t="shared" si="8"/>
        <v>7333.3333333333339</v>
      </c>
      <c r="L20" s="19">
        <f t="shared" si="9"/>
        <v>26936.666666666672</v>
      </c>
      <c r="M20" s="14">
        <f t="shared" si="9"/>
        <v>0</v>
      </c>
      <c r="N20" s="20">
        <f t="shared" si="10"/>
        <v>26936.666666666672</v>
      </c>
    </row>
    <row r="21" spans="1:14">
      <c r="A21" s="24" t="s">
        <v>43</v>
      </c>
      <c r="B21" s="19">
        <f ca="1">SUM('SERBIA 3 years'!$C$17)</f>
        <v>3794</v>
      </c>
      <c r="C21" s="14">
        <f ca="1">SUM('SERBIA 3 years'!$D$17)</f>
        <v>0</v>
      </c>
      <c r="D21" s="20">
        <f t="shared" si="6"/>
        <v>3794</v>
      </c>
      <c r="E21" s="19">
        <f ca="1">SUM('SERBIA 3 years'!$F$17)</f>
        <v>11460.666666666668</v>
      </c>
      <c r="F21" s="14">
        <f ca="1">SUM('SERBIA 3 years'!$G$17)</f>
        <v>0</v>
      </c>
      <c r="G21" s="20">
        <f t="shared" si="7"/>
        <v>11460.666666666668</v>
      </c>
      <c r="H21" s="19">
        <f ca="1">SUM('SERBIA 3 years'!$I$17)</f>
        <v>3666.666666666667</v>
      </c>
      <c r="I21" s="14">
        <f ca="1">SUM('SERBIA 3 years'!$J$17)</f>
        <v>0</v>
      </c>
      <c r="J21" s="20">
        <f t="shared" si="8"/>
        <v>3666.666666666667</v>
      </c>
      <c r="L21" s="19">
        <f t="shared" si="9"/>
        <v>18921.333333333336</v>
      </c>
      <c r="M21" s="14">
        <f t="shared" si="9"/>
        <v>0</v>
      </c>
      <c r="N21" s="20">
        <f t="shared" si="10"/>
        <v>18921.333333333336</v>
      </c>
    </row>
    <row r="22" spans="1:14">
      <c r="A22" s="24" t="s">
        <v>44</v>
      </c>
      <c r="B22" s="19">
        <f ca="1">SUM('MONTENEGRO 3 years'!$C$17)</f>
        <v>5182</v>
      </c>
      <c r="C22" s="14">
        <f ca="1">SUM('MONTENEGRO 3 years'!$D$17)</f>
        <v>0</v>
      </c>
      <c r="D22" s="20">
        <f t="shared" si="6"/>
        <v>5182</v>
      </c>
      <c r="E22" s="19">
        <f ca="1">SUM('MONTENEGRO 3 years'!$F$17)</f>
        <v>12848.666666666666</v>
      </c>
      <c r="F22" s="14">
        <f ca="1">SUM('MONTENEGRO 3 years'!$G$17)</f>
        <v>0</v>
      </c>
      <c r="G22" s="20">
        <f t="shared" si="7"/>
        <v>12848.666666666666</v>
      </c>
      <c r="H22" s="19">
        <f ca="1">SUM('MONTENEGRO 3 years'!$I$17)</f>
        <v>3666.666666666667</v>
      </c>
      <c r="I22" s="14">
        <f ca="1">SUM('MONTENEGRO 3 years'!$J$17)</f>
        <v>0</v>
      </c>
      <c r="J22" s="20">
        <f t="shared" si="8"/>
        <v>3666.666666666667</v>
      </c>
      <c r="L22" s="19">
        <f t="shared" si="9"/>
        <v>21697.333333333332</v>
      </c>
      <c r="M22" s="14">
        <f t="shared" si="9"/>
        <v>0</v>
      </c>
      <c r="N22" s="20">
        <f t="shared" si="10"/>
        <v>21697.333333333332</v>
      </c>
    </row>
    <row r="23" spans="1:14">
      <c r="A23" s="24" t="s">
        <v>45</v>
      </c>
      <c r="B23" s="19">
        <f ca="1">SUM('ALBANIA 3 years'!$C$17)</f>
        <v>6352</v>
      </c>
      <c r="C23" s="14">
        <f ca="1">SUM('ALBANIA 3 years'!$D$17)</f>
        <v>0</v>
      </c>
      <c r="D23" s="20">
        <f t="shared" si="6"/>
        <v>6352</v>
      </c>
      <c r="E23" s="19">
        <f ca="1">SUM('ALBANIA 3 years'!$F$17)</f>
        <v>12018.666666666668</v>
      </c>
      <c r="F23" s="14">
        <f ca="1">SUM('ALBANIA 3 years'!$G$17)</f>
        <v>0</v>
      </c>
      <c r="G23" s="20">
        <f t="shared" si="7"/>
        <v>12018.666666666668</v>
      </c>
      <c r="H23" s="19">
        <f ca="1">SUM('ALBANIA 3 years'!$I$17)</f>
        <v>3666.666666666667</v>
      </c>
      <c r="I23" s="14">
        <f ca="1">SUM('ALBANIA 3 years'!$J$17)</f>
        <v>0</v>
      </c>
      <c r="J23" s="20">
        <f t="shared" si="8"/>
        <v>3666.666666666667</v>
      </c>
      <c r="L23" s="19">
        <f t="shared" si="9"/>
        <v>22037.333333333336</v>
      </c>
      <c r="M23" s="14">
        <f t="shared" si="9"/>
        <v>0</v>
      </c>
      <c r="N23" s="20">
        <f t="shared" si="10"/>
        <v>22037.333333333336</v>
      </c>
    </row>
    <row r="24" spans="1:14" hidden="1">
      <c r="A24" s="24"/>
      <c r="B24" s="19"/>
      <c r="C24" s="14"/>
      <c r="D24" s="20"/>
      <c r="E24" s="19"/>
      <c r="F24" s="14"/>
      <c r="G24" s="20"/>
      <c r="H24" s="19"/>
      <c r="I24" s="14"/>
      <c r="J24" s="20"/>
      <c r="L24" s="19"/>
      <c r="M24" s="14"/>
      <c r="N24" s="20"/>
    </row>
    <row r="25" spans="1:14" s="7" customFormat="1">
      <c r="A25" s="25" t="s">
        <v>11</v>
      </c>
      <c r="B25" s="21">
        <f>SUM(B17:B24)</f>
        <v>83404</v>
      </c>
      <c r="C25" s="15">
        <f t="shared" ref="C25:N25" si="11">SUM(C17:C24)</f>
        <v>0</v>
      </c>
      <c r="D25" s="22">
        <f t="shared" si="11"/>
        <v>83404</v>
      </c>
      <c r="E25" s="21">
        <f t="shared" si="11"/>
        <v>113404.00000000001</v>
      </c>
      <c r="F25" s="15">
        <f t="shared" si="11"/>
        <v>0</v>
      </c>
      <c r="G25" s="22">
        <f t="shared" si="11"/>
        <v>113404.00000000001</v>
      </c>
      <c r="H25" s="21">
        <f t="shared" si="11"/>
        <v>58999.999999999993</v>
      </c>
      <c r="I25" s="15">
        <f t="shared" si="11"/>
        <v>0</v>
      </c>
      <c r="J25" s="22">
        <f t="shared" si="11"/>
        <v>58999.999999999993</v>
      </c>
      <c r="L25" s="21">
        <f>SUM(L17:L24)</f>
        <v>255808.00000000003</v>
      </c>
      <c r="M25" s="15">
        <f t="shared" si="11"/>
        <v>0</v>
      </c>
      <c r="N25" s="22">
        <f t="shared" si="11"/>
        <v>255808.00000000003</v>
      </c>
    </row>
    <row r="26" spans="1:14">
      <c r="A26" s="23" t="s">
        <v>8</v>
      </c>
      <c r="B26" s="19"/>
      <c r="C26" s="14"/>
      <c r="D26" s="20"/>
      <c r="E26" s="19"/>
      <c r="F26" s="14"/>
      <c r="G26" s="20"/>
      <c r="H26" s="19"/>
      <c r="I26" s="14"/>
      <c r="J26" s="20"/>
      <c r="L26" s="19"/>
      <c r="M26" s="14"/>
      <c r="N26" s="20"/>
    </row>
    <row r="27" spans="1:14">
      <c r="A27" s="24" t="s">
        <v>145</v>
      </c>
      <c r="B27" s="19">
        <f ca="1">'REGIONAL PROJECT TEAM 3 years'!C29</f>
        <v>16864</v>
      </c>
      <c r="C27" s="14">
        <f ca="1">'REGIONAL PROJECT TEAM 3 years'!D29</f>
        <v>0</v>
      </c>
      <c r="D27" s="20">
        <f t="shared" ref="D27:D33" si="12">SUM(B27:C27)</f>
        <v>16864</v>
      </c>
      <c r="E27" s="19">
        <f ca="1">'REGIONAL PROJECT TEAM 3 years'!F29</f>
        <v>14864</v>
      </c>
      <c r="F27" s="14">
        <f ca="1">'REGIONAL PROJECT TEAM 3 years'!G29</f>
        <v>0</v>
      </c>
      <c r="G27" s="20">
        <f ca="1">SUM(E27:F27)</f>
        <v>14864</v>
      </c>
      <c r="H27" s="19">
        <f ca="1">'REGIONAL PROJECT TEAM 3 years'!I29</f>
        <v>14364</v>
      </c>
      <c r="I27" s="14">
        <f ca="1">'REGIONAL PROJECT TEAM 3 years'!J29</f>
        <v>0</v>
      </c>
      <c r="J27" s="20">
        <f t="shared" ref="J27:J33" si="13">SUM(H27:I27)</f>
        <v>14364</v>
      </c>
      <c r="L27" s="19">
        <f t="shared" ref="L27:M33" si="14">SUM(B27,E27,H27)</f>
        <v>46092</v>
      </c>
      <c r="M27" s="14">
        <f t="shared" si="14"/>
        <v>0</v>
      </c>
      <c r="N27" s="20">
        <f t="shared" ref="N27:N33" si="15">SUM(L27:M27)</f>
        <v>46092</v>
      </c>
    </row>
    <row r="28" spans="1:14">
      <c r="A28" s="24" t="s">
        <v>136</v>
      </c>
      <c r="B28" s="19">
        <f ca="1">'COMMUNICATIONS &amp; WSHOPS'!C28</f>
        <v>0</v>
      </c>
      <c r="C28" s="14">
        <f ca="1">'COMMUNICATIONS &amp; WSHOPS'!D28</f>
        <v>0</v>
      </c>
      <c r="D28" s="20">
        <f ca="1">SUM(B28:C28)</f>
        <v>0</v>
      </c>
      <c r="E28" s="19">
        <f ca="1">'COMMUNICATIONS &amp; WSHOPS'!F28</f>
        <v>0</v>
      </c>
      <c r="F28" s="14">
        <f ca="1">'COMMUNICATIONS &amp; WSHOPS'!G28</f>
        <v>0</v>
      </c>
      <c r="G28" s="20">
        <f ca="1">SUM(E28:F28)</f>
        <v>0</v>
      </c>
      <c r="H28" s="19">
        <f ca="1">'COMMUNICATIONS &amp; WSHOPS'!I28</f>
        <v>0</v>
      </c>
      <c r="I28" s="14">
        <f ca="1">'COMMUNICATIONS &amp; WSHOPS'!J28</f>
        <v>0</v>
      </c>
      <c r="J28" s="20">
        <f>SUM(H28:I28)</f>
        <v>0</v>
      </c>
      <c r="L28" s="19">
        <f>SUM(B28,E28,H28)</f>
        <v>0</v>
      </c>
      <c r="M28" s="14">
        <f>SUM(C28,F28,I28)</f>
        <v>0</v>
      </c>
      <c r="N28" s="20">
        <f>SUM(L28:M28)</f>
        <v>0</v>
      </c>
    </row>
    <row r="29" spans="1:14">
      <c r="A29" s="24" t="s">
        <v>41</v>
      </c>
      <c r="B29" s="19">
        <f ca="1">'CROATIA 3 years'!$C$23</f>
        <v>4035.7777777777783</v>
      </c>
      <c r="C29" s="14">
        <f ca="1">'CROATIA 3 years'!$D$23</f>
        <v>0</v>
      </c>
      <c r="D29" s="20">
        <f t="shared" si="12"/>
        <v>4035.7777777777783</v>
      </c>
      <c r="E29" s="19">
        <f ca="1">SUM('CROATIA 3 years'!$F$23)</f>
        <v>3576.2222222222222</v>
      </c>
      <c r="F29" s="14">
        <f ca="1">SUM('CROATIA 3 years'!$G$23)</f>
        <v>0</v>
      </c>
      <c r="G29" s="20">
        <f t="shared" ref="G29:G34" si="16">SUM(E29:F29)</f>
        <v>3576.2222222222222</v>
      </c>
      <c r="H29" s="19">
        <f ca="1">SUM('CROATIA 3 years'!$I$23)</f>
        <v>2604</v>
      </c>
      <c r="I29" s="14">
        <f ca="1">SUM('CROATIA 3 years'!$J$23)</f>
        <v>0</v>
      </c>
      <c r="J29" s="20">
        <f t="shared" si="13"/>
        <v>2604</v>
      </c>
      <c r="L29" s="19">
        <f t="shared" si="14"/>
        <v>10216</v>
      </c>
      <c r="M29" s="14">
        <f t="shared" si="14"/>
        <v>0</v>
      </c>
      <c r="N29" s="20">
        <f t="shared" si="15"/>
        <v>10216</v>
      </c>
    </row>
    <row r="30" spans="1:14">
      <c r="A30" s="24" t="s">
        <v>42</v>
      </c>
      <c r="B30" s="19">
        <f ca="1">'B&amp;H 3 years'!$C$23</f>
        <v>6263.5555555555566</v>
      </c>
      <c r="C30" s="14">
        <f ca="1">'B&amp;H 3 years'!$D$23</f>
        <v>0</v>
      </c>
      <c r="D30" s="20">
        <f t="shared" si="12"/>
        <v>6263.5555555555566</v>
      </c>
      <c r="E30" s="19">
        <f ca="1">SUM('B&amp;H 3 years'!$F$23)</f>
        <v>5248.4444444444443</v>
      </c>
      <c r="F30" s="14">
        <f ca="1">SUM('B&amp;H 3 years'!$G$23)</f>
        <v>0</v>
      </c>
      <c r="G30" s="20">
        <f t="shared" si="16"/>
        <v>5248.4444444444443</v>
      </c>
      <c r="H30" s="19">
        <f ca="1">SUM('B&amp;H 3 years'!$I$23)</f>
        <v>3304</v>
      </c>
      <c r="I30" s="14">
        <f ca="1">SUM('B&amp;H 3 years'!$J$23)</f>
        <v>0</v>
      </c>
      <c r="J30" s="20">
        <f t="shared" si="13"/>
        <v>3304</v>
      </c>
      <c r="L30" s="19">
        <f t="shared" si="14"/>
        <v>14816</v>
      </c>
      <c r="M30" s="14">
        <f t="shared" si="14"/>
        <v>0</v>
      </c>
      <c r="N30" s="20">
        <f t="shared" si="15"/>
        <v>14816</v>
      </c>
    </row>
    <row r="31" spans="1:14">
      <c r="A31" s="24" t="s">
        <v>43</v>
      </c>
      <c r="B31" s="19">
        <f ca="1">'SERBIA 3 years'!$C$23</f>
        <v>4235.7777777777783</v>
      </c>
      <c r="C31" s="14">
        <f ca="1">'SERBIA 3 years'!$D$23</f>
        <v>0</v>
      </c>
      <c r="D31" s="20">
        <f t="shared" si="12"/>
        <v>4235.7777777777783</v>
      </c>
      <c r="E31" s="19">
        <f ca="1">SUM('SERBIA 3 years'!$F$23)</f>
        <v>3776.2222222222222</v>
      </c>
      <c r="F31" s="14">
        <f ca="1">SUM('SERBIA 3 years'!$G$23)</f>
        <v>0</v>
      </c>
      <c r="G31" s="20">
        <f t="shared" si="16"/>
        <v>3776.2222222222222</v>
      </c>
      <c r="H31" s="19">
        <f ca="1">SUM('SERBIA 3 years'!$I$23)</f>
        <v>2804</v>
      </c>
      <c r="I31" s="14">
        <f ca="1">SUM('SERBIA 3 years'!$J$23)</f>
        <v>0</v>
      </c>
      <c r="J31" s="20">
        <f t="shared" si="13"/>
        <v>2804</v>
      </c>
      <c r="L31" s="19">
        <f t="shared" si="14"/>
        <v>10816</v>
      </c>
      <c r="M31" s="14">
        <f t="shared" si="14"/>
        <v>0</v>
      </c>
      <c r="N31" s="20">
        <f t="shared" si="15"/>
        <v>10816</v>
      </c>
    </row>
    <row r="32" spans="1:14">
      <c r="A32" s="24" t="s">
        <v>44</v>
      </c>
      <c r="B32" s="19">
        <f ca="1">'MONTENEGRO 3 years'!$C$23</f>
        <v>4235.7777777777783</v>
      </c>
      <c r="C32" s="14">
        <f ca="1">'MONTENEGRO 3 years'!$D$23</f>
        <v>0</v>
      </c>
      <c r="D32" s="20">
        <f t="shared" si="12"/>
        <v>4235.7777777777783</v>
      </c>
      <c r="E32" s="19">
        <f ca="1">SUM('MONTENEGRO 3 years'!$F$23)</f>
        <v>3776.2222222222222</v>
      </c>
      <c r="F32" s="14">
        <f ca="1">SUM('MONTENEGRO 3 years'!$G$23)</f>
        <v>0</v>
      </c>
      <c r="G32" s="20">
        <f t="shared" si="16"/>
        <v>3776.2222222222222</v>
      </c>
      <c r="H32" s="19">
        <f ca="1">SUM('MONTENEGRO 3 years'!$I$23)</f>
        <v>2804</v>
      </c>
      <c r="I32" s="14">
        <f ca="1">SUM('MONTENEGRO 3 years'!$J$23)</f>
        <v>0</v>
      </c>
      <c r="J32" s="20">
        <f t="shared" si="13"/>
        <v>2804</v>
      </c>
      <c r="L32" s="19">
        <f t="shared" si="14"/>
        <v>10816</v>
      </c>
      <c r="M32" s="14">
        <f t="shared" si="14"/>
        <v>0</v>
      </c>
      <c r="N32" s="20">
        <f t="shared" si="15"/>
        <v>10816</v>
      </c>
    </row>
    <row r="33" spans="1:14">
      <c r="A33" s="24" t="s">
        <v>45</v>
      </c>
      <c r="B33" s="19">
        <f ca="1">'ALBANIA 3 years'!$C$23</f>
        <v>4235.7777777777783</v>
      </c>
      <c r="C33" s="14">
        <f ca="1">'ALBANIA 3 years'!$D$23</f>
        <v>0</v>
      </c>
      <c r="D33" s="20">
        <f t="shared" si="12"/>
        <v>4235.7777777777783</v>
      </c>
      <c r="E33" s="19">
        <f ca="1">SUM('ALBANIA 3 years'!$F$23)</f>
        <v>3776.2222222222222</v>
      </c>
      <c r="F33" s="14">
        <f ca="1">SUM('ALBANIA 3 years'!$G$23)</f>
        <v>0</v>
      </c>
      <c r="G33" s="20">
        <f t="shared" si="16"/>
        <v>3776.2222222222222</v>
      </c>
      <c r="H33" s="19">
        <f ca="1">SUM('ALBANIA 3 years'!$I$23)</f>
        <v>2804</v>
      </c>
      <c r="I33" s="14">
        <f ca="1">SUM('ALBANIA 3 years'!$J$23)</f>
        <v>0</v>
      </c>
      <c r="J33" s="20">
        <f t="shared" si="13"/>
        <v>2804</v>
      </c>
      <c r="L33" s="19">
        <f t="shared" si="14"/>
        <v>10816</v>
      </c>
      <c r="M33" s="14">
        <f t="shared" si="14"/>
        <v>0</v>
      </c>
      <c r="N33" s="20">
        <f t="shared" si="15"/>
        <v>10816</v>
      </c>
    </row>
    <row r="34" spans="1:14" hidden="1">
      <c r="A34" s="24"/>
      <c r="B34" s="19"/>
      <c r="C34" s="14"/>
      <c r="D34" s="20"/>
      <c r="E34" s="19"/>
      <c r="F34" s="14"/>
      <c r="G34" s="20">
        <f t="shared" si="16"/>
        <v>0</v>
      </c>
      <c r="H34" s="19"/>
      <c r="I34" s="14"/>
      <c r="J34" s="20"/>
      <c r="L34" s="19"/>
      <c r="M34" s="14"/>
      <c r="N34" s="20"/>
    </row>
    <row r="35" spans="1:14" s="7" customFormat="1">
      <c r="A35" s="25" t="s">
        <v>12</v>
      </c>
      <c r="B35" s="21">
        <f>SUM(B27:B34)</f>
        <v>39870.666666666672</v>
      </c>
      <c r="C35" s="15">
        <f t="shared" ref="C35:N35" si="17">SUM(C27:C34)</f>
        <v>0</v>
      </c>
      <c r="D35" s="22">
        <f t="shared" si="17"/>
        <v>39870.666666666672</v>
      </c>
      <c r="E35" s="21">
        <f t="shared" si="17"/>
        <v>35017.333333333336</v>
      </c>
      <c r="F35" s="15">
        <f t="shared" si="17"/>
        <v>0</v>
      </c>
      <c r="G35" s="22">
        <f t="shared" si="17"/>
        <v>35017.333333333336</v>
      </c>
      <c r="H35" s="21">
        <f t="shared" si="17"/>
        <v>28684</v>
      </c>
      <c r="I35" s="15">
        <f t="shared" si="17"/>
        <v>0</v>
      </c>
      <c r="J35" s="22">
        <f t="shared" si="17"/>
        <v>28684</v>
      </c>
      <c r="L35" s="21">
        <f>SUM(L27:L34)</f>
        <v>103572</v>
      </c>
      <c r="M35" s="15">
        <f t="shared" si="17"/>
        <v>0</v>
      </c>
      <c r="N35" s="22">
        <f t="shared" si="17"/>
        <v>103572</v>
      </c>
    </row>
    <row r="36" spans="1:14">
      <c r="A36" s="289" t="s">
        <v>149</v>
      </c>
      <c r="B36" s="19"/>
      <c r="C36" s="14"/>
      <c r="D36" s="20"/>
      <c r="E36" s="19"/>
      <c r="F36" s="14"/>
      <c r="G36" s="20"/>
      <c r="H36" s="19"/>
      <c r="I36" s="14"/>
      <c r="J36" s="20"/>
      <c r="L36" s="19"/>
      <c r="M36" s="14"/>
      <c r="N36" s="20"/>
    </row>
    <row r="37" spans="1:14">
      <c r="A37" s="24" t="s">
        <v>145</v>
      </c>
      <c r="B37" s="19">
        <f ca="1">'REGIONAL PROJECT TEAM 3 years'!C36</f>
        <v>13200</v>
      </c>
      <c r="C37" s="14">
        <f ca="1">'REGIONAL PROJECT TEAM 3 years'!D36</f>
        <v>0</v>
      </c>
      <c r="D37" s="20">
        <f t="shared" ref="D37:D44" si="18">SUM(B37:C37)</f>
        <v>13200</v>
      </c>
      <c r="E37" s="19">
        <f ca="1">'REGIONAL PROJECT TEAM 3 years'!F36</f>
        <v>7560</v>
      </c>
      <c r="F37" s="14">
        <f ca="1">'REGIONAL PROJECT TEAM 3 years'!G36</f>
        <v>0</v>
      </c>
      <c r="G37" s="20">
        <f t="shared" ref="G37:G44" si="19">SUM(E37:F37)</f>
        <v>7560</v>
      </c>
      <c r="H37" s="19">
        <f ca="1">'REGIONAL PROJECT TEAM 3 years'!I36</f>
        <v>7938</v>
      </c>
      <c r="I37" s="14">
        <f ca="1">'REGIONAL PROJECT TEAM 3 years'!J36</f>
        <v>0</v>
      </c>
      <c r="J37" s="20">
        <f t="shared" ref="J37:J43" si="20">SUM(H37:I37)</f>
        <v>7938</v>
      </c>
      <c r="L37" s="19">
        <f t="shared" ref="L37:M43" si="21">SUM(B37,E37,H37)</f>
        <v>28698</v>
      </c>
      <c r="M37" s="14">
        <f t="shared" si="21"/>
        <v>0</v>
      </c>
      <c r="N37" s="20">
        <f t="shared" ref="N37:N43" si="22">SUM(L37:M37)</f>
        <v>28698</v>
      </c>
    </row>
    <row r="38" spans="1:14" hidden="1">
      <c r="A38" s="24" t="s">
        <v>136</v>
      </c>
      <c r="B38" s="19">
        <f ca="1">'COMMUNICATIONS &amp; WSHOPS'!C37</f>
        <v>0</v>
      </c>
      <c r="C38" s="14">
        <f ca="1">'COMMUNICATIONS &amp; WSHOPS'!D37</f>
        <v>0</v>
      </c>
      <c r="D38" s="20">
        <f ca="1">SUM(B38:C38)</f>
        <v>0</v>
      </c>
      <c r="E38" s="19">
        <f ca="1">'COMMUNICATIONS &amp; WSHOPS'!F37</f>
        <v>0</v>
      </c>
      <c r="F38" s="14">
        <f ca="1">'COMMUNICATIONS &amp; WSHOPS'!G37</f>
        <v>0</v>
      </c>
      <c r="G38" s="20">
        <f ca="1">SUM(E38:F38)</f>
        <v>0</v>
      </c>
      <c r="H38" s="19">
        <f ca="1">'COMMUNICATIONS &amp; WSHOPS'!I37</f>
        <v>0</v>
      </c>
      <c r="I38" s="14">
        <f ca="1">'COMMUNICATIONS &amp; WSHOPS'!J37</f>
        <v>0</v>
      </c>
      <c r="J38" s="20">
        <f>SUM(H38:I38)</f>
        <v>0</v>
      </c>
      <c r="L38" s="19">
        <f>SUM(B38,E38,H38)</f>
        <v>0</v>
      </c>
      <c r="M38" s="14">
        <f>SUM(C38,F38,I38)</f>
        <v>0</v>
      </c>
      <c r="N38" s="20">
        <f>SUM(L38:M38)</f>
        <v>0</v>
      </c>
    </row>
    <row r="39" spans="1:14" hidden="1">
      <c r="A39" s="24" t="s">
        <v>41</v>
      </c>
      <c r="B39" s="19">
        <f ca="1">SUM('CROATIA 3 years'!$C$26)</f>
        <v>0</v>
      </c>
      <c r="C39" s="14">
        <f ca="1">SUM('CROATIA 3 years'!$D$26)</f>
        <v>0</v>
      </c>
      <c r="D39" s="20">
        <f t="shared" si="18"/>
        <v>0</v>
      </c>
      <c r="E39" s="19">
        <f ca="1">SUM('CROATIA 3 years'!$F$26)</f>
        <v>0</v>
      </c>
      <c r="F39" s="14">
        <f ca="1">SUM('CROATIA 3 years'!$G$26)</f>
        <v>0</v>
      </c>
      <c r="G39" s="20">
        <f t="shared" si="19"/>
        <v>0</v>
      </c>
      <c r="H39" s="19">
        <f ca="1">SUM('CROATIA 3 years'!$I$26)</f>
        <v>0</v>
      </c>
      <c r="I39" s="14">
        <f ca="1">SUM('CROATIA 3 years'!$J$26)</f>
        <v>0</v>
      </c>
      <c r="J39" s="20">
        <f t="shared" si="20"/>
        <v>0</v>
      </c>
      <c r="L39" s="19">
        <f t="shared" si="21"/>
        <v>0</v>
      </c>
      <c r="M39" s="14">
        <f t="shared" si="21"/>
        <v>0</v>
      </c>
      <c r="N39" s="20">
        <f t="shared" si="22"/>
        <v>0</v>
      </c>
    </row>
    <row r="40" spans="1:14" hidden="1">
      <c r="A40" s="24" t="s">
        <v>42</v>
      </c>
      <c r="B40" s="19">
        <f ca="1">SUM('B&amp;H 3 years'!$C$26)</f>
        <v>0</v>
      </c>
      <c r="C40" s="14">
        <f ca="1">SUM('B&amp;H 3 years'!$D$26)</f>
        <v>0</v>
      </c>
      <c r="D40" s="20">
        <f t="shared" si="18"/>
        <v>0</v>
      </c>
      <c r="E40" s="19">
        <f ca="1">SUM('B&amp;H 3 years'!$F$26)</f>
        <v>0</v>
      </c>
      <c r="F40" s="14">
        <f ca="1">SUM('B&amp;H 3 years'!$G$26)</f>
        <v>0</v>
      </c>
      <c r="G40" s="20">
        <f t="shared" si="19"/>
        <v>0</v>
      </c>
      <c r="H40" s="19">
        <f ca="1">SUM('B&amp;H 3 years'!$I$26)</f>
        <v>0</v>
      </c>
      <c r="I40" s="14">
        <f ca="1">SUM('B&amp;H 3 years'!$J$26)</f>
        <v>0</v>
      </c>
      <c r="J40" s="20">
        <f t="shared" si="20"/>
        <v>0</v>
      </c>
      <c r="L40" s="19">
        <f t="shared" si="21"/>
        <v>0</v>
      </c>
      <c r="M40" s="14">
        <f t="shared" si="21"/>
        <v>0</v>
      </c>
      <c r="N40" s="20">
        <f t="shared" si="22"/>
        <v>0</v>
      </c>
    </row>
    <row r="41" spans="1:14" hidden="1">
      <c r="A41" s="24" t="s">
        <v>43</v>
      </c>
      <c r="B41" s="19">
        <f ca="1">SUM('SERBIA 3 years'!$C$26)</f>
        <v>0</v>
      </c>
      <c r="C41" s="14">
        <f ca="1">SUM('SERBIA 3 years'!$D$26)</f>
        <v>0</v>
      </c>
      <c r="D41" s="20">
        <f t="shared" si="18"/>
        <v>0</v>
      </c>
      <c r="E41" s="19">
        <f ca="1">SUM('SERBIA 3 years'!$F$26)</f>
        <v>0</v>
      </c>
      <c r="F41" s="14">
        <f ca="1">SUM('SERBIA 3 years'!$G$26)</f>
        <v>0</v>
      </c>
      <c r="G41" s="20">
        <f t="shared" si="19"/>
        <v>0</v>
      </c>
      <c r="H41" s="19">
        <f ca="1">SUM('SERBIA 3 years'!$I$26)</f>
        <v>0</v>
      </c>
      <c r="I41" s="14">
        <f ca="1">SUM('SERBIA 3 years'!$J$26)</f>
        <v>0</v>
      </c>
      <c r="J41" s="20">
        <f t="shared" si="20"/>
        <v>0</v>
      </c>
      <c r="L41" s="19">
        <f t="shared" si="21"/>
        <v>0</v>
      </c>
      <c r="M41" s="14">
        <f t="shared" si="21"/>
        <v>0</v>
      </c>
      <c r="N41" s="20">
        <f t="shared" si="22"/>
        <v>0</v>
      </c>
    </row>
    <row r="42" spans="1:14" hidden="1">
      <c r="A42" s="24" t="s">
        <v>44</v>
      </c>
      <c r="B42" s="19">
        <f ca="1">SUM('MONTENEGRO 3 years'!$C$26)</f>
        <v>0</v>
      </c>
      <c r="C42" s="14">
        <f ca="1">SUM('MONTENEGRO 3 years'!$D$26)</f>
        <v>0</v>
      </c>
      <c r="D42" s="20">
        <f t="shared" si="18"/>
        <v>0</v>
      </c>
      <c r="E42" s="19">
        <f ca="1">SUM('MONTENEGRO 3 years'!$F$26)</f>
        <v>0</v>
      </c>
      <c r="F42" s="14">
        <f ca="1">SUM('MONTENEGRO 3 years'!$G$26)</f>
        <v>0</v>
      </c>
      <c r="G42" s="20">
        <f t="shared" si="19"/>
        <v>0</v>
      </c>
      <c r="H42" s="19">
        <f ca="1">SUM('MONTENEGRO 3 years'!$I$26)</f>
        <v>0</v>
      </c>
      <c r="I42" s="14">
        <f ca="1">SUM('MONTENEGRO 3 years'!$J$26)</f>
        <v>0</v>
      </c>
      <c r="J42" s="20">
        <f t="shared" si="20"/>
        <v>0</v>
      </c>
      <c r="L42" s="19">
        <f t="shared" si="21"/>
        <v>0</v>
      </c>
      <c r="M42" s="14">
        <f t="shared" si="21"/>
        <v>0</v>
      </c>
      <c r="N42" s="20">
        <f t="shared" si="22"/>
        <v>0</v>
      </c>
    </row>
    <row r="43" spans="1:14" hidden="1">
      <c r="A43" s="24" t="s">
        <v>45</v>
      </c>
      <c r="B43" s="19">
        <f ca="1">SUM('ALBANIA 3 years'!$C$26)</f>
        <v>0</v>
      </c>
      <c r="C43" s="14">
        <f ca="1">SUM('ALBANIA 3 years'!$D$26)</f>
        <v>0</v>
      </c>
      <c r="D43" s="20">
        <f t="shared" si="18"/>
        <v>0</v>
      </c>
      <c r="E43" s="19">
        <f ca="1">SUM('ALBANIA 3 years'!$F$26)</f>
        <v>0</v>
      </c>
      <c r="F43" s="14">
        <f ca="1">SUM('ALBANIA 3 years'!$G$26)</f>
        <v>0</v>
      </c>
      <c r="G43" s="20">
        <f t="shared" si="19"/>
        <v>0</v>
      </c>
      <c r="H43" s="19">
        <f ca="1">SUM('ALBANIA 3 years'!$I$26)</f>
        <v>0</v>
      </c>
      <c r="I43" s="14">
        <f ca="1">SUM('ALBANIA 3 years'!$J$26)</f>
        <v>0</v>
      </c>
      <c r="J43" s="20">
        <f t="shared" si="20"/>
        <v>0</v>
      </c>
      <c r="L43" s="19">
        <f t="shared" si="21"/>
        <v>0</v>
      </c>
      <c r="M43" s="14">
        <f t="shared" si="21"/>
        <v>0</v>
      </c>
      <c r="N43" s="20">
        <f t="shared" si="22"/>
        <v>0</v>
      </c>
    </row>
    <row r="44" spans="1:14" hidden="1">
      <c r="A44" s="24"/>
      <c r="B44" s="19"/>
      <c r="C44" s="14"/>
      <c r="D44" s="20">
        <f t="shared" si="18"/>
        <v>0</v>
      </c>
      <c r="E44" s="19"/>
      <c r="F44" s="14"/>
      <c r="G44" s="20">
        <f t="shared" si="19"/>
        <v>0</v>
      </c>
      <c r="H44" s="19"/>
      <c r="I44" s="14"/>
      <c r="J44" s="20"/>
      <c r="L44" s="19"/>
      <c r="M44" s="14"/>
      <c r="N44" s="20"/>
    </row>
    <row r="45" spans="1:14" s="7" customFormat="1">
      <c r="A45" s="25" t="s">
        <v>13</v>
      </c>
      <c r="B45" s="21">
        <f>SUM(B37:B44)</f>
        <v>13200</v>
      </c>
      <c r="C45" s="15">
        <f t="shared" ref="C45:N45" si="23">SUM(C37:C44)</f>
        <v>0</v>
      </c>
      <c r="D45" s="22">
        <f t="shared" si="23"/>
        <v>13200</v>
      </c>
      <c r="E45" s="21">
        <f t="shared" si="23"/>
        <v>7560</v>
      </c>
      <c r="F45" s="15">
        <f t="shared" si="23"/>
        <v>0</v>
      </c>
      <c r="G45" s="22">
        <f t="shared" si="23"/>
        <v>7560</v>
      </c>
      <c r="H45" s="21">
        <f t="shared" si="23"/>
        <v>7938</v>
      </c>
      <c r="I45" s="15">
        <f t="shared" si="23"/>
        <v>0</v>
      </c>
      <c r="J45" s="22">
        <f t="shared" si="23"/>
        <v>7938</v>
      </c>
      <c r="L45" s="21">
        <f t="shared" si="23"/>
        <v>28698</v>
      </c>
      <c r="M45" s="15">
        <f t="shared" si="23"/>
        <v>0</v>
      </c>
      <c r="N45" s="22">
        <f t="shared" si="23"/>
        <v>28698</v>
      </c>
    </row>
    <row r="46" spans="1:14" hidden="1">
      <c r="A46" s="28"/>
      <c r="B46" s="29"/>
      <c r="C46" s="30"/>
      <c r="D46" s="31"/>
      <c r="E46" s="29"/>
      <c r="F46" s="30"/>
      <c r="G46" s="31"/>
      <c r="H46" s="29"/>
      <c r="I46" s="30"/>
      <c r="J46" s="31"/>
      <c r="L46" s="29"/>
      <c r="M46" s="30"/>
      <c r="N46" s="31"/>
    </row>
    <row r="47" spans="1:14">
      <c r="A47" s="290" t="s">
        <v>146</v>
      </c>
      <c r="B47" s="19"/>
      <c r="C47" s="14"/>
      <c r="D47" s="20"/>
      <c r="E47" s="19"/>
      <c r="F47" s="14"/>
      <c r="G47" s="20"/>
      <c r="H47" s="19"/>
      <c r="I47" s="14"/>
      <c r="J47" s="20"/>
      <c r="L47" s="19"/>
      <c r="M47" s="14"/>
      <c r="N47" s="20"/>
    </row>
    <row r="48" spans="1:14">
      <c r="A48" s="24" t="s">
        <v>145</v>
      </c>
      <c r="B48" s="19">
        <f ca="1">'REGIONAL PROJECT TEAM 3 years'!C38</f>
        <v>24091.414055887504</v>
      </c>
      <c r="C48" s="14">
        <f ca="1">'REGIONAL PROJECT TEAM 3 years'!D38</f>
        <v>0</v>
      </c>
      <c r="D48" s="20">
        <f t="shared" ref="D48:D54" si="24">SUM(B48:C48)</f>
        <v>24091.414055887504</v>
      </c>
      <c r="E48" s="19">
        <f ca="1">'REGIONAL PROJECT TEAM 3 years'!F38</f>
        <v>24518.812758681874</v>
      </c>
      <c r="F48" s="14">
        <f ca="1">'REGIONAL PROJECT TEAM 3 years'!G38</f>
        <v>0</v>
      </c>
      <c r="G48" s="20">
        <f t="shared" ref="G48:G54" si="25">SUM(E48:F48)</f>
        <v>24518.812758681874</v>
      </c>
      <c r="H48" s="19">
        <f ca="1">'REGIONAL PROJECT TEAM 3 years'!I38</f>
        <v>24936.237646615969</v>
      </c>
      <c r="I48" s="14">
        <f ca="1">'REGIONAL PROJECT TEAM 3 years'!J38</f>
        <v>0</v>
      </c>
      <c r="J48" s="20">
        <f t="shared" ref="J48:J54" si="26">SUM(H48:I48)</f>
        <v>24936.237646615969</v>
      </c>
      <c r="L48" s="19">
        <f t="shared" ref="L48:M54" si="27">SUM(B48,E48,H48)</f>
        <v>73546.464461185358</v>
      </c>
      <c r="M48" s="14">
        <f t="shared" si="27"/>
        <v>0</v>
      </c>
      <c r="N48" s="20">
        <f t="shared" ref="N48:N54" si="28">SUM(L48:M48)</f>
        <v>73546.464461185358</v>
      </c>
    </row>
    <row r="49" spans="1:19">
      <c r="A49" s="24" t="s">
        <v>136</v>
      </c>
      <c r="B49" s="19">
        <f ca="1">'COMMUNICATIONS &amp; WSHOPS'!C39</f>
        <v>4930</v>
      </c>
      <c r="C49" s="14">
        <f ca="1">'COMMUNICATIONS &amp; WSHOPS'!D39</f>
        <v>0</v>
      </c>
      <c r="D49" s="20">
        <f ca="1">SUM(B49:C49)</f>
        <v>4930</v>
      </c>
      <c r="E49" s="19">
        <f ca="1">'COMMUNICATIONS &amp; WSHOPS'!F39</f>
        <v>4080.0000000000005</v>
      </c>
      <c r="F49" s="14">
        <f ca="1">'COMMUNICATIONS &amp; WSHOPS'!G39</f>
        <v>0</v>
      </c>
      <c r="G49" s="20">
        <f ca="1">SUM(E49:F49)</f>
        <v>4080.0000000000005</v>
      </c>
      <c r="H49" s="19">
        <f ca="1">'COMMUNICATIONS &amp; WSHOPS'!I39</f>
        <v>3315.0000000000005</v>
      </c>
      <c r="I49" s="14">
        <f ca="1">'COMMUNICATIONS &amp; WSHOPS'!J39</f>
        <v>0</v>
      </c>
      <c r="J49" s="20">
        <f>SUM(H49:I49)</f>
        <v>3315.0000000000005</v>
      </c>
      <c r="L49" s="19">
        <f t="shared" si="27"/>
        <v>12325</v>
      </c>
      <c r="M49" s="14">
        <f t="shared" si="27"/>
        <v>0</v>
      </c>
      <c r="N49" s="20">
        <f t="shared" si="28"/>
        <v>12325</v>
      </c>
    </row>
    <row r="50" spans="1:19">
      <c r="A50" s="24" t="s">
        <v>41</v>
      </c>
      <c r="B50" s="19">
        <f ca="1">'CROATIA 3 years'!C28</f>
        <v>1577.3686111111112</v>
      </c>
      <c r="C50" s="14">
        <f ca="1">'CROATIA 3 years'!D28</f>
        <v>0</v>
      </c>
      <c r="D50" s="20">
        <f t="shared" si="24"/>
        <v>1577.3686111111112</v>
      </c>
      <c r="E50" s="19">
        <f ca="1">'CROATIA 3 years'!F28</f>
        <v>1828.963888888889</v>
      </c>
      <c r="F50" s="14">
        <f ca="1">'CROATIA 3 years'!G28</f>
        <v>0</v>
      </c>
      <c r="G50" s="20">
        <f t="shared" si="25"/>
        <v>1828.963888888889</v>
      </c>
      <c r="H50" s="19">
        <f ca="1">'CROATIA 3 years'!I28</f>
        <v>816.34</v>
      </c>
      <c r="I50" s="14">
        <f ca="1">'CROATIA 3 years'!J28</f>
        <v>0</v>
      </c>
      <c r="J50" s="20">
        <f t="shared" si="26"/>
        <v>816.34</v>
      </c>
      <c r="L50" s="19">
        <f t="shared" si="27"/>
        <v>4222.6725000000006</v>
      </c>
      <c r="M50" s="14">
        <f t="shared" si="27"/>
        <v>0</v>
      </c>
      <c r="N50" s="20">
        <f t="shared" si="28"/>
        <v>4222.6725000000006</v>
      </c>
    </row>
    <row r="51" spans="1:19">
      <c r="A51" s="24" t="s">
        <v>42</v>
      </c>
      <c r="B51" s="19">
        <f ca="1">'B&amp;H 3 years'!C28</f>
        <v>2016.1622222222222</v>
      </c>
      <c r="C51" s="14">
        <f ca="1">'B&amp;H 3 years'!D28</f>
        <v>0</v>
      </c>
      <c r="D51" s="20">
        <f t="shared" si="24"/>
        <v>2016.1622222222222</v>
      </c>
      <c r="E51" s="19">
        <f ca="1">'B&amp;H 3 years'!F28</f>
        <v>2752.5927777777783</v>
      </c>
      <c r="F51" s="14">
        <f ca="1">'B&amp;H 3 years'!G28</f>
        <v>0</v>
      </c>
      <c r="G51" s="20">
        <f t="shared" si="25"/>
        <v>2752.5927777777783</v>
      </c>
      <c r="H51" s="19">
        <f ca="1">'B&amp;H 3 years'!I28</f>
        <v>1810.8400000000001</v>
      </c>
      <c r="I51" s="14">
        <f ca="1">'B&amp;H 3 years'!J28</f>
        <v>0</v>
      </c>
      <c r="J51" s="20">
        <f t="shared" si="26"/>
        <v>1810.8400000000001</v>
      </c>
      <c r="L51" s="19">
        <f t="shared" si="27"/>
        <v>6579.5950000000012</v>
      </c>
      <c r="M51" s="14">
        <f t="shared" si="27"/>
        <v>0</v>
      </c>
      <c r="N51" s="20">
        <f t="shared" si="28"/>
        <v>6579.5950000000012</v>
      </c>
    </row>
    <row r="52" spans="1:19">
      <c r="A52" s="24" t="s">
        <v>43</v>
      </c>
      <c r="B52" s="19">
        <f ca="1">'SERBIA 3 years'!C28</f>
        <v>1326.8736111111111</v>
      </c>
      <c r="C52" s="14">
        <f ca="1">'SERBIA 3 years'!D28</f>
        <v>0</v>
      </c>
      <c r="D52" s="20">
        <f t="shared" si="24"/>
        <v>1326.8736111111111</v>
      </c>
      <c r="E52" s="19">
        <f ca="1">'SERBIA 3 years'!F28</f>
        <v>1918.4688888888891</v>
      </c>
      <c r="F52" s="14">
        <f ca="1">'SERBIA 3 years'!G28</f>
        <v>0</v>
      </c>
      <c r="G52" s="20">
        <f t="shared" si="25"/>
        <v>1918.4688888888891</v>
      </c>
      <c r="H52" s="19">
        <f ca="1">'SERBIA 3 years'!I28</f>
        <v>1003.34</v>
      </c>
      <c r="I52" s="14">
        <f ca="1">'SERBIA 3 years'!J28</f>
        <v>0</v>
      </c>
      <c r="J52" s="20">
        <f t="shared" si="26"/>
        <v>1003.34</v>
      </c>
      <c r="L52" s="19">
        <f t="shared" si="27"/>
        <v>4248.6824999999999</v>
      </c>
      <c r="M52" s="14">
        <f t="shared" si="27"/>
        <v>0</v>
      </c>
      <c r="N52" s="20">
        <f t="shared" si="28"/>
        <v>4248.6824999999999</v>
      </c>
    </row>
    <row r="53" spans="1:19">
      <c r="A53" s="24" t="s">
        <v>44</v>
      </c>
      <c r="B53" s="19">
        <f ca="1">'MONTENEGRO 3 years'!C28</f>
        <v>1444.8536111111111</v>
      </c>
      <c r="C53" s="14">
        <f ca="1">'MONTENEGRO 3 years'!D28</f>
        <v>0</v>
      </c>
      <c r="D53" s="20">
        <f t="shared" si="24"/>
        <v>1444.8536111111111</v>
      </c>
      <c r="E53" s="19">
        <f ca="1">'MONTENEGRO 3 years'!F28</f>
        <v>1866.4488888888891</v>
      </c>
      <c r="F53" s="14">
        <f ca="1">'MONTENEGRO 3 years'!G28</f>
        <v>0</v>
      </c>
      <c r="G53" s="20">
        <f t="shared" si="25"/>
        <v>1866.4488888888891</v>
      </c>
      <c r="H53" s="19">
        <f ca="1">'MONTENEGRO 3 years'!I28</f>
        <v>1003.34</v>
      </c>
      <c r="I53" s="14">
        <f ca="1">'MONTENEGRO 3 years'!J28</f>
        <v>0</v>
      </c>
      <c r="J53" s="20">
        <f t="shared" si="26"/>
        <v>1003.34</v>
      </c>
      <c r="L53" s="19">
        <f t="shared" si="27"/>
        <v>4314.6424999999999</v>
      </c>
      <c r="M53" s="14">
        <f t="shared" si="27"/>
        <v>0</v>
      </c>
      <c r="N53" s="20">
        <f t="shared" si="28"/>
        <v>4314.6424999999999</v>
      </c>
    </row>
    <row r="54" spans="1:19">
      <c r="A54" s="24" t="s">
        <v>45</v>
      </c>
      <c r="B54" s="19">
        <f ca="1">'ALBANIA 3 years'!C28</f>
        <v>1544.3036111111112</v>
      </c>
      <c r="C54" s="14">
        <f ca="1">'ALBANIA 3 years'!D28</f>
        <v>0</v>
      </c>
      <c r="D54" s="20">
        <f t="shared" si="24"/>
        <v>1544.3036111111112</v>
      </c>
      <c r="E54" s="19">
        <f ca="1">'ALBANIA 3 years'!F28</f>
        <v>1795.8988888888891</v>
      </c>
      <c r="F54" s="14">
        <f ca="1">'ALBANIA 3 years'!G28</f>
        <v>0</v>
      </c>
      <c r="G54" s="20">
        <f t="shared" si="25"/>
        <v>1795.8988888888891</v>
      </c>
      <c r="H54" s="19">
        <f ca="1">'ALBANIA 3 years'!I28</f>
        <v>1003.34</v>
      </c>
      <c r="I54" s="14">
        <f ca="1">'ALBANIA 3 years'!J28</f>
        <v>0</v>
      </c>
      <c r="J54" s="20">
        <f t="shared" si="26"/>
        <v>1003.34</v>
      </c>
      <c r="L54" s="19">
        <f t="shared" si="27"/>
        <v>4343.5425000000005</v>
      </c>
      <c r="M54" s="14">
        <f t="shared" si="27"/>
        <v>0</v>
      </c>
      <c r="N54" s="20">
        <f t="shared" si="28"/>
        <v>4343.5425000000005</v>
      </c>
    </row>
    <row r="55" spans="1:19" s="7" customFormat="1">
      <c r="A55" s="25" t="s">
        <v>25</v>
      </c>
      <c r="B55" s="21">
        <f>SUM(B48:B54)</f>
        <v>36930.975722554176</v>
      </c>
      <c r="C55" s="15">
        <f t="shared" ref="C55:J55" si="29">SUM(C48:C54)</f>
        <v>0</v>
      </c>
      <c r="D55" s="22">
        <f t="shared" si="29"/>
        <v>36930.975722554176</v>
      </c>
      <c r="E55" s="21">
        <f t="shared" si="29"/>
        <v>38761.18609201521</v>
      </c>
      <c r="F55" s="15">
        <f t="shared" si="29"/>
        <v>0</v>
      </c>
      <c r="G55" s="22">
        <f t="shared" si="29"/>
        <v>38761.18609201521</v>
      </c>
      <c r="H55" s="21">
        <f t="shared" si="29"/>
        <v>33888.437646615967</v>
      </c>
      <c r="I55" s="15">
        <f t="shared" si="29"/>
        <v>0</v>
      </c>
      <c r="J55" s="22">
        <f t="shared" si="29"/>
        <v>33888.437646615967</v>
      </c>
      <c r="L55" s="21">
        <f>SUM(L48:L54)</f>
        <v>109580.59946118535</v>
      </c>
      <c r="M55" s="15">
        <f>SUM(M48:M54)</f>
        <v>0</v>
      </c>
      <c r="N55" s="22">
        <f>SUM(N48:N54)</f>
        <v>109580.59946118535</v>
      </c>
    </row>
    <row r="56" spans="1:19" ht="13.5" thickBot="1">
      <c r="A56" s="38"/>
      <c r="B56" s="39"/>
      <c r="C56" s="40"/>
      <c r="D56" s="41"/>
      <c r="E56" s="39"/>
      <c r="F56" s="40"/>
      <c r="G56" s="41"/>
      <c r="H56" s="39"/>
      <c r="I56" s="40"/>
      <c r="J56" s="41"/>
      <c r="L56" s="39"/>
      <c r="M56" s="40"/>
      <c r="N56" s="41"/>
    </row>
    <row r="57" spans="1:19" ht="13.5" thickBot="1">
      <c r="A57" s="32" t="s">
        <v>24</v>
      </c>
      <c r="B57" s="33">
        <f>SUM(B15,B25,B35,B45,B55)</f>
        <v>471413.04304672091</v>
      </c>
      <c r="C57" s="34">
        <f t="shared" ref="C57:J57" si="30">SUM(C15,C25,C35,C45,C55)</f>
        <v>0</v>
      </c>
      <c r="D57" s="35">
        <f t="shared" si="30"/>
        <v>471413.04304672091</v>
      </c>
      <c r="E57" s="33">
        <f t="shared" si="30"/>
        <v>494775.14011572348</v>
      </c>
      <c r="F57" s="34">
        <f t="shared" si="30"/>
        <v>0</v>
      </c>
      <c r="G57" s="35">
        <f t="shared" si="30"/>
        <v>494775.14011572348</v>
      </c>
      <c r="H57" s="33">
        <f t="shared" si="30"/>
        <v>432575.93937150965</v>
      </c>
      <c r="I57" s="34">
        <f t="shared" si="30"/>
        <v>0</v>
      </c>
      <c r="J57" s="35">
        <f t="shared" si="30"/>
        <v>432575.93937150965</v>
      </c>
      <c r="L57" s="33">
        <f>SUM(L15,L25,L35,L45,L55)</f>
        <v>1398764.122533954</v>
      </c>
      <c r="M57" s="34">
        <f>SUM(M15,M25,M35,M45,M55)</f>
        <v>0</v>
      </c>
      <c r="N57" s="35">
        <f>SUM(N15,N25,N35,N45,N55)</f>
        <v>1398764.122533954</v>
      </c>
    </row>
    <row r="59" spans="1:19" ht="13.5" thickBot="1">
      <c r="A59" s="11"/>
    </row>
    <row r="60" spans="1:19" s="7" customFormat="1" ht="13.5" thickBot="1">
      <c r="A60" s="36"/>
      <c r="B60" s="301" t="s">
        <v>4</v>
      </c>
      <c r="C60" s="302"/>
      <c r="D60" s="303"/>
      <c r="E60" s="304" t="s">
        <v>3</v>
      </c>
      <c r="F60" s="305"/>
      <c r="G60" s="306"/>
      <c r="H60" s="297" t="s">
        <v>2</v>
      </c>
      <c r="I60" s="298"/>
      <c r="J60" s="299"/>
      <c r="L60" s="297" t="s">
        <v>23</v>
      </c>
      <c r="M60" s="298"/>
      <c r="N60" s="299"/>
    </row>
    <row r="61" spans="1:19" s="191" customFormat="1">
      <c r="A61" s="285" t="s">
        <v>129</v>
      </c>
      <c r="B61" s="282" t="s">
        <v>26</v>
      </c>
      <c r="C61" s="283" t="s">
        <v>1</v>
      </c>
      <c r="D61" s="284" t="s">
        <v>9</v>
      </c>
      <c r="E61" s="282" t="s">
        <v>26</v>
      </c>
      <c r="F61" s="283" t="s">
        <v>1</v>
      </c>
      <c r="G61" s="284" t="s">
        <v>9</v>
      </c>
      <c r="H61" s="282" t="s">
        <v>26</v>
      </c>
      <c r="I61" s="283" t="s">
        <v>1</v>
      </c>
      <c r="J61" s="284" t="s">
        <v>9</v>
      </c>
      <c r="K61" s="186"/>
      <c r="L61" s="282" t="s">
        <v>26</v>
      </c>
      <c r="M61" s="283" t="s">
        <v>1</v>
      </c>
      <c r="N61" s="284" t="s">
        <v>9</v>
      </c>
    </row>
    <row r="62" spans="1:19">
      <c r="A62" s="24" t="s">
        <v>145</v>
      </c>
      <c r="B62" s="19">
        <f t="shared" ref="B62:B68" si="31">SUM(B48,B37,B27,B17,B8)</f>
        <v>307519.81471338752</v>
      </c>
      <c r="C62" s="14">
        <f ca="1">'REGIONAL PROJECT TEAM 3 years'!D40</f>
        <v>0</v>
      </c>
      <c r="D62" s="280">
        <f t="shared" ref="D62:D68" si="32">SUM(B62:C62)</f>
        <v>307519.81471338752</v>
      </c>
      <c r="E62" s="19">
        <f ca="1">SUM(E48,E37,E27,E17,E8)</f>
        <v>312975.43344905687</v>
      </c>
      <c r="F62" s="14">
        <f ca="1">'REGIONAL PROJECT TEAM 3 years'!G40</f>
        <v>0</v>
      </c>
      <c r="G62" s="280">
        <f t="shared" ref="G62:G68" si="33">SUM(E62:F62)</f>
        <v>312975.43344905687</v>
      </c>
      <c r="H62" s="19">
        <f ca="1">SUM(H48,H37,H27,H17,H8)</f>
        <v>318303.7393715097</v>
      </c>
      <c r="I62" s="14">
        <f ca="1">'REGIONAL PROJECT TEAM 3 years'!J40</f>
        <v>0</v>
      </c>
      <c r="J62" s="280">
        <f t="shared" ref="J62:J68" si="34">SUM(H62:I62)</f>
        <v>318303.7393715097</v>
      </c>
      <c r="L62" s="9">
        <f t="shared" ref="L62:M68" si="35">SUM(B62+E62+H62)</f>
        <v>938798.9875339542</v>
      </c>
      <c r="M62" s="8">
        <f t="shared" si="35"/>
        <v>0</v>
      </c>
      <c r="N62" s="43">
        <f t="shared" ref="N62:N68" si="36">SUM(L62:M62)</f>
        <v>938798.9875339542</v>
      </c>
      <c r="O62" s="12"/>
      <c r="P62" s="12"/>
      <c r="Q62" s="12"/>
      <c r="R62" s="12"/>
      <c r="S62" s="13"/>
    </row>
    <row r="63" spans="1:19">
      <c r="A63" s="24" t="s">
        <v>136</v>
      </c>
      <c r="B63" s="19">
        <f t="shared" si="31"/>
        <v>62930</v>
      </c>
      <c r="C63" s="14">
        <f ca="1">'COMMUNICATIONS &amp; WSHOPS'!D30</f>
        <v>0</v>
      </c>
      <c r="D63" s="20">
        <f ca="1">SUM(B63:C63)</f>
        <v>62930</v>
      </c>
      <c r="E63" s="19">
        <f ca="1">SUM(E49,E38,E28,E18,E9)</f>
        <v>52080</v>
      </c>
      <c r="F63" s="14">
        <f ca="1">'COMMUNICATIONS &amp; WSHOPS'!G30</f>
        <v>0</v>
      </c>
      <c r="G63" s="20">
        <f ca="1">SUM(E63:F63)</f>
        <v>52080</v>
      </c>
      <c r="H63" s="19">
        <f ca="1">SUM(H49,H38,H28,H18,H9)</f>
        <v>42315</v>
      </c>
      <c r="I63" s="14">
        <f ca="1">'COMMUNICATIONS &amp; WSHOPS'!J30</f>
        <v>0</v>
      </c>
      <c r="J63" s="20">
        <f>SUM(H63:I63)</f>
        <v>42315</v>
      </c>
      <c r="L63" s="9">
        <f t="shared" si="35"/>
        <v>157325</v>
      </c>
      <c r="M63" s="8">
        <f t="shared" si="35"/>
        <v>0</v>
      </c>
      <c r="N63" s="10">
        <f>SUM(L63:M63)</f>
        <v>157325</v>
      </c>
      <c r="O63" s="12"/>
      <c r="P63" s="12"/>
      <c r="Q63" s="12"/>
      <c r="R63" s="12"/>
      <c r="S63" s="13"/>
    </row>
    <row r="64" spans="1:19">
      <c r="A64" s="24" t="s">
        <v>41</v>
      </c>
      <c r="B64" s="19">
        <f t="shared" si="31"/>
        <v>20134.64638888889</v>
      </c>
      <c r="C64" s="14">
        <f ca="1">'CROATIA 3 years'!D30</f>
        <v>0</v>
      </c>
      <c r="D64" s="20">
        <f t="shared" si="32"/>
        <v>20134.64638888889</v>
      </c>
      <c r="E64" s="19">
        <f ca="1">SUM(E50,E39,E29,E19,E10)</f>
        <v>23346.186111111114</v>
      </c>
      <c r="F64" s="14">
        <f ca="1">'CROATIA 3 years'!G30</f>
        <v>0</v>
      </c>
      <c r="G64" s="20">
        <f t="shared" si="33"/>
        <v>23346.186111111114</v>
      </c>
      <c r="H64" s="19">
        <f ca="1">SUM(H50,H39,H29,H19,H10)</f>
        <v>10420.34</v>
      </c>
      <c r="I64" s="14">
        <f ca="1">'CROATIA 3 years'!J30</f>
        <v>0</v>
      </c>
      <c r="J64" s="20">
        <f t="shared" si="34"/>
        <v>10420.34</v>
      </c>
      <c r="L64" s="9">
        <f t="shared" si="35"/>
        <v>53901.172500000001</v>
      </c>
      <c r="M64" s="8">
        <f t="shared" si="35"/>
        <v>0</v>
      </c>
      <c r="N64" s="10">
        <f t="shared" si="36"/>
        <v>53901.172500000001</v>
      </c>
      <c r="O64" s="12"/>
      <c r="P64" s="12"/>
      <c r="Q64" s="12"/>
      <c r="R64" s="12"/>
      <c r="S64" s="13"/>
    </row>
    <row r="65" spans="1:19">
      <c r="A65" s="24" t="s">
        <v>42</v>
      </c>
      <c r="B65" s="19">
        <f t="shared" si="31"/>
        <v>25735.71777777778</v>
      </c>
      <c r="C65" s="14">
        <f ca="1">'B&amp;H 3 years'!D30</f>
        <v>0</v>
      </c>
      <c r="D65" s="20">
        <f t="shared" si="32"/>
        <v>25735.71777777778</v>
      </c>
      <c r="E65" s="19">
        <f ca="1">'B&amp;H 3 years'!F30</f>
        <v>35136.037222222229</v>
      </c>
      <c r="F65" s="14">
        <f ca="1">'B&amp;H 3 years'!G30</f>
        <v>0</v>
      </c>
      <c r="G65" s="20">
        <f t="shared" si="33"/>
        <v>35136.037222222229</v>
      </c>
      <c r="H65" s="19">
        <f ca="1">'B&amp;H 3 years'!I30</f>
        <v>23114.84</v>
      </c>
      <c r="I65" s="14">
        <f ca="1">'B&amp;H 3 years'!J30</f>
        <v>0</v>
      </c>
      <c r="J65" s="20">
        <f t="shared" si="34"/>
        <v>23114.84</v>
      </c>
      <c r="L65" s="9">
        <f t="shared" si="35"/>
        <v>83986.595000000001</v>
      </c>
      <c r="M65" s="8">
        <f t="shared" si="35"/>
        <v>0</v>
      </c>
      <c r="N65" s="43">
        <f t="shared" si="36"/>
        <v>83986.595000000001</v>
      </c>
      <c r="O65" s="12"/>
      <c r="P65" s="12"/>
      <c r="Q65" s="12"/>
      <c r="R65" s="12"/>
      <c r="S65" s="13"/>
    </row>
    <row r="66" spans="1:19">
      <c r="A66" s="24" t="s">
        <v>43</v>
      </c>
      <c r="B66" s="19">
        <f t="shared" si="31"/>
        <v>16937.151388888888</v>
      </c>
      <c r="C66" s="14">
        <f ca="1">'SERBIA 3 years'!D30</f>
        <v>0</v>
      </c>
      <c r="D66" s="20">
        <f t="shared" si="32"/>
        <v>16937.151388888888</v>
      </c>
      <c r="E66" s="19">
        <f ca="1">'SERBIA 3 years'!F30</f>
        <v>24488.691111111111</v>
      </c>
      <c r="F66" s="14">
        <f ca="1">'SERBIA 3 years'!G30</f>
        <v>0</v>
      </c>
      <c r="G66" s="20">
        <f t="shared" si="33"/>
        <v>24488.691111111111</v>
      </c>
      <c r="H66" s="19">
        <f ca="1">'SERBIA 3 years'!I30</f>
        <v>12807.34</v>
      </c>
      <c r="I66" s="14">
        <f ca="1">'SERBIA 3 years'!J30</f>
        <v>0</v>
      </c>
      <c r="J66" s="20">
        <f t="shared" si="34"/>
        <v>12807.34</v>
      </c>
      <c r="L66" s="9">
        <f t="shared" si="35"/>
        <v>54233.182499999995</v>
      </c>
      <c r="M66" s="8">
        <f t="shared" si="35"/>
        <v>0</v>
      </c>
      <c r="N66" s="43">
        <f t="shared" si="36"/>
        <v>54233.182499999995</v>
      </c>
      <c r="O66" s="12"/>
      <c r="P66" s="12"/>
      <c r="Q66" s="12"/>
      <c r="R66" s="12"/>
      <c r="S66" s="13"/>
    </row>
    <row r="67" spans="1:19">
      <c r="A67" s="24" t="s">
        <v>44</v>
      </c>
      <c r="B67" s="19">
        <f t="shared" si="31"/>
        <v>18443.131388888891</v>
      </c>
      <c r="C67" s="14">
        <f ca="1">'MONTENEGRO 3 years'!D30</f>
        <v>0</v>
      </c>
      <c r="D67" s="20">
        <f t="shared" si="32"/>
        <v>18443.131388888891</v>
      </c>
      <c r="E67" s="19">
        <f ca="1">'MONTENEGRO 3 years'!F30</f>
        <v>23824.671111111111</v>
      </c>
      <c r="F67" s="14">
        <f ca="1">'MONTENEGRO 3 years'!G30</f>
        <v>0</v>
      </c>
      <c r="G67" s="20">
        <f t="shared" si="33"/>
        <v>23824.671111111111</v>
      </c>
      <c r="H67" s="19">
        <f ca="1">'MONTENEGRO 3 years'!I30</f>
        <v>12807.34</v>
      </c>
      <c r="I67" s="14">
        <f ca="1">'MONTENEGRO 3 years'!J30</f>
        <v>0</v>
      </c>
      <c r="J67" s="20">
        <f t="shared" si="34"/>
        <v>12807.34</v>
      </c>
      <c r="L67" s="9">
        <f t="shared" si="35"/>
        <v>55075.142500000002</v>
      </c>
      <c r="M67" s="8">
        <f t="shared" si="35"/>
        <v>0</v>
      </c>
      <c r="N67" s="43">
        <f t="shared" si="36"/>
        <v>55075.142500000002</v>
      </c>
      <c r="O67" s="12"/>
      <c r="P67" s="12"/>
      <c r="Q67" s="12"/>
      <c r="R67" s="12"/>
      <c r="S67" s="13"/>
    </row>
    <row r="68" spans="1:19" ht="13.5" thickBot="1">
      <c r="A68" s="24" t="s">
        <v>45</v>
      </c>
      <c r="B68" s="19">
        <f t="shared" si="31"/>
        <v>19712.581388888888</v>
      </c>
      <c r="C68" s="14">
        <f ca="1">'ALBANIA 3 years'!D30</f>
        <v>0</v>
      </c>
      <c r="D68" s="20">
        <f t="shared" si="32"/>
        <v>19712.581388888888</v>
      </c>
      <c r="E68" s="19">
        <f ca="1">'ALBANIA 3 years'!F30</f>
        <v>22924.121111111112</v>
      </c>
      <c r="F68" s="14">
        <f ca="1">'ALBANIA 3 years'!G30</f>
        <v>0</v>
      </c>
      <c r="G68" s="20">
        <f t="shared" si="33"/>
        <v>22924.121111111112</v>
      </c>
      <c r="H68" s="19">
        <f ca="1">'ALBANIA 3 years'!I30</f>
        <v>12807.34</v>
      </c>
      <c r="I68" s="14">
        <f ca="1">'ALBANIA 3 years'!J30</f>
        <v>0</v>
      </c>
      <c r="J68" s="20">
        <f t="shared" si="34"/>
        <v>12807.34</v>
      </c>
      <c r="L68" s="9">
        <f t="shared" si="35"/>
        <v>55444.042499999996</v>
      </c>
      <c r="M68" s="8">
        <f t="shared" si="35"/>
        <v>0</v>
      </c>
      <c r="N68" s="43">
        <f t="shared" si="36"/>
        <v>55444.042499999996</v>
      </c>
      <c r="O68" s="12"/>
      <c r="P68" s="12"/>
      <c r="Q68" s="12"/>
      <c r="R68" s="12"/>
      <c r="S68" s="13"/>
    </row>
    <row r="69" spans="1:19" ht="13.5" thickBot="1">
      <c r="A69" s="32" t="s">
        <v>9</v>
      </c>
      <c r="B69" s="33">
        <f>SUM(B62:B68)</f>
        <v>471413.04304672079</v>
      </c>
      <c r="C69" s="34">
        <f t="shared" ref="C69:J69" si="37">SUM(C62:C68)</f>
        <v>0</v>
      </c>
      <c r="D69" s="35">
        <f t="shared" si="37"/>
        <v>471413.04304672079</v>
      </c>
      <c r="E69" s="33">
        <f t="shared" si="37"/>
        <v>494775.14011572365</v>
      </c>
      <c r="F69" s="34">
        <f t="shared" si="37"/>
        <v>0</v>
      </c>
      <c r="G69" s="35">
        <f t="shared" si="37"/>
        <v>494775.14011572365</v>
      </c>
      <c r="H69" s="33">
        <f t="shared" si="37"/>
        <v>432575.93937150983</v>
      </c>
      <c r="I69" s="34">
        <f t="shared" si="37"/>
        <v>0</v>
      </c>
      <c r="J69" s="35">
        <f t="shared" si="37"/>
        <v>432575.93937150983</v>
      </c>
      <c r="L69" s="33">
        <f>SUM(L62:L68)</f>
        <v>1398764.1225339542</v>
      </c>
      <c r="M69" s="34">
        <f>SUM(M62:M68)</f>
        <v>0</v>
      </c>
      <c r="N69" s="35">
        <f>SUM(N62:N68)</f>
        <v>1398764.1225339542</v>
      </c>
    </row>
    <row r="70" spans="1:19" ht="14.45" customHeight="1">
      <c r="L70" s="13">
        <f>L57-L69</f>
        <v>0</v>
      </c>
    </row>
    <row r="72" spans="1:19">
      <c r="B72" s="286"/>
      <c r="L72" s="13"/>
    </row>
    <row r="73" spans="1:19">
      <c r="L73" s="13"/>
    </row>
    <row r="76" spans="1:19">
      <c r="L76" s="13"/>
    </row>
  </sheetData>
  <mergeCells count="9">
    <mergeCell ref="L60:N60"/>
    <mergeCell ref="L5:N5"/>
    <mergeCell ref="C1:K1"/>
    <mergeCell ref="B5:D5"/>
    <mergeCell ref="E5:G5"/>
    <mergeCell ref="H5:J5"/>
    <mergeCell ref="B60:D60"/>
    <mergeCell ref="E60:G60"/>
    <mergeCell ref="H60:J60"/>
  </mergeCells>
  <phoneticPr fontId="3" type="noConversion"/>
  <pageMargins left="0.31496062992125984" right="0.35433070866141736" top="0.23622047244094491" bottom="0.27559055118110237" header="0.19685039370078741" footer="0.23622047244094491"/>
  <pageSetup paperSize="9" scale="6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1"/>
  <sheetViews>
    <sheetView tabSelected="1" zoomScale="110" zoomScaleNormal="110" workbookViewId="0">
      <selection activeCell="B11" sqref="B11"/>
    </sheetView>
  </sheetViews>
  <sheetFormatPr defaultRowHeight="12.75"/>
  <cols>
    <col min="1" max="1" width="3.42578125" style="53" customWidth="1"/>
    <col min="2" max="2" width="38.28515625" style="59" customWidth="1"/>
    <col min="3" max="3" width="10.7109375" style="53" bestFit="1" customWidth="1"/>
    <col min="4" max="4" width="10.42578125" style="53" customWidth="1"/>
    <col min="5" max="5" width="10.7109375" style="53" bestFit="1" customWidth="1"/>
    <col min="6" max="6" width="9" style="53" customWidth="1"/>
    <col min="7" max="7" width="10.5703125" style="53" bestFit="1" customWidth="1"/>
    <col min="8" max="8" width="10.28515625" style="53" customWidth="1"/>
    <col min="9" max="9" width="9.7109375" style="53" customWidth="1"/>
    <col min="10" max="10" width="7.5703125" style="53" customWidth="1"/>
    <col min="11" max="11" width="9.5703125" style="53" customWidth="1"/>
    <col min="12" max="12" width="2.7109375" style="53" customWidth="1"/>
    <col min="13" max="13" width="9.28515625" style="53" customWidth="1"/>
    <col min="14" max="14" width="7.85546875" style="53" customWidth="1"/>
    <col min="15" max="15" width="9.28515625" style="53" customWidth="1"/>
    <col min="16" max="16" width="33.28515625" customWidth="1"/>
  </cols>
  <sheetData>
    <row r="1" spans="1:15">
      <c r="A1"/>
      <c r="B1" s="7" t="s">
        <v>153</v>
      </c>
      <c r="C1" s="7" t="s">
        <v>130</v>
      </c>
      <c r="D1" s="300" t="s">
        <v>27</v>
      </c>
      <c r="E1" s="300"/>
      <c r="F1" s="300"/>
      <c r="G1" s="300"/>
      <c r="H1" s="300"/>
      <c r="I1" s="300"/>
      <c r="J1" s="300"/>
      <c r="K1" s="300"/>
      <c r="L1" s="300"/>
      <c r="M1"/>
      <c r="N1"/>
      <c r="O1"/>
    </row>
    <row r="2" spans="1:15">
      <c r="B2" s="292" t="s">
        <v>152</v>
      </c>
      <c r="C2" s="134" t="s">
        <v>151</v>
      </c>
    </row>
    <row r="4" spans="1:15" ht="13.5" thickBot="1"/>
    <row r="5" spans="1:15" s="7" customFormat="1">
      <c r="A5" s="47"/>
      <c r="B5" s="294"/>
      <c r="C5" s="310" t="s">
        <v>28</v>
      </c>
      <c r="D5" s="311"/>
      <c r="E5" s="312"/>
      <c r="F5" s="313" t="s">
        <v>29</v>
      </c>
      <c r="G5" s="314"/>
      <c r="H5" s="315"/>
      <c r="I5" s="316" t="s">
        <v>30</v>
      </c>
      <c r="J5" s="317"/>
      <c r="K5" s="318"/>
      <c r="L5" s="134"/>
      <c r="M5" s="307" t="s">
        <v>23</v>
      </c>
      <c r="N5" s="308"/>
      <c r="O5" s="309"/>
    </row>
    <row r="6" spans="1:15" s="186" customFormat="1">
      <c r="A6" s="181"/>
      <c r="B6" s="182" t="s">
        <v>0</v>
      </c>
      <c r="C6" s="178" t="s">
        <v>26</v>
      </c>
      <c r="D6" s="179" t="s">
        <v>1</v>
      </c>
      <c r="E6" s="180" t="s">
        <v>9</v>
      </c>
      <c r="F6" s="178" t="s">
        <v>26</v>
      </c>
      <c r="G6" s="179" t="s">
        <v>1</v>
      </c>
      <c r="H6" s="180" t="s">
        <v>9</v>
      </c>
      <c r="I6" s="178" t="s">
        <v>26</v>
      </c>
      <c r="J6" s="179" t="s">
        <v>1</v>
      </c>
      <c r="K6" s="183" t="s">
        <v>9</v>
      </c>
      <c r="L6" s="184"/>
      <c r="M6" s="179" t="s">
        <v>26</v>
      </c>
      <c r="N6" s="179" t="s">
        <v>1</v>
      </c>
      <c r="O6" s="185" t="s">
        <v>9</v>
      </c>
    </row>
    <row r="7" spans="1:15">
      <c r="A7" s="273">
        <v>1</v>
      </c>
      <c r="B7" s="73" t="s">
        <v>144</v>
      </c>
      <c r="C7" s="144"/>
      <c r="D7" s="145"/>
      <c r="E7" s="146"/>
      <c r="F7" s="147"/>
      <c r="G7" s="145"/>
      <c r="H7" s="146"/>
      <c r="I7" s="147"/>
      <c r="J7" s="94"/>
      <c r="K7" s="146"/>
      <c r="M7" s="145"/>
      <c r="N7" s="94"/>
      <c r="O7" s="145"/>
    </row>
    <row r="8" spans="1:15" s="44" customFormat="1">
      <c r="A8" s="273">
        <v>1.1000000000000001</v>
      </c>
      <c r="B8" s="212" t="s">
        <v>106</v>
      </c>
      <c r="C8" s="48">
        <v>50000</v>
      </c>
      <c r="D8" s="148"/>
      <c r="E8" s="187">
        <f t="shared" ref="E8:E15" si="0">SUM(C8:D8)</f>
        <v>50000</v>
      </c>
      <c r="F8" s="48">
        <f>C8+(C8*0.05)</f>
        <v>52500</v>
      </c>
      <c r="G8" s="148"/>
      <c r="H8" s="187">
        <f t="shared" ref="H8:H15" si="1">SUM(F8:G8)</f>
        <v>52500</v>
      </c>
      <c r="I8" s="48">
        <f>F8+(F8*0.05)</f>
        <v>55125</v>
      </c>
      <c r="J8" s="148"/>
      <c r="K8" s="187">
        <f t="shared" ref="K8:K15" si="2">SUM(I8:J8)</f>
        <v>55125</v>
      </c>
      <c r="L8" s="149"/>
      <c r="M8" s="100">
        <f t="shared" ref="M8:N13" si="3">SUM(C8,F8,I8)</f>
        <v>157625</v>
      </c>
      <c r="N8" s="98">
        <f t="shared" si="3"/>
        <v>0</v>
      </c>
      <c r="O8" s="150">
        <f>SUM(M8:N8)</f>
        <v>157625</v>
      </c>
    </row>
    <row r="9" spans="1:15">
      <c r="A9" s="273">
        <v>1.2</v>
      </c>
      <c r="B9" s="141" t="s">
        <v>132</v>
      </c>
      <c r="C9" s="51">
        <f>1000*12</f>
        <v>12000</v>
      </c>
      <c r="D9" s="49"/>
      <c r="E9" s="50">
        <f t="shared" si="0"/>
        <v>12000</v>
      </c>
      <c r="F9" s="62">
        <f>+C9*1.05</f>
        <v>12600</v>
      </c>
      <c r="G9" s="63"/>
      <c r="H9" s="64">
        <f t="shared" si="1"/>
        <v>12600</v>
      </c>
      <c r="I9" s="62">
        <f>+F9*1.05</f>
        <v>13230</v>
      </c>
      <c r="J9" s="49"/>
      <c r="K9" s="50">
        <f t="shared" si="2"/>
        <v>13230</v>
      </c>
      <c r="M9" s="49">
        <f t="shared" si="3"/>
        <v>37830</v>
      </c>
      <c r="N9" s="49">
        <f t="shared" si="3"/>
        <v>0</v>
      </c>
      <c r="O9" s="50">
        <f>SUM(M9:N9)</f>
        <v>37830</v>
      </c>
    </row>
    <row r="10" spans="1:15">
      <c r="A10" s="273">
        <v>1.3</v>
      </c>
      <c r="B10" s="142" t="s">
        <v>148</v>
      </c>
      <c r="C10" s="48">
        <f>SUM(30000/30/3*12)*3</f>
        <v>12000</v>
      </c>
      <c r="D10" s="49"/>
      <c r="E10" s="50">
        <f>SUM(C10:D10)</f>
        <v>12000</v>
      </c>
      <c r="F10" s="48">
        <f>C10+(C10*0.05)</f>
        <v>12600</v>
      </c>
      <c r="G10" s="49"/>
      <c r="H10" s="50">
        <f>SUM(F10:G10)</f>
        <v>12600</v>
      </c>
      <c r="I10" s="48">
        <f>F10+(F10*0.05)</f>
        <v>13230</v>
      </c>
      <c r="J10" s="111"/>
      <c r="K10" s="50">
        <f>SUM(I10:J10)</f>
        <v>13230</v>
      </c>
      <c r="M10" s="49">
        <f t="shared" ref="M10:N12" si="4">SUM(C10,F10,I10)</f>
        <v>37830</v>
      </c>
      <c r="N10" s="111">
        <f t="shared" si="4"/>
        <v>0</v>
      </c>
      <c r="O10" s="49">
        <f t="shared" ref="O10:O15" si="5">SUM(M10:N10)</f>
        <v>37830</v>
      </c>
    </row>
    <row r="11" spans="1:15" ht="33.75">
      <c r="A11" s="273">
        <v>1.4</v>
      </c>
      <c r="B11" s="56" t="s">
        <v>155</v>
      </c>
      <c r="C11" s="48">
        <f>(52291.520526/0.8)</f>
        <v>65364.400657499995</v>
      </c>
      <c r="D11" s="49"/>
      <c r="E11" s="50">
        <f>SUM(C11:D11)</f>
        <v>65364.400657499995</v>
      </c>
      <c r="F11" s="48">
        <f>C11+(C11*0.05)</f>
        <v>68632.620690374999</v>
      </c>
      <c r="G11" s="49"/>
      <c r="H11" s="50">
        <f>SUM(F11:G11)</f>
        <v>68632.620690374999</v>
      </c>
      <c r="I11" s="48">
        <f>F11+(F11*0.05)</f>
        <v>72064.251724893751</v>
      </c>
      <c r="J11" s="111"/>
      <c r="K11" s="50">
        <f>SUM(I11:J11)</f>
        <v>72064.251724893751</v>
      </c>
      <c r="M11" s="49">
        <f t="shared" si="4"/>
        <v>206061.27307276876</v>
      </c>
      <c r="N11" s="111">
        <f t="shared" si="4"/>
        <v>0</v>
      </c>
      <c r="O11" s="49">
        <f t="shared" si="5"/>
        <v>206061.27307276876</v>
      </c>
    </row>
    <row r="12" spans="1:15" s="45" customFormat="1">
      <c r="A12" s="273">
        <v>1.5</v>
      </c>
      <c r="B12" s="56" t="s">
        <v>52</v>
      </c>
      <c r="C12" s="96">
        <f>30000</f>
        <v>30000</v>
      </c>
      <c r="D12" s="63"/>
      <c r="E12" s="64">
        <f t="shared" si="0"/>
        <v>30000</v>
      </c>
      <c r="F12" s="62">
        <f>+C12*1.05</f>
        <v>31500</v>
      </c>
      <c r="G12" s="63"/>
      <c r="H12" s="64">
        <f t="shared" si="1"/>
        <v>31500</v>
      </c>
      <c r="I12" s="62">
        <f>+F12*1.05</f>
        <v>33075</v>
      </c>
      <c r="J12" s="100"/>
      <c r="K12" s="64">
        <f t="shared" si="2"/>
        <v>33075</v>
      </c>
      <c r="L12" s="99"/>
      <c r="M12" s="63">
        <f t="shared" si="4"/>
        <v>94575</v>
      </c>
      <c r="N12" s="63">
        <f t="shared" si="4"/>
        <v>0</v>
      </c>
      <c r="O12" s="63">
        <f t="shared" si="5"/>
        <v>94575</v>
      </c>
    </row>
    <row r="13" spans="1:15">
      <c r="A13" s="273">
        <v>1.6</v>
      </c>
      <c r="B13" s="56" t="s">
        <v>105</v>
      </c>
      <c r="C13" s="68">
        <f>(2500*12)</f>
        <v>30000</v>
      </c>
      <c r="D13" s="66"/>
      <c r="E13" s="67">
        <f t="shared" si="0"/>
        <v>30000</v>
      </c>
      <c r="F13" s="68">
        <f>+C13*1.05</f>
        <v>31500</v>
      </c>
      <c r="G13" s="66"/>
      <c r="H13" s="67">
        <f t="shared" si="1"/>
        <v>31500</v>
      </c>
      <c r="I13" s="48">
        <f>F13+(F13*0.05)</f>
        <v>33075</v>
      </c>
      <c r="J13" s="49"/>
      <c r="K13" s="67">
        <f t="shared" si="2"/>
        <v>33075</v>
      </c>
      <c r="M13" s="66">
        <f t="shared" si="3"/>
        <v>94575</v>
      </c>
      <c r="N13" s="66">
        <f t="shared" si="3"/>
        <v>0</v>
      </c>
      <c r="O13" s="67">
        <f t="shared" si="5"/>
        <v>94575</v>
      </c>
    </row>
    <row r="14" spans="1:15">
      <c r="A14" s="273">
        <v>1.7</v>
      </c>
      <c r="B14" s="141" t="s">
        <v>133</v>
      </c>
      <c r="C14" s="51">
        <f>1500*12</f>
        <v>18000</v>
      </c>
      <c r="D14" s="49"/>
      <c r="E14" s="50">
        <f t="shared" si="0"/>
        <v>18000</v>
      </c>
      <c r="F14" s="62">
        <f>+C14*1.05</f>
        <v>18900</v>
      </c>
      <c r="G14" s="63"/>
      <c r="H14" s="64">
        <f t="shared" si="1"/>
        <v>18900</v>
      </c>
      <c r="I14" s="62">
        <f>+F14*1.05</f>
        <v>19845</v>
      </c>
      <c r="J14" s="49"/>
      <c r="K14" s="50">
        <f t="shared" si="2"/>
        <v>19845</v>
      </c>
      <c r="M14" s="49">
        <f t="shared" ref="M14:N16" si="6">SUM(C14,F14,I14)</f>
        <v>56745</v>
      </c>
      <c r="N14" s="49">
        <f t="shared" si="6"/>
        <v>0</v>
      </c>
      <c r="O14" s="50">
        <f t="shared" si="5"/>
        <v>56745</v>
      </c>
    </row>
    <row r="15" spans="1:15" ht="22.5">
      <c r="A15" s="273">
        <v>1.8</v>
      </c>
      <c r="B15" s="212" t="s">
        <v>135</v>
      </c>
      <c r="C15" s="48">
        <v>28500</v>
      </c>
      <c r="D15" s="54"/>
      <c r="E15" s="50">
        <f t="shared" si="0"/>
        <v>28500</v>
      </c>
      <c r="F15" s="48">
        <f>C15+(C15*0.05)</f>
        <v>29925</v>
      </c>
      <c r="G15" s="49"/>
      <c r="H15" s="50">
        <f t="shared" si="1"/>
        <v>29925</v>
      </c>
      <c r="I15" s="48">
        <f>F15+(F15*0.05)</f>
        <v>31421.25</v>
      </c>
      <c r="J15" s="54"/>
      <c r="K15" s="50">
        <f t="shared" si="2"/>
        <v>31421.25</v>
      </c>
      <c r="M15" s="100">
        <f t="shared" si="6"/>
        <v>89846.25</v>
      </c>
      <c r="N15" s="98">
        <f t="shared" si="6"/>
        <v>0</v>
      </c>
      <c r="O15" s="150">
        <f t="shared" si="5"/>
        <v>89846.25</v>
      </c>
    </row>
    <row r="16" spans="1:15" s="45" customFormat="1" ht="33.75">
      <c r="A16" s="273">
        <v>1.9</v>
      </c>
      <c r="B16" s="56" t="s">
        <v>134</v>
      </c>
      <c r="C16" s="62">
        <f>75000*0.1</f>
        <v>7500</v>
      </c>
      <c r="D16" s="63"/>
      <c r="E16" s="64">
        <f>SUM(C16:D16)</f>
        <v>7500</v>
      </c>
      <c r="F16" s="62">
        <f>C16*1.05</f>
        <v>7875</v>
      </c>
      <c r="G16" s="63"/>
      <c r="H16" s="150">
        <f>SUM(F16:G16)</f>
        <v>7875</v>
      </c>
      <c r="I16" s="62"/>
      <c r="J16" s="100"/>
      <c r="K16" s="64">
        <f>SUM(I16:J16)</f>
        <v>0</v>
      </c>
      <c r="L16" s="99"/>
      <c r="M16" s="100">
        <f t="shared" si="6"/>
        <v>15375</v>
      </c>
      <c r="N16" s="98">
        <f t="shared" si="6"/>
        <v>0</v>
      </c>
      <c r="O16" s="50">
        <f>SUM(M16:N16)</f>
        <v>15375</v>
      </c>
    </row>
    <row r="17" spans="1:17">
      <c r="A17" s="173"/>
      <c r="B17" s="74" t="s">
        <v>10</v>
      </c>
      <c r="C17" s="152">
        <f>SUM(C8:C16)</f>
        <v>253364.40065749999</v>
      </c>
      <c r="D17" s="103">
        <f>SUM(D8:D16)</f>
        <v>0</v>
      </c>
      <c r="E17" s="143">
        <f>SUM(C17:D17)</f>
        <v>253364.40065749999</v>
      </c>
      <c r="F17" s="152">
        <f>SUM(F8:F16)</f>
        <v>266032.62069037498</v>
      </c>
      <c r="G17" s="103">
        <f>SUM(G8:G16)</f>
        <v>0</v>
      </c>
      <c r="H17" s="143">
        <f>SUM(F17:G17)</f>
        <v>266032.62069037498</v>
      </c>
      <c r="I17" s="152">
        <f>SUM(I8:I16)</f>
        <v>271065.50172489375</v>
      </c>
      <c r="J17" s="103">
        <f>SUM(J8:J16)</f>
        <v>0</v>
      </c>
      <c r="K17" s="143">
        <f>SUM(I17:J17)</f>
        <v>271065.50172489375</v>
      </c>
      <c r="M17" s="103">
        <f>SUM(M8:M16)</f>
        <v>790462.5230727687</v>
      </c>
      <c r="N17" s="103">
        <f>SUM(N8:N16)</f>
        <v>0</v>
      </c>
      <c r="O17" s="103">
        <f>SUM(M17:N17)</f>
        <v>790462.5230727687</v>
      </c>
    </row>
    <row r="18" spans="1:17">
      <c r="A18" s="47"/>
      <c r="B18" s="73"/>
      <c r="C18" s="144"/>
      <c r="D18" s="145"/>
      <c r="E18" s="146"/>
      <c r="F18" s="147"/>
      <c r="G18" s="145"/>
      <c r="H18" s="146"/>
      <c r="I18" s="147"/>
      <c r="J18" s="94"/>
      <c r="K18" s="146"/>
      <c r="M18" s="145"/>
      <c r="N18" s="94"/>
      <c r="O18" s="145"/>
    </row>
    <row r="19" spans="1:17" s="59" customFormat="1" hidden="1">
      <c r="A19" s="177"/>
      <c r="B19" s="56"/>
      <c r="C19" s="65"/>
      <c r="D19" s="66"/>
      <c r="E19" s="67">
        <f>SUM(C19:D19)</f>
        <v>0</v>
      </c>
      <c r="F19" s="68"/>
      <c r="G19" s="66"/>
      <c r="H19" s="67">
        <f>SUM(F19:G19)</f>
        <v>0</v>
      </c>
      <c r="I19" s="51"/>
      <c r="J19" s="57"/>
      <c r="K19" s="67">
        <f>SUM(I19:J19)</f>
        <v>0</v>
      </c>
      <c r="M19" s="66">
        <f t="shared" ref="M19:N22" si="7">SUM(C19,F19,I19)</f>
        <v>0</v>
      </c>
      <c r="N19" s="66">
        <f t="shared" si="7"/>
        <v>0</v>
      </c>
      <c r="O19" s="67">
        <f>SUM(M19:N19)</f>
        <v>0</v>
      </c>
    </row>
    <row r="20" spans="1:17" s="59" customFormat="1" hidden="1">
      <c r="A20" s="177"/>
      <c r="B20" s="56"/>
      <c r="C20" s="65"/>
      <c r="D20" s="66"/>
      <c r="E20" s="67">
        <f>SUM(C20:D20)</f>
        <v>0</v>
      </c>
      <c r="F20" s="68"/>
      <c r="G20" s="66"/>
      <c r="H20" s="67">
        <f>SUM(F20:G20)</f>
        <v>0</v>
      </c>
      <c r="I20" s="51"/>
      <c r="J20" s="57"/>
      <c r="K20" s="67">
        <f>SUM(I20:J20)</f>
        <v>0</v>
      </c>
      <c r="M20" s="66">
        <f>SUM(C20,F20,I20)</f>
        <v>0</v>
      </c>
      <c r="N20" s="66">
        <f>SUM(D20,G20,J20)</f>
        <v>0</v>
      </c>
      <c r="O20" s="67">
        <f>SUM(M20:N20)</f>
        <v>0</v>
      </c>
    </row>
    <row r="21" spans="1:17" hidden="1">
      <c r="A21" s="47"/>
      <c r="B21" s="56"/>
      <c r="C21" s="151"/>
      <c r="D21" s="49"/>
      <c r="E21" s="50">
        <f>SUM(C21:D21)</f>
        <v>0</v>
      </c>
      <c r="F21" s="51"/>
      <c r="G21" s="52"/>
      <c r="H21" s="50">
        <f>SUM(F21:G21)</f>
        <v>0</v>
      </c>
      <c r="I21" s="51"/>
      <c r="J21" s="52"/>
      <c r="K21" s="50">
        <f>SUM(I21:J21)</f>
        <v>0</v>
      </c>
      <c r="M21" s="49">
        <f t="shared" si="7"/>
        <v>0</v>
      </c>
      <c r="N21" s="52">
        <f t="shared" si="7"/>
        <v>0</v>
      </c>
      <c r="O21" s="50">
        <f>SUM(M21:N21)</f>
        <v>0</v>
      </c>
      <c r="P21">
        <f>12000+20000+15000+10000</f>
        <v>57000</v>
      </c>
      <c r="Q21">
        <v>12000</v>
      </c>
    </row>
    <row r="22" spans="1:17" hidden="1">
      <c r="A22" s="177"/>
      <c r="B22" s="141"/>
      <c r="C22" s="48"/>
      <c r="D22" s="49"/>
      <c r="E22" s="50">
        <f>SUM(C22:D22)</f>
        <v>0</v>
      </c>
      <c r="F22" s="48"/>
      <c r="G22" s="52"/>
      <c r="H22" s="50">
        <f>SUM(F22:G22)</f>
        <v>0</v>
      </c>
      <c r="I22" s="51"/>
      <c r="J22" s="52"/>
      <c r="K22" s="50">
        <f>SUM(I22:J22)</f>
        <v>0</v>
      </c>
      <c r="M22" s="49">
        <f t="shared" si="7"/>
        <v>0</v>
      </c>
      <c r="N22" s="52">
        <f t="shared" si="7"/>
        <v>0</v>
      </c>
      <c r="O22" s="50">
        <f>SUM(M22:N22)</f>
        <v>0</v>
      </c>
      <c r="Q22">
        <v>-10000</v>
      </c>
    </row>
    <row r="23" spans="1:17">
      <c r="A23" s="173"/>
      <c r="B23" s="74" t="s">
        <v>11</v>
      </c>
      <c r="C23" s="153">
        <f>SUM(C19:C22)</f>
        <v>0</v>
      </c>
      <c r="D23" s="110">
        <f>SUM(D19:D22)</f>
        <v>0</v>
      </c>
      <c r="E23" s="154">
        <f>SUM(C23:D23)</f>
        <v>0</v>
      </c>
      <c r="F23" s="153">
        <f>SUM(F19:F22)</f>
        <v>0</v>
      </c>
      <c r="G23" s="110">
        <f>SUM(G19:G22)</f>
        <v>0</v>
      </c>
      <c r="H23" s="154">
        <f>SUM(F23:G23)</f>
        <v>0</v>
      </c>
      <c r="I23" s="153">
        <f>SUM(I19:I22)</f>
        <v>0</v>
      </c>
      <c r="J23" s="110">
        <f>SUM(J19:J22)</f>
        <v>0</v>
      </c>
      <c r="K23" s="154">
        <f>SUM(I23:J23)</f>
        <v>0</v>
      </c>
      <c r="M23" s="110">
        <f>SUM(M19:M22)</f>
        <v>0</v>
      </c>
      <c r="N23" s="110">
        <f>SUM(N19:N22)</f>
        <v>0</v>
      </c>
      <c r="O23" s="110">
        <f>SUM(M23:N23)</f>
        <v>0</v>
      </c>
    </row>
    <row r="24" spans="1:17">
      <c r="A24" s="47">
        <v>3</v>
      </c>
      <c r="B24" s="73" t="s">
        <v>8</v>
      </c>
      <c r="C24" s="144"/>
      <c r="D24" s="145"/>
      <c r="E24" s="146"/>
      <c r="F24" s="147"/>
      <c r="G24" s="145"/>
      <c r="H24" s="146"/>
      <c r="I24" s="147"/>
      <c r="J24" s="94"/>
      <c r="K24" s="146"/>
      <c r="M24" s="145"/>
      <c r="N24" s="94"/>
      <c r="O24" s="145"/>
    </row>
    <row r="25" spans="1:17">
      <c r="A25" s="47">
        <v>3.1</v>
      </c>
      <c r="B25" s="56" t="s">
        <v>53</v>
      </c>
      <c r="C25" s="48">
        <v>1000</v>
      </c>
      <c r="D25" s="49"/>
      <c r="E25" s="50">
        <f>SUM(C25:D25)</f>
        <v>1000</v>
      </c>
      <c r="F25" s="48">
        <v>1000</v>
      </c>
      <c r="G25" s="49"/>
      <c r="H25" s="50">
        <f t="shared" ref="H25:H33" si="8">SUM(F25:G25)</f>
        <v>1000</v>
      </c>
      <c r="I25" s="48">
        <v>1000</v>
      </c>
      <c r="J25" s="49"/>
      <c r="K25" s="50">
        <f t="shared" ref="K25:K33" si="9">SUM(I25:J25)</f>
        <v>1000</v>
      </c>
      <c r="M25" s="49">
        <f>SUM(C25,F25,I25)</f>
        <v>3000</v>
      </c>
      <c r="N25" s="49">
        <f>SUM(D25,G25,J25)</f>
        <v>0</v>
      </c>
      <c r="O25" s="50">
        <f t="shared" ref="O25:O33" si="10">SUM(M25:N25)</f>
        <v>3000</v>
      </c>
    </row>
    <row r="26" spans="1:17">
      <c r="A26" s="47">
        <v>3.2</v>
      </c>
      <c r="B26" s="75" t="s">
        <v>50</v>
      </c>
      <c r="C26" s="48">
        <f>3000+(8*483)</f>
        <v>6864</v>
      </c>
      <c r="D26" s="49"/>
      <c r="E26" s="50">
        <f>SUM(C26:D26)</f>
        <v>6864</v>
      </c>
      <c r="F26" s="48">
        <f>3000+(8*483)</f>
        <v>6864</v>
      </c>
      <c r="G26" s="49"/>
      <c r="H26" s="50">
        <f t="shared" si="8"/>
        <v>6864</v>
      </c>
      <c r="I26" s="48">
        <f>2500+(8*483)</f>
        <v>6364</v>
      </c>
      <c r="J26" s="49"/>
      <c r="K26" s="50">
        <f t="shared" si="9"/>
        <v>6364</v>
      </c>
      <c r="M26" s="49">
        <f t="shared" ref="M26:N28" si="11">SUM(C26,F26,I26)</f>
        <v>20092</v>
      </c>
      <c r="N26" s="49">
        <f t="shared" si="11"/>
        <v>0</v>
      </c>
      <c r="O26" s="50">
        <f t="shared" si="10"/>
        <v>20092</v>
      </c>
    </row>
    <row r="27" spans="1:17">
      <c r="A27" s="47">
        <v>3.3</v>
      </c>
      <c r="B27" s="75" t="s">
        <v>51</v>
      </c>
      <c r="C27" s="48">
        <v>2000</v>
      </c>
      <c r="D27" s="49"/>
      <c r="E27" s="50">
        <f>SUM(C27:D27)</f>
        <v>2000</v>
      </c>
      <c r="F27" s="48"/>
      <c r="G27" s="49"/>
      <c r="H27" s="50">
        <f t="shared" si="8"/>
        <v>0</v>
      </c>
      <c r="I27" s="48"/>
      <c r="J27" s="49"/>
      <c r="K27" s="50">
        <f t="shared" si="9"/>
        <v>0</v>
      </c>
      <c r="M27" s="49">
        <f>SUM(C27,F27,I27)</f>
        <v>2000</v>
      </c>
      <c r="N27" s="49">
        <f>SUM(D27,G27,J27)</f>
        <v>0</v>
      </c>
      <c r="O27" s="49">
        <f t="shared" si="10"/>
        <v>2000</v>
      </c>
    </row>
    <row r="28" spans="1:17">
      <c r="A28" s="47">
        <v>3.4</v>
      </c>
      <c r="B28" s="75" t="s">
        <v>49</v>
      </c>
      <c r="C28" s="48">
        <v>7000</v>
      </c>
      <c r="D28" s="49"/>
      <c r="E28" s="50">
        <f>SUM(C28:D28)</f>
        <v>7000</v>
      </c>
      <c r="F28" s="48">
        <v>7000</v>
      </c>
      <c r="G28" s="49"/>
      <c r="H28" s="50">
        <f t="shared" si="8"/>
        <v>7000</v>
      </c>
      <c r="I28" s="48">
        <v>7000</v>
      </c>
      <c r="J28" s="49"/>
      <c r="K28" s="50">
        <f t="shared" si="9"/>
        <v>7000</v>
      </c>
      <c r="M28" s="49">
        <f t="shared" si="11"/>
        <v>21000</v>
      </c>
      <c r="N28" s="49">
        <f t="shared" si="11"/>
        <v>0</v>
      </c>
      <c r="O28" s="49">
        <f t="shared" si="10"/>
        <v>21000</v>
      </c>
    </row>
    <row r="29" spans="1:17">
      <c r="A29" s="173"/>
      <c r="B29" s="74" t="s">
        <v>12</v>
      </c>
      <c r="C29" s="153">
        <f>SUM(C25:C28)</f>
        <v>16864</v>
      </c>
      <c r="D29" s="110">
        <f>SUM(D25:D28)</f>
        <v>0</v>
      </c>
      <c r="E29" s="154">
        <f>SUM(C29:D29)</f>
        <v>16864</v>
      </c>
      <c r="F29" s="153">
        <f>SUM(F25:F28)</f>
        <v>14864</v>
      </c>
      <c r="G29" s="110">
        <f>SUM(G25:G28)</f>
        <v>0</v>
      </c>
      <c r="H29" s="154">
        <f t="shared" si="8"/>
        <v>14864</v>
      </c>
      <c r="I29" s="153">
        <f>SUM(I25:I28)</f>
        <v>14364</v>
      </c>
      <c r="J29" s="110">
        <f>SUM(J25:J28)</f>
        <v>0</v>
      </c>
      <c r="K29" s="154">
        <f t="shared" si="9"/>
        <v>14364</v>
      </c>
      <c r="M29" s="110">
        <f>SUM(M25:M28)</f>
        <v>46092</v>
      </c>
      <c r="N29" s="110">
        <f>SUM(N25:N28)</f>
        <v>0</v>
      </c>
      <c r="O29" s="110">
        <f t="shared" si="10"/>
        <v>46092</v>
      </c>
    </row>
    <row r="30" spans="1:17">
      <c r="A30" s="47">
        <v>4</v>
      </c>
      <c r="B30" s="289" t="s">
        <v>149</v>
      </c>
      <c r="C30" s="144"/>
      <c r="D30" s="145"/>
      <c r="E30" s="146"/>
      <c r="F30" s="147"/>
      <c r="G30" s="145"/>
      <c r="H30" s="146">
        <f t="shared" si="8"/>
        <v>0</v>
      </c>
      <c r="I30" s="147"/>
      <c r="J30" s="94"/>
      <c r="K30" s="146">
        <f t="shared" si="9"/>
        <v>0</v>
      </c>
      <c r="M30" s="145"/>
      <c r="N30" s="94"/>
      <c r="O30" s="145">
        <f t="shared" si="10"/>
        <v>0</v>
      </c>
    </row>
    <row r="31" spans="1:17">
      <c r="A31" s="47">
        <v>4.3</v>
      </c>
      <c r="B31" s="76" t="s">
        <v>55</v>
      </c>
      <c r="C31" s="48">
        <f>(150*4)*12</f>
        <v>7200</v>
      </c>
      <c r="D31" s="49"/>
      <c r="E31" s="50">
        <f>SUM(C31:D31)</f>
        <v>7200</v>
      </c>
      <c r="F31" s="48">
        <f>C31+(C31*0.05)</f>
        <v>7560</v>
      </c>
      <c r="G31" s="49"/>
      <c r="H31" s="50">
        <f t="shared" si="8"/>
        <v>7560</v>
      </c>
      <c r="I31" s="48">
        <f>F31+(F31*0.05)</f>
        <v>7938</v>
      </c>
      <c r="J31" s="49"/>
      <c r="K31" s="50">
        <f t="shared" si="9"/>
        <v>7938</v>
      </c>
      <c r="M31" s="49">
        <f t="shared" ref="M31:N33" si="12">SUM(C31,F31,I31)</f>
        <v>22698</v>
      </c>
      <c r="N31" s="49">
        <f t="shared" si="12"/>
        <v>0</v>
      </c>
      <c r="O31" s="49">
        <f t="shared" si="10"/>
        <v>22698</v>
      </c>
    </row>
    <row r="32" spans="1:17">
      <c r="A32" s="47">
        <v>4.4000000000000004</v>
      </c>
      <c r="B32" s="75" t="s">
        <v>54</v>
      </c>
      <c r="C32" s="48">
        <v>6000</v>
      </c>
      <c r="D32" s="49"/>
      <c r="E32" s="50">
        <f>SUM(C32:D32)</f>
        <v>6000</v>
      </c>
      <c r="F32" s="48"/>
      <c r="G32" s="49"/>
      <c r="H32" s="50">
        <f t="shared" si="8"/>
        <v>0</v>
      </c>
      <c r="I32" s="48"/>
      <c r="J32" s="49"/>
      <c r="K32" s="50">
        <f t="shared" si="9"/>
        <v>0</v>
      </c>
      <c r="M32" s="49">
        <f t="shared" si="12"/>
        <v>6000</v>
      </c>
      <c r="N32" s="49">
        <f t="shared" si="12"/>
        <v>0</v>
      </c>
      <c r="O32" s="50">
        <f t="shared" si="10"/>
        <v>6000</v>
      </c>
    </row>
    <row r="33" spans="1:15" hidden="1">
      <c r="A33" s="47"/>
      <c r="B33" s="76"/>
      <c r="C33" s="48"/>
      <c r="D33" s="49"/>
      <c r="E33" s="50">
        <f>SUM(C33:D33)</f>
        <v>0</v>
      </c>
      <c r="F33" s="48"/>
      <c r="G33" s="49"/>
      <c r="H33" s="50">
        <f t="shared" si="8"/>
        <v>0</v>
      </c>
      <c r="I33" s="51"/>
      <c r="J33" s="54"/>
      <c r="K33" s="50">
        <f t="shared" si="9"/>
        <v>0</v>
      </c>
      <c r="M33" s="49">
        <f t="shared" si="12"/>
        <v>0</v>
      </c>
      <c r="N33" s="54">
        <f t="shared" si="12"/>
        <v>0</v>
      </c>
      <c r="O33" s="49">
        <f t="shared" si="10"/>
        <v>0</v>
      </c>
    </row>
    <row r="34" spans="1:15" s="46" customFormat="1" hidden="1">
      <c r="A34" s="174"/>
      <c r="B34" s="77"/>
      <c r="C34" s="155"/>
      <c r="D34" s="112"/>
      <c r="E34" s="156"/>
      <c r="F34" s="155"/>
      <c r="G34" s="112"/>
      <c r="H34" s="156"/>
      <c r="I34" s="155"/>
      <c r="J34" s="112"/>
      <c r="K34" s="156"/>
      <c r="L34" s="113"/>
      <c r="M34" s="112"/>
      <c r="N34" s="112"/>
      <c r="O34" s="112"/>
    </row>
    <row r="35" spans="1:15" s="46" customFormat="1" hidden="1">
      <c r="A35" s="174"/>
      <c r="B35" s="190"/>
      <c r="C35" s="155"/>
      <c r="D35" s="112"/>
      <c r="E35" s="156"/>
      <c r="F35" s="155"/>
      <c r="G35" s="112"/>
      <c r="H35" s="156"/>
      <c r="I35" s="155"/>
      <c r="J35" s="112"/>
      <c r="K35" s="156"/>
      <c r="L35" s="113"/>
      <c r="M35" s="112"/>
      <c r="N35" s="112"/>
      <c r="O35" s="112"/>
    </row>
    <row r="36" spans="1:15">
      <c r="A36" s="173"/>
      <c r="B36" s="74" t="s">
        <v>13</v>
      </c>
      <c r="C36" s="153">
        <f>SUM(C31:C35)</f>
        <v>13200</v>
      </c>
      <c r="D36" s="110">
        <f t="shared" ref="D36:K36" si="13">SUM(D31:D35)</f>
        <v>0</v>
      </c>
      <c r="E36" s="154">
        <f t="shared" si="13"/>
        <v>13200</v>
      </c>
      <c r="F36" s="153">
        <f t="shared" si="13"/>
        <v>7560</v>
      </c>
      <c r="G36" s="110">
        <f t="shared" si="13"/>
        <v>0</v>
      </c>
      <c r="H36" s="154">
        <f t="shared" si="13"/>
        <v>7560</v>
      </c>
      <c r="I36" s="153">
        <f t="shared" si="13"/>
        <v>7938</v>
      </c>
      <c r="J36" s="110">
        <f t="shared" si="13"/>
        <v>0</v>
      </c>
      <c r="K36" s="154">
        <f t="shared" si="13"/>
        <v>7938</v>
      </c>
      <c r="M36" s="110">
        <f>SUM(M31:M35)</f>
        <v>28698</v>
      </c>
      <c r="N36" s="110">
        <f>SUM(N31:N35)</f>
        <v>0</v>
      </c>
      <c r="O36" s="110">
        <f>SUM(O31:O35)</f>
        <v>28698</v>
      </c>
    </row>
    <row r="37" spans="1:15">
      <c r="A37" s="173"/>
      <c r="B37" s="78"/>
      <c r="C37" s="157"/>
      <c r="D37" s="117"/>
      <c r="E37" s="158"/>
      <c r="F37" s="157"/>
      <c r="G37" s="117"/>
      <c r="H37" s="158"/>
      <c r="I37" s="157"/>
      <c r="J37" s="117"/>
      <c r="K37" s="159"/>
      <c r="M37" s="117"/>
      <c r="N37" s="117"/>
      <c r="O37" s="160"/>
    </row>
    <row r="38" spans="1:15" s="45" customFormat="1">
      <c r="A38" s="195">
        <v>5</v>
      </c>
      <c r="B38" s="56" t="s">
        <v>146</v>
      </c>
      <c r="C38" s="62">
        <f>C48*0.085</f>
        <v>24091.414055887504</v>
      </c>
      <c r="D38" s="63">
        <f>D48*0.085</f>
        <v>0</v>
      </c>
      <c r="E38" s="64">
        <f>SUM(C38:D38)</f>
        <v>24091.414055887504</v>
      </c>
      <c r="F38" s="62">
        <f>F48*0.085</f>
        <v>24518.812758681874</v>
      </c>
      <c r="G38" s="63">
        <f>G48*0.085</f>
        <v>0</v>
      </c>
      <c r="H38" s="64">
        <f>SUM(F38:G38)</f>
        <v>24518.812758681874</v>
      </c>
      <c r="I38" s="62">
        <f>I48*0.085</f>
        <v>24936.237646615969</v>
      </c>
      <c r="J38" s="63">
        <f>J48*0.085</f>
        <v>0</v>
      </c>
      <c r="K38" s="64">
        <f>SUM(I38:J38)</f>
        <v>24936.237646615969</v>
      </c>
      <c r="L38" s="99"/>
      <c r="M38" s="63">
        <f>SUM(C38,F38,I38)</f>
        <v>73546.464461185358</v>
      </c>
      <c r="N38" s="97">
        <f>SUM(D38,G38,J38)</f>
        <v>0</v>
      </c>
      <c r="O38" s="64">
        <f>SUM(M38:N38)</f>
        <v>73546.464461185358</v>
      </c>
    </row>
    <row r="39" spans="1:15" s="46" customFormat="1">
      <c r="A39" s="174"/>
      <c r="B39" s="190"/>
      <c r="C39" s="155"/>
      <c r="D39" s="112"/>
      <c r="E39" s="156"/>
      <c r="F39" s="155"/>
      <c r="G39" s="112"/>
      <c r="H39" s="156"/>
      <c r="I39" s="155"/>
      <c r="J39" s="112"/>
      <c r="K39" s="156"/>
      <c r="L39" s="113"/>
      <c r="M39" s="112"/>
      <c r="N39" s="112"/>
      <c r="O39" s="112"/>
    </row>
    <row r="40" spans="1:15" ht="13.5" thickBot="1">
      <c r="A40" s="173"/>
      <c r="B40" s="74" t="s">
        <v>24</v>
      </c>
      <c r="C40" s="161">
        <f t="shared" ref="C40:K40" si="14">SUM(C17,C23,C29,C36,C38)</f>
        <v>307519.81471338752</v>
      </c>
      <c r="D40" s="122">
        <f t="shared" si="14"/>
        <v>0</v>
      </c>
      <c r="E40" s="162">
        <f t="shared" si="14"/>
        <v>307519.81471338752</v>
      </c>
      <c r="F40" s="161">
        <f t="shared" si="14"/>
        <v>312975.43344905687</v>
      </c>
      <c r="G40" s="122">
        <f t="shared" si="14"/>
        <v>0</v>
      </c>
      <c r="H40" s="162">
        <f t="shared" si="14"/>
        <v>312975.43344905687</v>
      </c>
      <c r="I40" s="161">
        <f t="shared" si="14"/>
        <v>318303.7393715097</v>
      </c>
      <c r="J40" s="122">
        <f t="shared" si="14"/>
        <v>0</v>
      </c>
      <c r="K40" s="163">
        <f t="shared" si="14"/>
        <v>318303.7393715097</v>
      </c>
      <c r="M40" s="110">
        <f>SUM(M17,M23,M29,M36,M38)</f>
        <v>938798.98753395409</v>
      </c>
      <c r="N40" s="110">
        <f>SUM(N17,N23,N29,N36,N38)</f>
        <v>0</v>
      </c>
      <c r="O40" s="164">
        <f>SUM(O17,O23,O29,O36,O38)</f>
        <v>938798.98753395409</v>
      </c>
    </row>
    <row r="41" spans="1:15">
      <c r="A41" s="175"/>
      <c r="B41" s="79"/>
      <c r="C41" s="188" t="s">
        <v>26</v>
      </c>
      <c r="D41" s="188" t="s">
        <v>18</v>
      </c>
      <c r="E41" s="189" t="s">
        <v>9</v>
      </c>
      <c r="F41" s="165"/>
      <c r="G41" s="165"/>
      <c r="H41" s="165"/>
      <c r="I41" s="166"/>
      <c r="J41" s="167"/>
      <c r="K41" s="168"/>
      <c r="L41" s="118"/>
      <c r="M41" s="169"/>
      <c r="N41" s="117"/>
      <c r="O41" s="170"/>
    </row>
    <row r="42" spans="1:15">
      <c r="A42" s="175"/>
      <c r="B42" s="80" t="s">
        <v>14</v>
      </c>
      <c r="C42" s="127">
        <f>SUM(C17+C23+C29+C36+C38)</f>
        <v>307519.81471338752</v>
      </c>
      <c r="D42" s="127">
        <f>SUM(D17+D23+D29+D36+D38)</f>
        <v>0</v>
      </c>
      <c r="E42" s="127">
        <f>SUM(C42:D42)</f>
        <v>307519.81471338752</v>
      </c>
      <c r="F42" s="128"/>
      <c r="G42" s="128"/>
      <c r="H42" s="128"/>
      <c r="I42" s="128"/>
      <c r="J42" s="128"/>
      <c r="K42" s="171"/>
      <c r="M42" s="128"/>
      <c r="N42" s="128"/>
      <c r="O42" s="171"/>
    </row>
    <row r="43" spans="1:15">
      <c r="A43" s="175"/>
      <c r="B43" s="80" t="s">
        <v>15</v>
      </c>
      <c r="C43" s="127">
        <f>SUM(F17+F23+F29+F36+F38)</f>
        <v>312975.43344905687</v>
      </c>
      <c r="D43" s="127">
        <f>SUM(G17+G23+G29+G36+G38)</f>
        <v>0</v>
      </c>
      <c r="E43" s="127">
        <f>SUM(C43:D43)</f>
        <v>312975.43344905687</v>
      </c>
      <c r="F43" s="130"/>
      <c r="G43" s="130"/>
      <c r="H43" s="130"/>
      <c r="I43" s="130"/>
      <c r="J43" s="130"/>
      <c r="K43" s="87"/>
      <c r="M43" s="130"/>
      <c r="N43" s="130"/>
      <c r="O43" s="87"/>
    </row>
    <row r="44" spans="1:15">
      <c r="A44" s="175"/>
      <c r="B44" s="80" t="s">
        <v>16</v>
      </c>
      <c r="C44" s="127">
        <f>SUM(I17+I23+I29+I36+I38)</f>
        <v>318303.7393715097</v>
      </c>
      <c r="D44" s="127">
        <f>SUM(J17+J23+J29+J36+J38)</f>
        <v>0</v>
      </c>
      <c r="E44" s="127">
        <f>SUM(C44:D44)</f>
        <v>318303.7393715097</v>
      </c>
      <c r="F44" s="130"/>
      <c r="G44" s="130"/>
      <c r="H44" s="130"/>
      <c r="I44" s="130"/>
      <c r="J44" s="130"/>
      <c r="K44" s="87"/>
      <c r="M44" s="130"/>
      <c r="N44" s="130"/>
      <c r="O44" s="87"/>
    </row>
    <row r="45" spans="1:15" s="7" customFormat="1">
      <c r="A45" s="176"/>
      <c r="B45" s="80" t="s">
        <v>17</v>
      </c>
      <c r="C45" s="131">
        <f>SUM(C42:C44)</f>
        <v>938798.9875339542</v>
      </c>
      <c r="D45" s="131">
        <f>SUM(D42:D44)</f>
        <v>0</v>
      </c>
      <c r="E45" s="131">
        <f>SUM(E42:E44)</f>
        <v>938798.9875339542</v>
      </c>
      <c r="F45" s="133"/>
      <c r="G45" s="133"/>
      <c r="H45" s="133"/>
      <c r="I45" s="133"/>
      <c r="J45" s="133"/>
      <c r="K45" s="133"/>
      <c r="L45" s="134"/>
      <c r="M45" s="133"/>
      <c r="N45" s="133"/>
      <c r="O45" s="133"/>
    </row>
    <row r="46" spans="1:15" ht="7.5" customHeight="1"/>
    <row r="48" spans="1:15">
      <c r="B48" s="81" t="s">
        <v>22</v>
      </c>
      <c r="C48" s="138">
        <f t="shared" ref="C48:K48" si="15">SUM(C17,C23,C29,C36)</f>
        <v>283428.40065750002</v>
      </c>
      <c r="D48" s="138">
        <f t="shared" si="15"/>
        <v>0</v>
      </c>
      <c r="E48" s="138">
        <f t="shared" si="15"/>
        <v>283428.40065750002</v>
      </c>
      <c r="F48" s="138">
        <f t="shared" si="15"/>
        <v>288456.62069037498</v>
      </c>
      <c r="G48" s="138">
        <f t="shared" si="15"/>
        <v>0</v>
      </c>
      <c r="H48" s="138">
        <f t="shared" si="15"/>
        <v>288456.62069037498</v>
      </c>
      <c r="I48" s="138">
        <f t="shared" si="15"/>
        <v>293367.50172489375</v>
      </c>
      <c r="J48" s="138">
        <f t="shared" si="15"/>
        <v>0</v>
      </c>
      <c r="K48" s="138">
        <f t="shared" si="15"/>
        <v>293367.50172489375</v>
      </c>
      <c r="M48" s="138">
        <f>SUM(M17,M23,M29,M36)</f>
        <v>865252.5230727687</v>
      </c>
      <c r="N48" s="138">
        <f>SUM(N17,N23,N29,N36)</f>
        <v>0</v>
      </c>
      <c r="O48" s="138">
        <f>SUM(O17,O23,O29,O36)</f>
        <v>865252.5230727687</v>
      </c>
    </row>
    <row r="51" spans="13:13">
      <c r="M51" s="172">
        <f>SUM(M34+M35)</f>
        <v>0</v>
      </c>
    </row>
  </sheetData>
  <mergeCells count="5">
    <mergeCell ref="D1:L1"/>
    <mergeCell ref="M5:O5"/>
    <mergeCell ref="C5:E5"/>
    <mergeCell ref="F5:H5"/>
    <mergeCell ref="I5:K5"/>
  </mergeCells>
  <phoneticPr fontId="0" type="noConversion"/>
  <printOptions horizontalCentered="1" verticalCentered="1"/>
  <pageMargins left="0.74803149606299213" right="0.74803149606299213" top="0.4" bottom="0.35433070866141736" header="0" footer="0"/>
  <pageSetup paperSize="9" scale="83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2"/>
  <sheetViews>
    <sheetView topLeftCell="A18" zoomScale="110" zoomScaleNormal="110" workbookViewId="0">
      <selection activeCell="C2" sqref="C2"/>
    </sheetView>
  </sheetViews>
  <sheetFormatPr defaultRowHeight="12.75"/>
  <cols>
    <col min="1" max="1" width="3.42578125" style="53" customWidth="1"/>
    <col min="2" max="2" width="38.28515625" style="59" customWidth="1"/>
    <col min="3" max="3" width="10.7109375" style="53" bestFit="1" customWidth="1"/>
    <col min="4" max="4" width="10.42578125" style="53" customWidth="1"/>
    <col min="5" max="5" width="10.7109375" style="53" bestFit="1" customWidth="1"/>
    <col min="6" max="6" width="9" style="53" customWidth="1"/>
    <col min="7" max="7" width="10.5703125" style="53" bestFit="1" customWidth="1"/>
    <col min="8" max="8" width="10.28515625" style="53" customWidth="1"/>
    <col min="9" max="9" width="9.7109375" style="53" customWidth="1"/>
    <col min="10" max="10" width="7.5703125" style="53" customWidth="1"/>
    <col min="11" max="11" width="9.5703125" style="53" customWidth="1"/>
    <col min="12" max="12" width="2.7109375" style="53" customWidth="1"/>
    <col min="13" max="13" width="9.28515625" style="53" customWidth="1"/>
    <col min="14" max="14" width="7.85546875" style="53" customWidth="1"/>
    <col min="15" max="15" width="9.28515625" style="53" customWidth="1"/>
    <col min="16" max="16" width="33.28515625" customWidth="1"/>
  </cols>
  <sheetData>
    <row r="1" spans="1:15">
      <c r="A1"/>
      <c r="B1" s="7" t="s">
        <v>153</v>
      </c>
      <c r="C1" s="7" t="s">
        <v>130</v>
      </c>
      <c r="D1" s="300" t="s">
        <v>27</v>
      </c>
      <c r="E1" s="300"/>
      <c r="F1" s="300"/>
      <c r="G1" s="300"/>
      <c r="H1" s="300"/>
      <c r="I1" s="300"/>
      <c r="J1" s="300"/>
      <c r="K1" s="300"/>
      <c r="L1" s="300"/>
      <c r="M1"/>
      <c r="N1"/>
      <c r="O1"/>
    </row>
    <row r="2" spans="1:15">
      <c r="B2" s="292" t="s">
        <v>152</v>
      </c>
      <c r="C2" s="134" t="s">
        <v>150</v>
      </c>
    </row>
    <row r="4" spans="1:15" ht="13.5" thickBot="1"/>
    <row r="5" spans="1:15" s="7" customFormat="1">
      <c r="A5" s="47"/>
      <c r="B5" s="294"/>
      <c r="C5" s="310" t="s">
        <v>28</v>
      </c>
      <c r="D5" s="311"/>
      <c r="E5" s="312"/>
      <c r="F5" s="313" t="s">
        <v>29</v>
      </c>
      <c r="G5" s="314"/>
      <c r="H5" s="315"/>
      <c r="I5" s="316" t="s">
        <v>30</v>
      </c>
      <c r="J5" s="317"/>
      <c r="K5" s="318"/>
      <c r="L5" s="134"/>
      <c r="M5" s="307" t="s">
        <v>23</v>
      </c>
      <c r="N5" s="308"/>
      <c r="O5" s="309"/>
    </row>
    <row r="6" spans="1:15" s="186" customFormat="1">
      <c r="A6" s="181"/>
      <c r="B6" s="182" t="s">
        <v>0</v>
      </c>
      <c r="C6" s="178" t="s">
        <v>26</v>
      </c>
      <c r="D6" s="179" t="s">
        <v>1</v>
      </c>
      <c r="E6" s="180" t="s">
        <v>9</v>
      </c>
      <c r="F6" s="178" t="s">
        <v>26</v>
      </c>
      <c r="G6" s="179" t="s">
        <v>1</v>
      </c>
      <c r="H6" s="180" t="s">
        <v>9</v>
      </c>
      <c r="I6" s="178" t="s">
        <v>26</v>
      </c>
      <c r="J6" s="179" t="s">
        <v>1</v>
      </c>
      <c r="K6" s="183" t="s">
        <v>9</v>
      </c>
      <c r="L6" s="184"/>
      <c r="M6" s="179" t="s">
        <v>26</v>
      </c>
      <c r="N6" s="179" t="s">
        <v>1</v>
      </c>
      <c r="O6" s="185" t="s">
        <v>9</v>
      </c>
    </row>
    <row r="7" spans="1:15">
      <c r="A7" s="273">
        <v>1</v>
      </c>
      <c r="B7" s="73" t="s">
        <v>144</v>
      </c>
      <c r="C7" s="144"/>
      <c r="D7" s="145"/>
      <c r="E7" s="146"/>
      <c r="F7" s="147"/>
      <c r="G7" s="145"/>
      <c r="H7" s="146"/>
      <c r="I7" s="147"/>
      <c r="J7" s="94"/>
      <c r="K7" s="146"/>
      <c r="M7" s="145"/>
      <c r="N7" s="94"/>
      <c r="O7" s="145"/>
    </row>
    <row r="8" spans="1:15" s="44" customFormat="1" hidden="1">
      <c r="A8" s="273">
        <v>1.1000000000000001</v>
      </c>
      <c r="B8" s="212"/>
      <c r="C8" s="48"/>
      <c r="D8" s="148"/>
      <c r="E8" s="187">
        <f t="shared" ref="E8:E13" si="0">SUM(C8:D8)</f>
        <v>0</v>
      </c>
      <c r="F8" s="48">
        <f>C8+(C8*0.05)</f>
        <v>0</v>
      </c>
      <c r="G8" s="148"/>
      <c r="H8" s="187">
        <f t="shared" ref="H8:H13" si="1">SUM(F8:G8)</f>
        <v>0</v>
      </c>
      <c r="I8" s="48">
        <f>F8+(F8*0.05)</f>
        <v>0</v>
      </c>
      <c r="J8" s="148"/>
      <c r="K8" s="187">
        <f t="shared" ref="K8:K13" si="2">SUM(I8:J8)</f>
        <v>0</v>
      </c>
      <c r="L8" s="149"/>
      <c r="M8" s="100">
        <f t="shared" ref="M8:N11" si="3">SUM(C8,F8,I8)</f>
        <v>0</v>
      </c>
      <c r="N8" s="98">
        <f t="shared" si="3"/>
        <v>0</v>
      </c>
      <c r="O8" s="150">
        <f t="shared" ref="O8:O15" si="4">SUM(M8:N8)</f>
        <v>0</v>
      </c>
    </row>
    <row r="9" spans="1:15" hidden="1">
      <c r="A9" s="273">
        <v>1.2</v>
      </c>
      <c r="B9" s="141"/>
      <c r="C9" s="51"/>
      <c r="D9" s="49"/>
      <c r="E9" s="50">
        <f t="shared" si="0"/>
        <v>0</v>
      </c>
      <c r="F9" s="62">
        <f>+C9*1.05</f>
        <v>0</v>
      </c>
      <c r="G9" s="63"/>
      <c r="H9" s="64">
        <f t="shared" si="1"/>
        <v>0</v>
      </c>
      <c r="I9" s="62">
        <f>+F9*1.05</f>
        <v>0</v>
      </c>
      <c r="J9" s="49"/>
      <c r="K9" s="50">
        <f t="shared" si="2"/>
        <v>0</v>
      </c>
      <c r="M9" s="49">
        <f t="shared" si="3"/>
        <v>0</v>
      </c>
      <c r="N9" s="49">
        <f t="shared" si="3"/>
        <v>0</v>
      </c>
      <c r="O9" s="50">
        <f t="shared" si="4"/>
        <v>0</v>
      </c>
    </row>
    <row r="10" spans="1:15" s="45" customFormat="1" hidden="1">
      <c r="A10" s="273">
        <v>1.5</v>
      </c>
      <c r="B10" s="56"/>
      <c r="C10" s="96"/>
      <c r="D10" s="63"/>
      <c r="E10" s="64">
        <f t="shared" si="0"/>
        <v>0</v>
      </c>
      <c r="F10" s="62">
        <f>+C10*1.05</f>
        <v>0</v>
      </c>
      <c r="G10" s="63"/>
      <c r="H10" s="64">
        <f t="shared" si="1"/>
        <v>0</v>
      </c>
      <c r="I10" s="62">
        <f>+F10*1.05</f>
        <v>0</v>
      </c>
      <c r="J10" s="100"/>
      <c r="K10" s="64">
        <f t="shared" si="2"/>
        <v>0</v>
      </c>
      <c r="L10" s="99"/>
      <c r="M10" s="63">
        <f>SUM(C10,F10,I10)</f>
        <v>0</v>
      </c>
      <c r="N10" s="63">
        <f>SUM(D10,G10,J10)</f>
        <v>0</v>
      </c>
      <c r="O10" s="63">
        <f t="shared" si="4"/>
        <v>0</v>
      </c>
    </row>
    <row r="11" spans="1:15" hidden="1">
      <c r="A11" s="273">
        <v>1.4</v>
      </c>
      <c r="B11" s="56"/>
      <c r="C11" s="68"/>
      <c r="D11" s="66"/>
      <c r="E11" s="67">
        <f t="shared" si="0"/>
        <v>0</v>
      </c>
      <c r="F11" s="68">
        <f>+C11*1.05</f>
        <v>0</v>
      </c>
      <c r="G11" s="66"/>
      <c r="H11" s="67">
        <f t="shared" si="1"/>
        <v>0</v>
      </c>
      <c r="I11" s="48">
        <f>F11+(F11*0.05)</f>
        <v>0</v>
      </c>
      <c r="J11" s="49"/>
      <c r="K11" s="67">
        <f t="shared" si="2"/>
        <v>0</v>
      </c>
      <c r="M11" s="66">
        <f t="shared" si="3"/>
        <v>0</v>
      </c>
      <c r="N11" s="66">
        <f t="shared" si="3"/>
        <v>0</v>
      </c>
      <c r="O11" s="67">
        <f t="shared" si="4"/>
        <v>0</v>
      </c>
    </row>
    <row r="12" spans="1:15" hidden="1">
      <c r="A12" s="273">
        <v>1.7</v>
      </c>
      <c r="B12" s="141"/>
      <c r="C12" s="51"/>
      <c r="D12" s="49"/>
      <c r="E12" s="50">
        <f t="shared" si="0"/>
        <v>0</v>
      </c>
      <c r="F12" s="62">
        <f>+C12*1.05</f>
        <v>0</v>
      </c>
      <c r="G12" s="63"/>
      <c r="H12" s="64">
        <f t="shared" si="1"/>
        <v>0</v>
      </c>
      <c r="I12" s="62">
        <f>+F12*1.05</f>
        <v>0</v>
      </c>
      <c r="J12" s="49"/>
      <c r="K12" s="50">
        <f t="shared" si="2"/>
        <v>0</v>
      </c>
      <c r="M12" s="49">
        <f t="shared" ref="M12:N14" si="5">SUM(C12,F12,I12)</f>
        <v>0</v>
      </c>
      <c r="N12" s="49">
        <f t="shared" si="5"/>
        <v>0</v>
      </c>
      <c r="O12" s="50">
        <f t="shared" si="4"/>
        <v>0</v>
      </c>
    </row>
    <row r="13" spans="1:15" hidden="1">
      <c r="A13" s="273">
        <v>1.3</v>
      </c>
      <c r="B13" s="212"/>
      <c r="C13" s="48"/>
      <c r="D13" s="54"/>
      <c r="E13" s="50">
        <f t="shared" si="0"/>
        <v>0</v>
      </c>
      <c r="F13" s="48">
        <f>C13+(C13*0.05)</f>
        <v>0</v>
      </c>
      <c r="G13" s="49"/>
      <c r="H13" s="50">
        <f t="shared" si="1"/>
        <v>0</v>
      </c>
      <c r="I13" s="48">
        <f>F13+(F13*0.05)</f>
        <v>0</v>
      </c>
      <c r="J13" s="54"/>
      <c r="K13" s="50">
        <f t="shared" si="2"/>
        <v>0</v>
      </c>
      <c r="M13" s="100">
        <f t="shared" si="5"/>
        <v>0</v>
      </c>
      <c r="N13" s="98">
        <f t="shared" si="5"/>
        <v>0</v>
      </c>
      <c r="O13" s="150">
        <f t="shared" si="4"/>
        <v>0</v>
      </c>
    </row>
    <row r="14" spans="1:15" s="45" customFormat="1" hidden="1">
      <c r="A14" s="273">
        <v>1.6</v>
      </c>
      <c r="B14" s="56"/>
      <c r="C14" s="62"/>
      <c r="D14" s="63"/>
      <c r="E14" s="64">
        <f>SUM(C14:D14)</f>
        <v>0</v>
      </c>
      <c r="F14" s="62">
        <f>C14*1.05</f>
        <v>0</v>
      </c>
      <c r="G14" s="63"/>
      <c r="H14" s="150">
        <f t="shared" ref="H14:H32" si="6">SUM(F14:G14)</f>
        <v>0</v>
      </c>
      <c r="I14" s="62"/>
      <c r="J14" s="100"/>
      <c r="K14" s="64">
        <f t="shared" ref="K14:K32" si="7">SUM(I14:J14)</f>
        <v>0</v>
      </c>
      <c r="L14" s="99"/>
      <c r="M14" s="100">
        <f t="shared" si="5"/>
        <v>0</v>
      </c>
      <c r="N14" s="98">
        <f t="shared" si="5"/>
        <v>0</v>
      </c>
      <c r="O14" s="50">
        <f t="shared" si="4"/>
        <v>0</v>
      </c>
    </row>
    <row r="15" spans="1:15">
      <c r="A15" s="173"/>
      <c r="B15" s="74" t="s">
        <v>10</v>
      </c>
      <c r="C15" s="152">
        <f>SUM(C8:C14)</f>
        <v>0</v>
      </c>
      <c r="D15" s="103">
        <f>SUM(D8:D14)</f>
        <v>0</v>
      </c>
      <c r="E15" s="143">
        <f>SUM(C15:D15)</f>
        <v>0</v>
      </c>
      <c r="F15" s="152">
        <f>SUM(F8:F14)</f>
        <v>0</v>
      </c>
      <c r="G15" s="103">
        <f>SUM(G8:G14)</f>
        <v>0</v>
      </c>
      <c r="H15" s="143">
        <f t="shared" si="6"/>
        <v>0</v>
      </c>
      <c r="I15" s="152">
        <f>SUM(I8:I14)</f>
        <v>0</v>
      </c>
      <c r="J15" s="103">
        <f>SUM(J8:J14)</f>
        <v>0</v>
      </c>
      <c r="K15" s="143">
        <f t="shared" si="7"/>
        <v>0</v>
      </c>
      <c r="M15" s="103">
        <f>SUM(M8:M14)</f>
        <v>0</v>
      </c>
      <c r="N15" s="103">
        <f>SUM(N8:N14)</f>
        <v>0</v>
      </c>
      <c r="O15" s="103">
        <f t="shared" si="4"/>
        <v>0</v>
      </c>
    </row>
    <row r="16" spans="1:15">
      <c r="A16" s="47">
        <v>2</v>
      </c>
      <c r="B16" s="73" t="s">
        <v>21</v>
      </c>
      <c r="C16" s="144"/>
      <c r="D16" s="145"/>
      <c r="E16" s="146"/>
      <c r="F16" s="147"/>
      <c r="G16" s="145"/>
      <c r="H16" s="146"/>
      <c r="I16" s="147"/>
      <c r="J16" s="94"/>
      <c r="K16" s="146"/>
      <c r="M16" s="145"/>
      <c r="N16" s="94"/>
      <c r="O16" s="145"/>
    </row>
    <row r="17" spans="1:17" ht="22.5">
      <c r="A17" s="47">
        <v>2.1</v>
      </c>
      <c r="B17" s="56" t="s">
        <v>102</v>
      </c>
      <c r="C17" s="151">
        <v>18000</v>
      </c>
      <c r="D17" s="49"/>
      <c r="E17" s="50">
        <f t="shared" ref="E17:E22" si="8">SUM(C17:D17)</f>
        <v>18000</v>
      </c>
      <c r="F17" s="51">
        <v>18000</v>
      </c>
      <c r="G17" s="52"/>
      <c r="H17" s="50">
        <f>SUM(F17:G17)</f>
        <v>18000</v>
      </c>
      <c r="I17" s="51"/>
      <c r="J17" s="52"/>
      <c r="K17" s="50">
        <f>SUM(I17:J17)</f>
        <v>0</v>
      </c>
      <c r="M17" s="49">
        <f t="shared" ref="M17:N21" si="9">SUM(C17,F17,I17)</f>
        <v>36000</v>
      </c>
      <c r="N17" s="52">
        <f t="shared" si="9"/>
        <v>0</v>
      </c>
      <c r="O17" s="50">
        <f t="shared" ref="O17:O22" si="10">SUM(M17:N17)</f>
        <v>36000</v>
      </c>
    </row>
    <row r="18" spans="1:17" s="59" customFormat="1" ht="22.5">
      <c r="A18" s="177">
        <v>2.2000000000000002</v>
      </c>
      <c r="B18" s="56" t="s">
        <v>38</v>
      </c>
      <c r="C18" s="65"/>
      <c r="D18" s="66"/>
      <c r="E18" s="67">
        <f t="shared" si="8"/>
        <v>0</v>
      </c>
      <c r="F18" s="68"/>
      <c r="G18" s="66"/>
      <c r="H18" s="67">
        <f>SUM(F18:G18)</f>
        <v>0</v>
      </c>
      <c r="I18" s="51">
        <f>2000*6</f>
        <v>12000</v>
      </c>
      <c r="J18" s="57"/>
      <c r="K18" s="67">
        <f>SUM(I18:J18)</f>
        <v>12000</v>
      </c>
      <c r="M18" s="66">
        <f>SUM(C18,F18,I18)</f>
        <v>12000</v>
      </c>
      <c r="N18" s="66">
        <f>SUM(D18,G18,J18)</f>
        <v>0</v>
      </c>
      <c r="O18" s="67">
        <f t="shared" si="10"/>
        <v>12000</v>
      </c>
    </row>
    <row r="19" spans="1:17" ht="33.75">
      <c r="A19" s="47">
        <v>2.2999999999999998</v>
      </c>
      <c r="B19" s="56" t="s">
        <v>39</v>
      </c>
      <c r="C19" s="151">
        <v>30000</v>
      </c>
      <c r="D19" s="49"/>
      <c r="E19" s="50">
        <f t="shared" si="8"/>
        <v>30000</v>
      </c>
      <c r="F19" s="51">
        <v>30000</v>
      </c>
      <c r="G19" s="52"/>
      <c r="H19" s="50">
        <f>SUM(F19:G19)</f>
        <v>30000</v>
      </c>
      <c r="I19" s="51">
        <v>20000</v>
      </c>
      <c r="J19" s="52"/>
      <c r="K19" s="50">
        <f>SUM(I19:J19)</f>
        <v>20000</v>
      </c>
      <c r="M19" s="49">
        <f t="shared" si="9"/>
        <v>80000</v>
      </c>
      <c r="N19" s="52">
        <f t="shared" si="9"/>
        <v>0</v>
      </c>
      <c r="O19" s="50">
        <f t="shared" si="10"/>
        <v>80000</v>
      </c>
      <c r="P19">
        <f>12000+20000+15000+10000</f>
        <v>57000</v>
      </c>
      <c r="Q19">
        <v>12000</v>
      </c>
    </row>
    <row r="20" spans="1:17" ht="33.6" customHeight="1">
      <c r="A20" s="177">
        <v>2.4</v>
      </c>
      <c r="B20" s="141" t="s">
        <v>40</v>
      </c>
      <c r="C20" s="48"/>
      <c r="D20" s="49"/>
      <c r="E20" s="50">
        <f t="shared" si="8"/>
        <v>0</v>
      </c>
      <c r="F20" s="48"/>
      <c r="G20" s="52"/>
      <c r="H20" s="50">
        <f>SUM(F20:G20)</f>
        <v>0</v>
      </c>
      <c r="I20" s="51">
        <v>7000</v>
      </c>
      <c r="J20" s="52"/>
      <c r="K20" s="50">
        <f>SUM(I20:J20)</f>
        <v>7000</v>
      </c>
      <c r="M20" s="49">
        <f>SUM(C20,F20,I20)</f>
        <v>7000</v>
      </c>
      <c r="N20" s="52">
        <f>SUM(D20,G20,J20)</f>
        <v>0</v>
      </c>
      <c r="O20" s="50">
        <f t="shared" si="10"/>
        <v>7000</v>
      </c>
      <c r="Q20">
        <v>-10000</v>
      </c>
    </row>
    <row r="21" spans="1:17" ht="33.6" customHeight="1">
      <c r="A21" s="177">
        <v>2.5</v>
      </c>
      <c r="B21" s="141" t="s">
        <v>137</v>
      </c>
      <c r="C21" s="48">
        <f>5000*2</f>
        <v>10000</v>
      </c>
      <c r="D21" s="49"/>
      <c r="E21" s="50">
        <f t="shared" si="8"/>
        <v>10000</v>
      </c>
      <c r="F21" s="48"/>
      <c r="G21" s="52"/>
      <c r="H21" s="50">
        <f>SUM(F21:G21)</f>
        <v>0</v>
      </c>
      <c r="I21" s="51"/>
      <c r="J21" s="52"/>
      <c r="K21" s="50">
        <f>SUM(I21:J21)</f>
        <v>0</v>
      </c>
      <c r="M21" s="49">
        <f t="shared" si="9"/>
        <v>10000</v>
      </c>
      <c r="N21" s="52">
        <f t="shared" si="9"/>
        <v>0</v>
      </c>
      <c r="O21" s="50">
        <f t="shared" si="10"/>
        <v>10000</v>
      </c>
      <c r="Q21">
        <v>-10000</v>
      </c>
    </row>
    <row r="22" spans="1:17">
      <c r="A22" s="173"/>
      <c r="B22" s="74" t="s">
        <v>11</v>
      </c>
      <c r="C22" s="153">
        <f>SUM(C17:C21)</f>
        <v>58000</v>
      </c>
      <c r="D22" s="110">
        <f>SUM(D17:D21)</f>
        <v>0</v>
      </c>
      <c r="E22" s="154">
        <f t="shared" si="8"/>
        <v>58000</v>
      </c>
      <c r="F22" s="153">
        <f>SUM(F17:F21)</f>
        <v>48000</v>
      </c>
      <c r="G22" s="110">
        <f>SUM(G17:G21)</f>
        <v>0</v>
      </c>
      <c r="H22" s="154">
        <f t="shared" si="6"/>
        <v>48000</v>
      </c>
      <c r="I22" s="153">
        <f>SUM(I17:I21)</f>
        <v>39000</v>
      </c>
      <c r="J22" s="110">
        <f>SUM(J17:J21)</f>
        <v>0</v>
      </c>
      <c r="K22" s="154">
        <f t="shared" si="7"/>
        <v>39000</v>
      </c>
      <c r="M22" s="110">
        <f>SUM(M17:M21)</f>
        <v>145000</v>
      </c>
      <c r="N22" s="110">
        <f>SUM(N17:N21)</f>
        <v>0</v>
      </c>
      <c r="O22" s="110">
        <f t="shared" si="10"/>
        <v>145000</v>
      </c>
    </row>
    <row r="23" spans="1:17">
      <c r="A23" s="47">
        <v>3</v>
      </c>
      <c r="B23" s="73" t="s">
        <v>8</v>
      </c>
      <c r="C23" s="144"/>
      <c r="D23" s="145"/>
      <c r="E23" s="146"/>
      <c r="F23" s="147"/>
      <c r="G23" s="145"/>
      <c r="H23" s="146"/>
      <c r="I23" s="147"/>
      <c r="J23" s="94"/>
      <c r="K23" s="146"/>
      <c r="M23" s="145"/>
      <c r="N23" s="94"/>
      <c r="O23" s="145"/>
    </row>
    <row r="24" spans="1:17" hidden="1">
      <c r="A24" s="47">
        <v>3.1</v>
      </c>
      <c r="B24" s="56"/>
      <c r="C24" s="48"/>
      <c r="D24" s="49"/>
      <c r="E24" s="50">
        <f>SUM(C24:D24)</f>
        <v>0</v>
      </c>
      <c r="F24" s="48"/>
      <c r="G24" s="49"/>
      <c r="H24" s="50">
        <f>SUM(F24:G24)</f>
        <v>0</v>
      </c>
      <c r="I24" s="48"/>
      <c r="J24" s="49"/>
      <c r="K24" s="50">
        <f>SUM(I24:J24)</f>
        <v>0</v>
      </c>
      <c r="M24" s="49">
        <f t="shared" ref="M24:N27" si="11">SUM(C24,F24,I24)</f>
        <v>0</v>
      </c>
      <c r="N24" s="49">
        <f t="shared" si="11"/>
        <v>0</v>
      </c>
      <c r="O24" s="50">
        <f t="shared" ref="O24:O34" si="12">SUM(M24:N24)</f>
        <v>0</v>
      </c>
    </row>
    <row r="25" spans="1:17" hidden="1">
      <c r="A25" s="47">
        <v>3.2</v>
      </c>
      <c r="B25" s="75"/>
      <c r="C25" s="48"/>
      <c r="D25" s="49"/>
      <c r="E25" s="50">
        <f>SUM(C25:D25)</f>
        <v>0</v>
      </c>
      <c r="F25" s="48"/>
      <c r="G25" s="49"/>
      <c r="H25" s="50">
        <f>SUM(F25:G25)</f>
        <v>0</v>
      </c>
      <c r="I25" s="48"/>
      <c r="J25" s="49"/>
      <c r="K25" s="50">
        <f>SUM(I25:J25)</f>
        <v>0</v>
      </c>
      <c r="M25" s="49">
        <f t="shared" si="11"/>
        <v>0</v>
      </c>
      <c r="N25" s="49">
        <f t="shared" si="11"/>
        <v>0</v>
      </c>
      <c r="O25" s="50">
        <f t="shared" si="12"/>
        <v>0</v>
      </c>
    </row>
    <row r="26" spans="1:17" hidden="1">
      <c r="A26" s="47">
        <v>3.3</v>
      </c>
      <c r="B26" s="75"/>
      <c r="C26" s="48"/>
      <c r="D26" s="49"/>
      <c r="E26" s="50">
        <f>SUM(C26:D26)</f>
        <v>0</v>
      </c>
      <c r="F26" s="48"/>
      <c r="G26" s="49"/>
      <c r="H26" s="50">
        <f>SUM(F26:G26)</f>
        <v>0</v>
      </c>
      <c r="I26" s="48"/>
      <c r="J26" s="49"/>
      <c r="K26" s="50">
        <f>SUM(I26:J26)</f>
        <v>0</v>
      </c>
      <c r="M26" s="49">
        <f t="shared" si="11"/>
        <v>0</v>
      </c>
      <c r="N26" s="49">
        <f t="shared" si="11"/>
        <v>0</v>
      </c>
      <c r="O26" s="49">
        <f t="shared" si="12"/>
        <v>0</v>
      </c>
    </row>
    <row r="27" spans="1:17" hidden="1">
      <c r="A27" s="47">
        <v>3.4</v>
      </c>
      <c r="B27" s="75"/>
      <c r="C27" s="48"/>
      <c r="D27" s="49"/>
      <c r="E27" s="50">
        <f>SUM(C27:D27)</f>
        <v>0</v>
      </c>
      <c r="F27" s="48"/>
      <c r="G27" s="49"/>
      <c r="H27" s="50">
        <f t="shared" si="6"/>
        <v>0</v>
      </c>
      <c r="I27" s="48"/>
      <c r="J27" s="49"/>
      <c r="K27" s="50">
        <f t="shared" si="7"/>
        <v>0</v>
      </c>
      <c r="M27" s="49">
        <f t="shared" si="11"/>
        <v>0</v>
      </c>
      <c r="N27" s="49">
        <f t="shared" si="11"/>
        <v>0</v>
      </c>
      <c r="O27" s="49">
        <f t="shared" si="12"/>
        <v>0</v>
      </c>
    </row>
    <row r="28" spans="1:17">
      <c r="A28" s="173"/>
      <c r="B28" s="74" t="s">
        <v>12</v>
      </c>
      <c r="C28" s="153">
        <f>SUM(C24:C27)</f>
        <v>0</v>
      </c>
      <c r="D28" s="110">
        <f>SUM(D24:D27)</f>
        <v>0</v>
      </c>
      <c r="E28" s="154">
        <f>SUM(C28:D28)</f>
        <v>0</v>
      </c>
      <c r="F28" s="153">
        <f>SUM(F24:F27)</f>
        <v>0</v>
      </c>
      <c r="G28" s="110">
        <f>SUM(G24:G27)</f>
        <v>0</v>
      </c>
      <c r="H28" s="154">
        <f t="shared" si="6"/>
        <v>0</v>
      </c>
      <c r="I28" s="153">
        <f>SUM(I24:I27)</f>
        <v>0</v>
      </c>
      <c r="J28" s="110">
        <f>SUM(J24:J27)</f>
        <v>0</v>
      </c>
      <c r="K28" s="154">
        <f t="shared" si="7"/>
        <v>0</v>
      </c>
      <c r="M28" s="110">
        <f>SUM(M24:M27)</f>
        <v>0</v>
      </c>
      <c r="N28" s="110">
        <f>SUM(N24:N27)</f>
        <v>0</v>
      </c>
      <c r="O28" s="110">
        <f t="shared" si="12"/>
        <v>0</v>
      </c>
    </row>
    <row r="29" spans="1:17">
      <c r="A29" s="47">
        <v>4</v>
      </c>
      <c r="B29" s="289" t="s">
        <v>149</v>
      </c>
      <c r="C29" s="144"/>
      <c r="D29" s="145"/>
      <c r="E29" s="146"/>
      <c r="F29" s="147"/>
      <c r="G29" s="145"/>
      <c r="H29" s="146">
        <f t="shared" si="6"/>
        <v>0</v>
      </c>
      <c r="I29" s="147"/>
      <c r="J29" s="94"/>
      <c r="K29" s="146">
        <f t="shared" si="7"/>
        <v>0</v>
      </c>
      <c r="M29" s="145"/>
      <c r="N29" s="94"/>
      <c r="O29" s="145">
        <f t="shared" si="12"/>
        <v>0</v>
      </c>
    </row>
    <row r="30" spans="1:17" hidden="1">
      <c r="A30" s="47">
        <v>4.0999999999999996</v>
      </c>
      <c r="B30" s="142"/>
      <c r="C30" s="48"/>
      <c r="D30" s="49"/>
      <c r="E30" s="50">
        <f>SUM(C30:D30)</f>
        <v>0</v>
      </c>
      <c r="F30" s="48">
        <f>C30+(C30*0.05)</f>
        <v>0</v>
      </c>
      <c r="G30" s="49"/>
      <c r="H30" s="50">
        <f t="shared" si="6"/>
        <v>0</v>
      </c>
      <c r="I30" s="48">
        <f>F30+(F30*0.05)</f>
        <v>0</v>
      </c>
      <c r="J30" s="111"/>
      <c r="K30" s="50">
        <f t="shared" si="7"/>
        <v>0</v>
      </c>
      <c r="M30" s="49">
        <f t="shared" ref="M30:N34" si="13">SUM(C30,F30,I30)</f>
        <v>0</v>
      </c>
      <c r="N30" s="111">
        <f t="shared" si="13"/>
        <v>0</v>
      </c>
      <c r="O30" s="49">
        <f t="shared" si="12"/>
        <v>0</v>
      </c>
    </row>
    <row r="31" spans="1:17" hidden="1">
      <c r="A31" s="47">
        <v>4.2</v>
      </c>
      <c r="B31" s="75"/>
      <c r="C31" s="48"/>
      <c r="D31" s="49"/>
      <c r="E31" s="50">
        <f>SUM(C31:D31)</f>
        <v>0</v>
      </c>
      <c r="F31" s="48">
        <f>C31+(C31*0.05)</f>
        <v>0</v>
      </c>
      <c r="G31" s="49"/>
      <c r="H31" s="50">
        <f t="shared" si="6"/>
        <v>0</v>
      </c>
      <c r="I31" s="48">
        <f>F31+(F31*0.05)</f>
        <v>0</v>
      </c>
      <c r="J31" s="111"/>
      <c r="K31" s="50">
        <f t="shared" si="7"/>
        <v>0</v>
      </c>
      <c r="M31" s="49">
        <f t="shared" si="13"/>
        <v>0</v>
      </c>
      <c r="N31" s="111">
        <f t="shared" si="13"/>
        <v>0</v>
      </c>
      <c r="O31" s="49">
        <f t="shared" si="12"/>
        <v>0</v>
      </c>
    </row>
    <row r="32" spans="1:17" hidden="1">
      <c r="A32" s="47">
        <v>4.3</v>
      </c>
      <c r="B32" s="76"/>
      <c r="C32" s="48"/>
      <c r="D32" s="49"/>
      <c r="E32" s="50">
        <f>SUM(C32:D32)</f>
        <v>0</v>
      </c>
      <c r="F32" s="48">
        <f>C32+(C32*0.05)</f>
        <v>0</v>
      </c>
      <c r="G32" s="49"/>
      <c r="H32" s="50">
        <f t="shared" si="6"/>
        <v>0</v>
      </c>
      <c r="I32" s="48">
        <f>F32+(F32*0.05)</f>
        <v>0</v>
      </c>
      <c r="J32" s="49"/>
      <c r="K32" s="50">
        <f t="shared" si="7"/>
        <v>0</v>
      </c>
      <c r="M32" s="49">
        <f t="shared" si="13"/>
        <v>0</v>
      </c>
      <c r="N32" s="49">
        <f t="shared" si="13"/>
        <v>0</v>
      </c>
      <c r="O32" s="49">
        <f t="shared" si="12"/>
        <v>0</v>
      </c>
    </row>
    <row r="33" spans="1:15" hidden="1">
      <c r="A33" s="47">
        <v>4.4000000000000004</v>
      </c>
      <c r="B33" s="75"/>
      <c r="C33" s="48"/>
      <c r="D33" s="49"/>
      <c r="E33" s="50">
        <f>SUM(C33:D33)</f>
        <v>0</v>
      </c>
      <c r="F33" s="48"/>
      <c r="G33" s="49"/>
      <c r="H33" s="50">
        <f>SUM(F33:G33)</f>
        <v>0</v>
      </c>
      <c r="I33" s="48"/>
      <c r="J33" s="49"/>
      <c r="K33" s="50">
        <f>SUM(I33:J33)</f>
        <v>0</v>
      </c>
      <c r="M33" s="49">
        <f>SUM(C33,F33,I33)</f>
        <v>0</v>
      </c>
      <c r="N33" s="49">
        <f t="shared" si="13"/>
        <v>0</v>
      </c>
      <c r="O33" s="50">
        <f t="shared" si="12"/>
        <v>0</v>
      </c>
    </row>
    <row r="34" spans="1:15" hidden="1">
      <c r="A34" s="47">
        <v>4.5</v>
      </c>
      <c r="B34" s="76"/>
      <c r="C34" s="48"/>
      <c r="D34" s="49"/>
      <c r="E34" s="50">
        <f>SUM(C34:D34)</f>
        <v>0</v>
      </c>
      <c r="F34" s="48"/>
      <c r="G34" s="49"/>
      <c r="H34" s="50">
        <f>SUM(F34:G34)</f>
        <v>0</v>
      </c>
      <c r="I34" s="51"/>
      <c r="J34" s="54"/>
      <c r="K34" s="50">
        <f>SUM(I34:J34)</f>
        <v>0</v>
      </c>
      <c r="M34" s="49">
        <f t="shared" si="13"/>
        <v>0</v>
      </c>
      <c r="N34" s="54">
        <f t="shared" si="13"/>
        <v>0</v>
      </c>
      <c r="O34" s="49">
        <f t="shared" si="12"/>
        <v>0</v>
      </c>
    </row>
    <row r="35" spans="1:15" s="46" customFormat="1" hidden="1">
      <c r="A35" s="174"/>
      <c r="B35" s="77"/>
      <c r="C35" s="155"/>
      <c r="D35" s="112"/>
      <c r="E35" s="156"/>
      <c r="F35" s="155"/>
      <c r="G35" s="112"/>
      <c r="H35" s="156"/>
      <c r="I35" s="155"/>
      <c r="J35" s="112"/>
      <c r="K35" s="156"/>
      <c r="L35" s="113"/>
      <c r="M35" s="112"/>
      <c r="N35" s="112"/>
      <c r="O35" s="112"/>
    </row>
    <row r="36" spans="1:15" s="46" customFormat="1" hidden="1">
      <c r="A36" s="174"/>
      <c r="B36" s="190"/>
      <c r="C36" s="155"/>
      <c r="D36" s="112"/>
      <c r="E36" s="156"/>
      <c r="F36" s="155"/>
      <c r="G36" s="112"/>
      <c r="H36" s="156"/>
      <c r="I36" s="155"/>
      <c r="J36" s="112"/>
      <c r="K36" s="156"/>
      <c r="L36" s="113"/>
      <c r="M36" s="112"/>
      <c r="N36" s="112"/>
      <c r="O36" s="112"/>
    </row>
    <row r="37" spans="1:15">
      <c r="A37" s="173"/>
      <c r="B37" s="74" t="s">
        <v>13</v>
      </c>
      <c r="C37" s="153">
        <f t="shared" ref="C37:K37" si="14">SUM(C30:C36)</f>
        <v>0</v>
      </c>
      <c r="D37" s="110">
        <f t="shared" si="14"/>
        <v>0</v>
      </c>
      <c r="E37" s="154">
        <f t="shared" si="14"/>
        <v>0</v>
      </c>
      <c r="F37" s="153">
        <f t="shared" si="14"/>
        <v>0</v>
      </c>
      <c r="G37" s="110">
        <f t="shared" si="14"/>
        <v>0</v>
      </c>
      <c r="H37" s="154">
        <f t="shared" si="14"/>
        <v>0</v>
      </c>
      <c r="I37" s="153">
        <f t="shared" si="14"/>
        <v>0</v>
      </c>
      <c r="J37" s="110">
        <f t="shared" si="14"/>
        <v>0</v>
      </c>
      <c r="K37" s="154">
        <f t="shared" si="14"/>
        <v>0</v>
      </c>
      <c r="M37" s="110">
        <f>SUM(M30:M36)</f>
        <v>0</v>
      </c>
      <c r="N37" s="110">
        <f>SUM(N30:N36)</f>
        <v>0</v>
      </c>
      <c r="O37" s="110">
        <f>SUM(O30:O36)</f>
        <v>0</v>
      </c>
    </row>
    <row r="38" spans="1:15">
      <c r="A38" s="173"/>
      <c r="B38" s="78"/>
      <c r="C38" s="157"/>
      <c r="D38" s="117"/>
      <c r="E38" s="158"/>
      <c r="F38" s="157"/>
      <c r="G38" s="117"/>
      <c r="H38" s="158"/>
      <c r="I38" s="157"/>
      <c r="J38" s="117"/>
      <c r="K38" s="159"/>
      <c r="M38" s="117"/>
      <c r="N38" s="117"/>
      <c r="O38" s="160"/>
    </row>
    <row r="39" spans="1:15" s="45" customFormat="1">
      <c r="A39" s="195">
        <v>5</v>
      </c>
      <c r="B39" s="56" t="s">
        <v>146</v>
      </c>
      <c r="C39" s="62">
        <f>C49*0.085</f>
        <v>4930</v>
      </c>
      <c r="D39" s="63">
        <f>D49*0.085</f>
        <v>0</v>
      </c>
      <c r="E39" s="64">
        <f>SUM(C39:D39)</f>
        <v>4930</v>
      </c>
      <c r="F39" s="62">
        <f>F49*0.085</f>
        <v>4080.0000000000005</v>
      </c>
      <c r="G39" s="63">
        <f>G49*0.085</f>
        <v>0</v>
      </c>
      <c r="H39" s="64">
        <f>SUM(F39:G39)</f>
        <v>4080.0000000000005</v>
      </c>
      <c r="I39" s="62">
        <f>I49*0.085</f>
        <v>3315.0000000000005</v>
      </c>
      <c r="J39" s="63">
        <f>J49*0.085</f>
        <v>0</v>
      </c>
      <c r="K39" s="64">
        <f>SUM(I39:J39)</f>
        <v>3315.0000000000005</v>
      </c>
      <c r="L39" s="99"/>
      <c r="M39" s="63">
        <f>SUM(C39,F39,I39)</f>
        <v>12325</v>
      </c>
      <c r="N39" s="97">
        <f>SUM(D39,G39,J39)</f>
        <v>0</v>
      </c>
      <c r="O39" s="64">
        <f>SUM(M39:N39)</f>
        <v>12325</v>
      </c>
    </row>
    <row r="40" spans="1:15" s="46" customFormat="1">
      <c r="A40" s="174"/>
      <c r="B40" s="190"/>
      <c r="C40" s="155"/>
      <c r="D40" s="112"/>
      <c r="E40" s="156"/>
      <c r="F40" s="155"/>
      <c r="G40" s="112"/>
      <c r="H40" s="156"/>
      <c r="I40" s="155"/>
      <c r="J40" s="112"/>
      <c r="K40" s="156"/>
      <c r="L40" s="113"/>
      <c r="M40" s="112"/>
      <c r="N40" s="112"/>
      <c r="O40" s="112"/>
    </row>
    <row r="41" spans="1:15" ht="13.5" thickBot="1">
      <c r="A41" s="173"/>
      <c r="B41" s="74" t="s">
        <v>24</v>
      </c>
      <c r="C41" s="161">
        <f t="shared" ref="C41:K41" si="15">SUM(C15,C22,C28,C37,C39)</f>
        <v>62930</v>
      </c>
      <c r="D41" s="122">
        <f t="shared" si="15"/>
        <v>0</v>
      </c>
      <c r="E41" s="162">
        <f t="shared" si="15"/>
        <v>62930</v>
      </c>
      <c r="F41" s="161">
        <f t="shared" si="15"/>
        <v>52080</v>
      </c>
      <c r="G41" s="122">
        <f t="shared" si="15"/>
        <v>0</v>
      </c>
      <c r="H41" s="162">
        <f t="shared" si="15"/>
        <v>52080</v>
      </c>
      <c r="I41" s="161">
        <f t="shared" si="15"/>
        <v>42315</v>
      </c>
      <c r="J41" s="122">
        <f t="shared" si="15"/>
        <v>0</v>
      </c>
      <c r="K41" s="163">
        <f t="shared" si="15"/>
        <v>42315</v>
      </c>
      <c r="M41" s="110">
        <f>SUM(M15,M22,M28,M37,M39)</f>
        <v>157325</v>
      </c>
      <c r="N41" s="110">
        <f>SUM(N15,N22,N28,N37,N39)</f>
        <v>0</v>
      </c>
      <c r="O41" s="164">
        <f>SUM(O15,O22,O28,O37,O39)</f>
        <v>157325</v>
      </c>
    </row>
    <row r="42" spans="1:15">
      <c r="A42" s="175"/>
      <c r="B42" s="79"/>
      <c r="C42" s="188" t="s">
        <v>26</v>
      </c>
      <c r="D42" s="188" t="s">
        <v>18</v>
      </c>
      <c r="E42" s="189" t="s">
        <v>9</v>
      </c>
      <c r="F42" s="165"/>
      <c r="G42" s="165"/>
      <c r="H42" s="165"/>
      <c r="I42" s="166"/>
      <c r="J42" s="167"/>
      <c r="K42" s="168"/>
      <c r="L42" s="118"/>
      <c r="M42" s="169"/>
      <c r="N42" s="117"/>
      <c r="O42" s="170"/>
    </row>
    <row r="43" spans="1:15">
      <c r="A43" s="175"/>
      <c r="B43" s="80" t="s">
        <v>14</v>
      </c>
      <c r="C43" s="127">
        <f>SUM(C15+C22+C28+C37+C39)</f>
        <v>62930</v>
      </c>
      <c r="D43" s="127">
        <f>SUM(D15+D22+D28+D37+D39)</f>
        <v>0</v>
      </c>
      <c r="E43" s="127">
        <f>SUM(C43:D43)</f>
        <v>62930</v>
      </c>
      <c r="F43" s="128"/>
      <c r="G43" s="128"/>
      <c r="H43" s="128"/>
      <c r="I43" s="128"/>
      <c r="J43" s="128"/>
      <c r="K43" s="171"/>
      <c r="M43" s="128"/>
      <c r="N43" s="128"/>
      <c r="O43" s="171"/>
    </row>
    <row r="44" spans="1:15">
      <c r="A44" s="175"/>
      <c r="B44" s="80" t="s">
        <v>15</v>
      </c>
      <c r="C44" s="127">
        <f>SUM(F15+F22+F28+F37+F39)</f>
        <v>52080</v>
      </c>
      <c r="D44" s="127">
        <f>SUM(G15+G22+G28+G37+G39)</f>
        <v>0</v>
      </c>
      <c r="E44" s="127">
        <f>SUM(C44:D44)</f>
        <v>52080</v>
      </c>
      <c r="F44" s="130"/>
      <c r="G44" s="130"/>
      <c r="H44" s="130"/>
      <c r="I44" s="130"/>
      <c r="J44" s="130"/>
      <c r="K44" s="87"/>
      <c r="M44" s="130"/>
      <c r="N44" s="130"/>
      <c r="O44" s="87"/>
    </row>
    <row r="45" spans="1:15">
      <c r="A45" s="175"/>
      <c r="B45" s="80" t="s">
        <v>16</v>
      </c>
      <c r="C45" s="127">
        <f>SUM(I15+I22+I28+I37+I39)</f>
        <v>42315</v>
      </c>
      <c r="D45" s="127">
        <f>SUM(J15+J22+J28+J37+J39)</f>
        <v>0</v>
      </c>
      <c r="E45" s="127">
        <f>SUM(C45:D45)</f>
        <v>42315</v>
      </c>
      <c r="F45" s="130"/>
      <c r="G45" s="130"/>
      <c r="H45" s="130"/>
      <c r="I45" s="130"/>
      <c r="J45" s="130"/>
      <c r="K45" s="87"/>
      <c r="M45" s="130"/>
      <c r="N45" s="130"/>
      <c r="O45" s="87"/>
    </row>
    <row r="46" spans="1:15" s="7" customFormat="1">
      <c r="A46" s="176"/>
      <c r="B46" s="80" t="s">
        <v>17</v>
      </c>
      <c r="C46" s="131">
        <f>SUM(C43:C45)</f>
        <v>157325</v>
      </c>
      <c r="D46" s="131">
        <f>SUM(D43:D45)</f>
        <v>0</v>
      </c>
      <c r="E46" s="131">
        <f>SUM(E43:E45)</f>
        <v>157325</v>
      </c>
      <c r="F46" s="133"/>
      <c r="G46" s="133"/>
      <c r="H46" s="133"/>
      <c r="I46" s="133"/>
      <c r="J46" s="133"/>
      <c r="K46" s="133"/>
      <c r="L46" s="134"/>
      <c r="M46" s="133"/>
      <c r="N46" s="133"/>
      <c r="O46" s="133"/>
    </row>
    <row r="47" spans="1:15" ht="7.5" customHeight="1"/>
    <row r="49" spans="2:15">
      <c r="B49" s="81" t="s">
        <v>22</v>
      </c>
      <c r="C49" s="138">
        <f t="shared" ref="C49:K49" si="16">SUM(C15,C22,C28,C37)</f>
        <v>58000</v>
      </c>
      <c r="D49" s="138">
        <f t="shared" si="16"/>
        <v>0</v>
      </c>
      <c r="E49" s="138">
        <f t="shared" si="16"/>
        <v>58000</v>
      </c>
      <c r="F49" s="138">
        <f t="shared" si="16"/>
        <v>48000</v>
      </c>
      <c r="G49" s="138">
        <f t="shared" si="16"/>
        <v>0</v>
      </c>
      <c r="H49" s="138">
        <f t="shared" si="16"/>
        <v>48000</v>
      </c>
      <c r="I49" s="138">
        <f t="shared" si="16"/>
        <v>39000</v>
      </c>
      <c r="J49" s="138">
        <f t="shared" si="16"/>
        <v>0</v>
      </c>
      <c r="K49" s="138">
        <f t="shared" si="16"/>
        <v>39000</v>
      </c>
      <c r="M49" s="138">
        <f>SUM(M15,M22,M28,M37)</f>
        <v>145000</v>
      </c>
      <c r="N49" s="138">
        <f>SUM(N15,N22,N28,N37)</f>
        <v>0</v>
      </c>
      <c r="O49" s="138">
        <f>SUM(O15,O22,O28,O37)</f>
        <v>145000</v>
      </c>
    </row>
    <row r="52" spans="2:15">
      <c r="M52" s="172">
        <f>SUM(M35+M36)</f>
        <v>0</v>
      </c>
    </row>
  </sheetData>
  <mergeCells count="5">
    <mergeCell ref="D1:L1"/>
    <mergeCell ref="M5:O5"/>
    <mergeCell ref="C5:E5"/>
    <mergeCell ref="F5:H5"/>
    <mergeCell ref="I5:K5"/>
  </mergeCells>
  <phoneticPr fontId="3" type="noConversion"/>
  <pageMargins left="0.75" right="0.75" top="1" bottom="1" header="0" footer="0"/>
  <pageSetup paperSize="9" scale="79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2"/>
  <sheetViews>
    <sheetView topLeftCell="A16" workbookViewId="0">
      <selection activeCell="D2" sqref="D2"/>
    </sheetView>
  </sheetViews>
  <sheetFormatPr defaultRowHeight="12.75"/>
  <cols>
    <col min="1" max="1" width="3.7109375" style="193" customWidth="1"/>
    <col min="2" max="2" width="32.7109375" style="59" customWidth="1"/>
    <col min="3" max="3" width="8.85546875" style="83" customWidth="1"/>
    <col min="4" max="4" width="10.140625" style="83" customWidth="1"/>
    <col min="5" max="5" width="9.5703125" style="83" customWidth="1"/>
    <col min="6" max="6" width="9.140625" style="83"/>
    <col min="7" max="7" width="11.28515625" style="83" customWidth="1"/>
    <col min="8" max="8" width="9" style="83" customWidth="1"/>
    <col min="9" max="9" width="9.42578125" style="83" customWidth="1"/>
    <col min="10" max="10" width="11" style="53" bestFit="1" customWidth="1"/>
    <col min="11" max="11" width="9.42578125" style="83" customWidth="1"/>
    <col min="12" max="12" width="2.5703125" style="53" customWidth="1"/>
    <col min="13" max="13" width="9.5703125" style="83" customWidth="1"/>
    <col min="14" max="14" width="7.85546875" style="83" customWidth="1"/>
    <col min="15" max="15" width="9.42578125" style="83" customWidth="1"/>
  </cols>
  <sheetData>
    <row r="1" spans="1:16">
      <c r="A1"/>
      <c r="B1" s="7" t="s">
        <v>153</v>
      </c>
      <c r="C1" s="7" t="s">
        <v>130</v>
      </c>
      <c r="D1" s="300" t="s">
        <v>27</v>
      </c>
      <c r="E1" s="300"/>
      <c r="F1" s="300"/>
      <c r="G1" s="300"/>
      <c r="H1" s="300"/>
      <c r="I1" s="300"/>
      <c r="J1" s="300"/>
      <c r="K1" s="300"/>
      <c r="L1" s="300"/>
      <c r="M1"/>
      <c r="N1"/>
      <c r="O1"/>
    </row>
    <row r="2" spans="1:16">
      <c r="B2" s="292" t="s">
        <v>152</v>
      </c>
      <c r="C2" s="293" t="s">
        <v>41</v>
      </c>
    </row>
    <row r="4" spans="1:16" ht="13.5" thickBot="1"/>
    <row r="5" spans="1:16" s="186" customFormat="1">
      <c r="A5" s="295"/>
      <c r="B5" s="296"/>
      <c r="C5" s="310" t="s">
        <v>28</v>
      </c>
      <c r="D5" s="311"/>
      <c r="E5" s="312"/>
      <c r="F5" s="313" t="s">
        <v>31</v>
      </c>
      <c r="G5" s="314"/>
      <c r="H5" s="315"/>
      <c r="I5" s="316" t="s">
        <v>32</v>
      </c>
      <c r="J5" s="317"/>
      <c r="K5" s="318"/>
      <c r="L5" s="184"/>
      <c r="M5" s="307" t="s">
        <v>23</v>
      </c>
      <c r="N5" s="308"/>
      <c r="O5" s="309"/>
    </row>
    <row r="6" spans="1:16" s="191" customFormat="1">
      <c r="A6" s="192"/>
      <c r="B6" s="201" t="s">
        <v>0</v>
      </c>
      <c r="C6" s="202" t="s">
        <v>26</v>
      </c>
      <c r="D6" s="203" t="s">
        <v>1</v>
      </c>
      <c r="E6" s="204" t="s">
        <v>9</v>
      </c>
      <c r="F6" s="202" t="s">
        <v>26</v>
      </c>
      <c r="G6" s="203" t="s">
        <v>1</v>
      </c>
      <c r="H6" s="204" t="s">
        <v>9</v>
      </c>
      <c r="I6" s="202" t="s">
        <v>26</v>
      </c>
      <c r="J6" s="203" t="s">
        <v>1</v>
      </c>
      <c r="K6" s="205" t="s">
        <v>9</v>
      </c>
      <c r="L6" s="200"/>
      <c r="M6" s="203" t="s">
        <v>26</v>
      </c>
      <c r="N6" s="203" t="s">
        <v>1</v>
      </c>
      <c r="O6" s="206" t="s">
        <v>9</v>
      </c>
    </row>
    <row r="7" spans="1:16">
      <c r="A7" s="195">
        <v>1</v>
      </c>
      <c r="B7" s="73" t="s">
        <v>144</v>
      </c>
      <c r="C7" s="90"/>
      <c r="D7" s="91"/>
      <c r="E7" s="92"/>
      <c r="F7" s="93"/>
      <c r="G7" s="91"/>
      <c r="H7" s="92"/>
      <c r="I7" s="93"/>
      <c r="J7" s="94"/>
      <c r="K7" s="92"/>
      <c r="M7" s="91"/>
      <c r="N7" s="95"/>
      <c r="O7" s="91"/>
    </row>
    <row r="8" spans="1:16" s="45" customFormat="1" ht="22.5">
      <c r="A8" s="195">
        <v>1.1000000000000001</v>
      </c>
      <c r="B8" s="56" t="s">
        <v>33</v>
      </c>
      <c r="C8" s="96">
        <f>(28443/6)*1</f>
        <v>4740.5</v>
      </c>
      <c r="D8" s="97"/>
      <c r="E8" s="64">
        <f>SUM(C8:D8)</f>
        <v>4740.5</v>
      </c>
      <c r="F8" s="62">
        <f>(20000/6)*1</f>
        <v>3333.3333333333335</v>
      </c>
      <c r="G8" s="97"/>
      <c r="H8" s="64">
        <f>SUM(F8:G8)</f>
        <v>3333.3333333333335</v>
      </c>
      <c r="I8" s="62">
        <f>(20000/6)*1</f>
        <v>3333.3333333333335</v>
      </c>
      <c r="J8" s="98"/>
      <c r="K8" s="64">
        <f>SUM(I8:J8)</f>
        <v>3333.3333333333335</v>
      </c>
      <c r="L8" s="99"/>
      <c r="M8" s="63">
        <f t="shared" ref="M8:N10" si="0">SUM(C8,F8,I8)</f>
        <v>11407.166666666668</v>
      </c>
      <c r="N8" s="97">
        <f t="shared" si="0"/>
        <v>0</v>
      </c>
      <c r="O8" s="63">
        <f>SUM(M8:N8)</f>
        <v>11407.166666666668</v>
      </c>
      <c r="P8" s="45" t="s">
        <v>34</v>
      </c>
    </row>
    <row r="9" spans="1:16" s="45" customFormat="1" ht="22.5">
      <c r="A9" s="195">
        <v>1.3000000000000003</v>
      </c>
      <c r="B9" s="56" t="s">
        <v>103</v>
      </c>
      <c r="C9" s="62">
        <v>840</v>
      </c>
      <c r="D9" s="63"/>
      <c r="E9" s="64">
        <f>SUM(C9:D9)</f>
        <v>840</v>
      </c>
      <c r="F9" s="62"/>
      <c r="G9" s="63"/>
      <c r="H9" s="64">
        <f>SUM(F9:G9)</f>
        <v>0</v>
      </c>
      <c r="I9" s="62"/>
      <c r="J9" s="100"/>
      <c r="K9" s="64">
        <f>SUM(I9:J9)</f>
        <v>0</v>
      </c>
      <c r="L9" s="99"/>
      <c r="M9" s="63">
        <f t="shared" si="0"/>
        <v>840</v>
      </c>
      <c r="N9" s="63">
        <f t="shared" si="0"/>
        <v>0</v>
      </c>
      <c r="O9" s="63">
        <f>SUM(M9:N9)</f>
        <v>840</v>
      </c>
    </row>
    <row r="10" spans="1:16" s="45" customFormat="1">
      <c r="A10" s="195">
        <v>1.5000000000000004</v>
      </c>
      <c r="B10" s="56" t="s">
        <v>56</v>
      </c>
      <c r="C10" s="62">
        <f>(3000/6)*1+(9000/6)*1</f>
        <v>2000</v>
      </c>
      <c r="D10" s="63"/>
      <c r="E10" s="64">
        <f>SUM(C10:D10)</f>
        <v>2000</v>
      </c>
      <c r="F10" s="62">
        <f>(12000/6)*1</f>
        <v>2000</v>
      </c>
      <c r="G10" s="63"/>
      <c r="H10" s="64">
        <f>SUM(F10:G10)</f>
        <v>2000</v>
      </c>
      <c r="I10" s="62">
        <f>(12000/6)*1</f>
        <v>2000</v>
      </c>
      <c r="J10" s="100"/>
      <c r="K10" s="64">
        <f>SUM(I10:J10)</f>
        <v>2000</v>
      </c>
      <c r="L10" s="99"/>
      <c r="M10" s="63">
        <f t="shared" si="0"/>
        <v>6000</v>
      </c>
      <c r="N10" s="63">
        <f t="shared" si="0"/>
        <v>0</v>
      </c>
      <c r="O10" s="63">
        <f>SUM(M10:N10)</f>
        <v>6000</v>
      </c>
    </row>
    <row r="11" spans="1:16">
      <c r="A11" s="194"/>
      <c r="B11" s="74" t="s">
        <v>10</v>
      </c>
      <c r="C11" s="101">
        <f t="shared" ref="C11:K11" si="1">SUM(C7:C10)</f>
        <v>7580.5</v>
      </c>
      <c r="D11" s="89">
        <f t="shared" si="1"/>
        <v>0</v>
      </c>
      <c r="E11" s="102">
        <f t="shared" si="1"/>
        <v>7580.5</v>
      </c>
      <c r="F11" s="101">
        <f t="shared" si="1"/>
        <v>5333.3333333333339</v>
      </c>
      <c r="G11" s="89">
        <f t="shared" si="1"/>
        <v>0</v>
      </c>
      <c r="H11" s="102">
        <f t="shared" si="1"/>
        <v>5333.3333333333339</v>
      </c>
      <c r="I11" s="101">
        <f t="shared" si="1"/>
        <v>5333.3333333333339</v>
      </c>
      <c r="J11" s="103">
        <f t="shared" si="1"/>
        <v>0</v>
      </c>
      <c r="K11" s="102">
        <f t="shared" si="1"/>
        <v>5333.3333333333339</v>
      </c>
      <c r="M11" s="89">
        <f>SUM(M7:M10)</f>
        <v>18247.166666666668</v>
      </c>
      <c r="N11" s="89">
        <f>SUM(N7:N10)</f>
        <v>0</v>
      </c>
      <c r="O11" s="102">
        <f>SUM(O7:O10)</f>
        <v>18247.166666666668</v>
      </c>
    </row>
    <row r="12" spans="1:16">
      <c r="A12" s="195">
        <v>2</v>
      </c>
      <c r="B12" s="73" t="s">
        <v>21</v>
      </c>
      <c r="C12" s="104"/>
      <c r="D12" s="105"/>
      <c r="E12" s="106"/>
      <c r="F12" s="104"/>
      <c r="G12" s="105"/>
      <c r="H12" s="106"/>
      <c r="I12" s="104"/>
      <c r="J12" s="107"/>
      <c r="K12" s="106"/>
      <c r="M12" s="105"/>
      <c r="N12" s="105"/>
      <c r="O12" s="106"/>
    </row>
    <row r="13" spans="1:16" s="61" customFormat="1">
      <c r="A13" s="177">
        <v>2.1</v>
      </c>
      <c r="B13" s="56" t="s">
        <v>57</v>
      </c>
      <c r="C13" s="62">
        <f>1000*2</f>
        <v>2000</v>
      </c>
      <c r="D13" s="63"/>
      <c r="E13" s="64">
        <f>SUM(C13:D13)</f>
        <v>2000</v>
      </c>
      <c r="F13" s="62">
        <f>1000*2</f>
        <v>2000</v>
      </c>
      <c r="G13" s="63"/>
      <c r="H13" s="64">
        <f>SUM(F13:G13)</f>
        <v>2000</v>
      </c>
      <c r="I13" s="62"/>
      <c r="J13" s="60"/>
      <c r="K13" s="64">
        <f>SUM(I13:J13)</f>
        <v>0</v>
      </c>
      <c r="M13" s="63">
        <f t="shared" ref="M13:N16" si="2">SUM(C13,F13,I13)</f>
        <v>4000</v>
      </c>
      <c r="N13" s="63">
        <f t="shared" si="2"/>
        <v>0</v>
      </c>
      <c r="O13" s="63">
        <f>SUM(M13:N13)</f>
        <v>4000</v>
      </c>
      <c r="P13" s="61" t="s">
        <v>35</v>
      </c>
    </row>
    <row r="14" spans="1:16" s="61" customFormat="1" ht="22.5">
      <c r="A14" s="177">
        <v>2.2000000000000002</v>
      </c>
      <c r="B14" s="56" t="s">
        <v>36</v>
      </c>
      <c r="C14" s="62">
        <f ca="1">'BP Training Croatia'!$G$47</f>
        <v>4941</v>
      </c>
      <c r="D14" s="63"/>
      <c r="E14" s="64">
        <f ca="1">SUM(C14:D14)</f>
        <v>4941</v>
      </c>
      <c r="F14" s="62">
        <f ca="1">'BP Training Croatia'!$G$47</f>
        <v>4941</v>
      </c>
      <c r="G14" s="63"/>
      <c r="H14" s="64">
        <f>SUM(F14:G14)</f>
        <v>4941</v>
      </c>
      <c r="I14" s="62"/>
      <c r="J14" s="60"/>
      <c r="K14" s="64">
        <f>SUM(I14:J14)</f>
        <v>0</v>
      </c>
      <c r="M14" s="63">
        <f t="shared" si="2"/>
        <v>9882</v>
      </c>
      <c r="N14" s="63">
        <f t="shared" si="2"/>
        <v>0</v>
      </c>
      <c r="O14" s="63">
        <f>SUM(M14:N14)</f>
        <v>9882</v>
      </c>
      <c r="P14" s="61" t="s">
        <v>37</v>
      </c>
    </row>
    <row r="15" spans="1:16" s="61" customFormat="1">
      <c r="A15" s="177">
        <v>2.4</v>
      </c>
      <c r="B15" s="56" t="s">
        <v>7</v>
      </c>
      <c r="C15" s="62"/>
      <c r="D15" s="63"/>
      <c r="E15" s="64">
        <f>SUM(C15:D15)</f>
        <v>0</v>
      </c>
      <c r="F15" s="62">
        <f>(10000/6)*1</f>
        <v>1666.6666666666667</v>
      </c>
      <c r="G15" s="63"/>
      <c r="H15" s="64">
        <f>SUM(F15:G15)</f>
        <v>1666.6666666666667</v>
      </c>
      <c r="I15" s="62">
        <f>(10000/6)*1</f>
        <v>1666.6666666666667</v>
      </c>
      <c r="J15" s="60"/>
      <c r="K15" s="64">
        <f>SUM(I15:J15)</f>
        <v>1666.6666666666667</v>
      </c>
      <c r="M15" s="63">
        <f t="shared" si="2"/>
        <v>3333.3333333333335</v>
      </c>
      <c r="N15" s="63">
        <f t="shared" si="2"/>
        <v>0</v>
      </c>
      <c r="O15" s="63">
        <f>SUM(M15:N15)</f>
        <v>3333.3333333333335</v>
      </c>
    </row>
    <row r="16" spans="1:16" s="59" customFormat="1" ht="48.75" customHeight="1">
      <c r="A16" s="177">
        <v>2.5</v>
      </c>
      <c r="B16" s="56" t="s">
        <v>47</v>
      </c>
      <c r="C16" s="65"/>
      <c r="D16" s="66"/>
      <c r="E16" s="67">
        <f>SUM(C16:D16)</f>
        <v>0</v>
      </c>
      <c r="F16" s="68">
        <v>4000</v>
      </c>
      <c r="G16" s="69"/>
      <c r="H16" s="67">
        <f>SUM(F16:G16)</f>
        <v>4000</v>
      </c>
      <c r="I16" s="68"/>
      <c r="J16" s="58" t="s">
        <v>19</v>
      </c>
      <c r="K16" s="67">
        <f>SUM(I16:J16)</f>
        <v>0</v>
      </c>
      <c r="M16" s="70">
        <f t="shared" si="2"/>
        <v>4000</v>
      </c>
      <c r="N16" s="69">
        <f t="shared" si="2"/>
        <v>0</v>
      </c>
      <c r="O16" s="67">
        <f>SUM(M16:N16)</f>
        <v>4000</v>
      </c>
    </row>
    <row r="17" spans="1:15">
      <c r="A17" s="194"/>
      <c r="B17" s="74" t="s">
        <v>11</v>
      </c>
      <c r="C17" s="108">
        <f t="shared" ref="C17:K17" si="3">SUM(C13:C16)</f>
        <v>6941</v>
      </c>
      <c r="D17" s="109">
        <f t="shared" si="3"/>
        <v>0</v>
      </c>
      <c r="E17" s="102">
        <f t="shared" si="3"/>
        <v>6941</v>
      </c>
      <c r="F17" s="108">
        <f t="shared" si="3"/>
        <v>12607.666666666666</v>
      </c>
      <c r="G17" s="109">
        <f t="shared" si="3"/>
        <v>0</v>
      </c>
      <c r="H17" s="102">
        <f t="shared" si="3"/>
        <v>12607.666666666666</v>
      </c>
      <c r="I17" s="108">
        <f t="shared" si="3"/>
        <v>1666.6666666666667</v>
      </c>
      <c r="J17" s="110">
        <f t="shared" si="3"/>
        <v>0</v>
      </c>
      <c r="K17" s="102">
        <f t="shared" si="3"/>
        <v>1666.6666666666667</v>
      </c>
      <c r="M17" s="109">
        <f>SUM(M13:M16)</f>
        <v>21215.333333333332</v>
      </c>
      <c r="N17" s="109">
        <f>SUM(N13:N16)</f>
        <v>0</v>
      </c>
      <c r="O17" s="102">
        <f>SUM(O13:O16)</f>
        <v>21215.333333333332</v>
      </c>
    </row>
    <row r="18" spans="1:15">
      <c r="A18" s="195">
        <v>3</v>
      </c>
      <c r="B18" s="73" t="s">
        <v>8</v>
      </c>
      <c r="C18" s="104"/>
      <c r="D18" s="105"/>
      <c r="E18" s="106"/>
      <c r="F18" s="104"/>
      <c r="G18" s="105"/>
      <c r="H18" s="106"/>
      <c r="I18" s="104"/>
      <c r="J18" s="107"/>
      <c r="K18" s="106"/>
      <c r="M18" s="105"/>
      <c r="N18" s="105"/>
      <c r="O18" s="106"/>
    </row>
    <row r="19" spans="1:15">
      <c r="A19" s="195">
        <v>3.1</v>
      </c>
      <c r="B19" s="75" t="s">
        <v>20</v>
      </c>
      <c r="C19" s="68">
        <f>((12000/25)*11)/5</f>
        <v>1056</v>
      </c>
      <c r="D19" s="66"/>
      <c r="E19" s="67">
        <f>SUM(C19:D19)</f>
        <v>1056</v>
      </c>
      <c r="F19" s="68">
        <f>((12000/25)*12)/5</f>
        <v>1152</v>
      </c>
      <c r="G19" s="66"/>
      <c r="H19" s="67">
        <f>SUM(F19:G19)</f>
        <v>1152</v>
      </c>
      <c r="I19" s="68">
        <f>((12000/25)*12)/5</f>
        <v>1152</v>
      </c>
      <c r="J19" s="49"/>
      <c r="K19" s="67">
        <f>SUM(I19:J19)</f>
        <v>1152</v>
      </c>
      <c r="M19" s="66">
        <f t="shared" ref="M19:N22" si="4">SUM(C19,F19,I19)</f>
        <v>3360</v>
      </c>
      <c r="N19" s="66">
        <f t="shared" si="4"/>
        <v>0</v>
      </c>
      <c r="O19" s="67">
        <f>SUM(M19:N19)</f>
        <v>3360</v>
      </c>
    </row>
    <row r="20" spans="1:15">
      <c r="A20" s="177">
        <v>3.1</v>
      </c>
      <c r="B20" s="56" t="s">
        <v>6</v>
      </c>
      <c r="C20" s="48">
        <f>(15000/18*11)/6</f>
        <v>1527.7777777777781</v>
      </c>
      <c r="D20" s="49"/>
      <c r="E20" s="50">
        <f>SUM(C20:D20)</f>
        <v>1527.7777777777781</v>
      </c>
      <c r="F20" s="48">
        <f>(15000/18*7)/6</f>
        <v>972.22222222222229</v>
      </c>
      <c r="G20" s="49"/>
      <c r="H20" s="50">
        <f>SUM(F20:G20)</f>
        <v>972.22222222222229</v>
      </c>
      <c r="I20" s="48"/>
      <c r="J20" s="49"/>
      <c r="K20" s="50">
        <f>SUM(I20:J20)</f>
        <v>0</v>
      </c>
      <c r="M20" s="49">
        <f t="shared" si="4"/>
        <v>2500.0000000000005</v>
      </c>
      <c r="N20" s="49">
        <f t="shared" si="4"/>
        <v>0</v>
      </c>
      <c r="O20" s="50">
        <f>SUM(M20:N20)</f>
        <v>2500.0000000000005</v>
      </c>
    </row>
    <row r="21" spans="1:15">
      <c r="A21" s="177">
        <v>3.2</v>
      </c>
      <c r="B21" s="56" t="s">
        <v>58</v>
      </c>
      <c r="C21" s="48">
        <f>1*300</f>
        <v>300</v>
      </c>
      <c r="D21" s="49"/>
      <c r="E21" s="50">
        <f>SUM(C21:D21)</f>
        <v>300</v>
      </c>
      <c r="F21" s="48">
        <f>1*300</f>
        <v>300</v>
      </c>
      <c r="G21" s="49"/>
      <c r="H21" s="50">
        <f>SUM(F21:G21)</f>
        <v>300</v>
      </c>
      <c r="I21" s="48">
        <f>1*300</f>
        <v>300</v>
      </c>
      <c r="J21" s="49"/>
      <c r="K21" s="50">
        <f>SUM(I21:J21)</f>
        <v>300</v>
      </c>
      <c r="M21" s="49">
        <f>SUM(C21,F21,I21)</f>
        <v>900</v>
      </c>
      <c r="N21" s="49">
        <f>SUM(D21,G21,J21)</f>
        <v>0</v>
      </c>
      <c r="O21" s="50">
        <f>SUM(M21:N21)</f>
        <v>900</v>
      </c>
    </row>
    <row r="22" spans="1:15">
      <c r="A22" s="195">
        <v>3.2</v>
      </c>
      <c r="B22" s="75" t="s">
        <v>5</v>
      </c>
      <c r="C22" s="68">
        <f>((12000/25)*12)/5</f>
        <v>1152</v>
      </c>
      <c r="D22" s="66"/>
      <c r="E22" s="67">
        <f>SUM(C22:D22)</f>
        <v>1152</v>
      </c>
      <c r="F22" s="68">
        <f>((12000/25)*12)/5</f>
        <v>1152</v>
      </c>
      <c r="G22" s="66"/>
      <c r="H22" s="67">
        <f>SUM(F22:G22)</f>
        <v>1152</v>
      </c>
      <c r="I22" s="68">
        <f>((12000/25)*12)/5</f>
        <v>1152</v>
      </c>
      <c r="J22" s="49"/>
      <c r="K22" s="67">
        <f>SUM(I22:J22)</f>
        <v>1152</v>
      </c>
      <c r="M22" s="66">
        <f t="shared" si="4"/>
        <v>3456</v>
      </c>
      <c r="N22" s="66">
        <f t="shared" si="4"/>
        <v>0</v>
      </c>
      <c r="O22" s="66">
        <f>SUM(M22:N22)</f>
        <v>3456</v>
      </c>
    </row>
    <row r="23" spans="1:15">
      <c r="A23" s="194"/>
      <c r="B23" s="74" t="s">
        <v>12</v>
      </c>
      <c r="C23" s="108">
        <f t="shared" ref="C23:K23" si="5">SUM(C19:C22)</f>
        <v>4035.7777777777783</v>
      </c>
      <c r="D23" s="109">
        <f t="shared" si="5"/>
        <v>0</v>
      </c>
      <c r="E23" s="102">
        <f t="shared" si="5"/>
        <v>4035.7777777777783</v>
      </c>
      <c r="F23" s="108">
        <f t="shared" si="5"/>
        <v>3576.2222222222222</v>
      </c>
      <c r="G23" s="109">
        <f t="shared" si="5"/>
        <v>0</v>
      </c>
      <c r="H23" s="102">
        <f t="shared" si="5"/>
        <v>3576.2222222222222</v>
      </c>
      <c r="I23" s="108">
        <f t="shared" si="5"/>
        <v>2604</v>
      </c>
      <c r="J23" s="110">
        <f t="shared" si="5"/>
        <v>0</v>
      </c>
      <c r="K23" s="102">
        <f t="shared" si="5"/>
        <v>2604</v>
      </c>
      <c r="M23" s="109">
        <f>SUM(M19:M22)</f>
        <v>10216</v>
      </c>
      <c r="N23" s="109">
        <f>SUM(N19:N22)</f>
        <v>0</v>
      </c>
      <c r="O23" s="102">
        <f>SUM(O19:O22)</f>
        <v>10216</v>
      </c>
    </row>
    <row r="24" spans="1:15">
      <c r="A24" s="195">
        <v>4</v>
      </c>
      <c r="B24" s="289" t="s">
        <v>149</v>
      </c>
      <c r="C24" s="104"/>
      <c r="D24" s="105"/>
      <c r="E24" s="106"/>
      <c r="F24" s="104"/>
      <c r="G24" s="105"/>
      <c r="H24" s="106"/>
      <c r="I24" s="104"/>
      <c r="J24" s="107"/>
      <c r="K24" s="106"/>
      <c r="M24" s="105"/>
      <c r="N24" s="105"/>
      <c r="O24" s="106"/>
    </row>
    <row r="25" spans="1:15" s="45" customFormat="1">
      <c r="A25" s="195"/>
      <c r="B25" s="190"/>
      <c r="C25" s="62"/>
      <c r="D25" s="63"/>
      <c r="E25" s="64"/>
      <c r="F25" s="62"/>
      <c r="G25" s="63"/>
      <c r="H25" s="64"/>
      <c r="I25" s="62"/>
      <c r="J25" s="98"/>
      <c r="K25" s="64"/>
      <c r="L25" s="99"/>
      <c r="M25" s="63"/>
      <c r="N25" s="97"/>
      <c r="O25" s="64"/>
    </row>
    <row r="26" spans="1:15">
      <c r="A26" s="194"/>
      <c r="B26" s="74" t="s">
        <v>13</v>
      </c>
      <c r="C26" s="108">
        <f t="shared" ref="C26:K26" si="6">SUM(C25:C25)</f>
        <v>0</v>
      </c>
      <c r="D26" s="109">
        <f t="shared" si="6"/>
        <v>0</v>
      </c>
      <c r="E26" s="102">
        <f t="shared" si="6"/>
        <v>0</v>
      </c>
      <c r="F26" s="108">
        <f t="shared" si="6"/>
        <v>0</v>
      </c>
      <c r="G26" s="109">
        <f t="shared" si="6"/>
        <v>0</v>
      </c>
      <c r="H26" s="102">
        <f t="shared" si="6"/>
        <v>0</v>
      </c>
      <c r="I26" s="108">
        <f t="shared" si="6"/>
        <v>0</v>
      </c>
      <c r="J26" s="110">
        <f t="shared" si="6"/>
        <v>0</v>
      </c>
      <c r="K26" s="102">
        <f t="shared" si="6"/>
        <v>0</v>
      </c>
      <c r="M26" s="109">
        <f>SUM(M25:M25)</f>
        <v>0</v>
      </c>
      <c r="N26" s="109">
        <f>SUM(N25:N25)</f>
        <v>0</v>
      </c>
      <c r="O26" s="102">
        <f>SUM(O25:O25)</f>
        <v>0</v>
      </c>
    </row>
    <row r="27" spans="1:15" s="5" customFormat="1">
      <c r="A27" s="196"/>
      <c r="B27" s="78"/>
      <c r="C27" s="114"/>
      <c r="D27" s="115"/>
      <c r="E27" s="116"/>
      <c r="F27" s="114"/>
      <c r="G27" s="115"/>
      <c r="H27" s="116"/>
      <c r="I27" s="114"/>
      <c r="J27" s="117"/>
      <c r="K27" s="116"/>
      <c r="L27" s="118"/>
      <c r="M27" s="115"/>
      <c r="N27" s="115"/>
      <c r="O27" s="116"/>
    </row>
    <row r="28" spans="1:15" s="45" customFormat="1">
      <c r="A28" s="195">
        <v>5</v>
      </c>
      <c r="B28" s="56" t="s">
        <v>147</v>
      </c>
      <c r="C28" s="62">
        <f>C39*0.085</f>
        <v>1577.3686111111112</v>
      </c>
      <c r="D28" s="63">
        <f>D39*0.085</f>
        <v>0</v>
      </c>
      <c r="E28" s="64">
        <f>SUM(C28:D28)</f>
        <v>1577.3686111111112</v>
      </c>
      <c r="F28" s="62">
        <f>F39*0.085</f>
        <v>1828.963888888889</v>
      </c>
      <c r="G28" s="63">
        <f>G39*0.085</f>
        <v>0</v>
      </c>
      <c r="H28" s="64">
        <f>SUM(F28:G28)</f>
        <v>1828.963888888889</v>
      </c>
      <c r="I28" s="62">
        <f>I39*0.085</f>
        <v>816.34</v>
      </c>
      <c r="J28" s="63">
        <f>J39*0.085</f>
        <v>0</v>
      </c>
      <c r="K28" s="64">
        <f>SUM(I28:J28)</f>
        <v>816.34</v>
      </c>
      <c r="L28" s="99"/>
      <c r="M28" s="63">
        <f>SUM(C28,F28,I28)</f>
        <v>4222.6725000000006</v>
      </c>
      <c r="N28" s="97">
        <f>SUM(D28,G28,J28)</f>
        <v>0</v>
      </c>
      <c r="O28" s="64">
        <f>SUM(M28:N28)</f>
        <v>4222.6725000000006</v>
      </c>
    </row>
    <row r="29" spans="1:15" s="45" customFormat="1">
      <c r="A29" s="195"/>
      <c r="B29" s="75"/>
      <c r="C29" s="207"/>
      <c r="D29" s="208"/>
      <c r="E29" s="209"/>
      <c r="F29" s="207"/>
      <c r="G29" s="208"/>
      <c r="H29" s="209"/>
      <c r="I29" s="207"/>
      <c r="J29" s="210"/>
      <c r="K29" s="209"/>
      <c r="L29" s="99"/>
      <c r="M29" s="63"/>
      <c r="N29" s="97"/>
      <c r="O29" s="211"/>
    </row>
    <row r="30" spans="1:15" ht="13.5" thickBot="1">
      <c r="A30" s="194"/>
      <c r="B30" s="74" t="s">
        <v>24</v>
      </c>
      <c r="C30" s="119">
        <f t="shared" ref="C30:K30" si="7">SUM(C11,C17,C23,C26,C28)</f>
        <v>20134.64638888889</v>
      </c>
      <c r="D30" s="120">
        <f t="shared" si="7"/>
        <v>0</v>
      </c>
      <c r="E30" s="121">
        <f t="shared" si="7"/>
        <v>20134.64638888889</v>
      </c>
      <c r="F30" s="119">
        <f t="shared" si="7"/>
        <v>23346.18611111111</v>
      </c>
      <c r="G30" s="120">
        <f t="shared" si="7"/>
        <v>0</v>
      </c>
      <c r="H30" s="121">
        <f t="shared" si="7"/>
        <v>23346.18611111111</v>
      </c>
      <c r="I30" s="119">
        <f t="shared" si="7"/>
        <v>10420.34</v>
      </c>
      <c r="J30" s="122">
        <f t="shared" si="7"/>
        <v>0</v>
      </c>
      <c r="K30" s="123">
        <f t="shared" si="7"/>
        <v>10420.34</v>
      </c>
      <c r="M30" s="109">
        <f>SUM(M11,M17,M23,M26,M28)</f>
        <v>53901.172500000001</v>
      </c>
      <c r="N30" s="109">
        <f>SUM(N11,N17,N23,N26,N28)</f>
        <v>0</v>
      </c>
      <c r="O30" s="124">
        <f>SUM(O11,O17,O23,O26,O28)</f>
        <v>53901.172500000001</v>
      </c>
    </row>
    <row r="31" spans="1:15">
      <c r="A31" s="197"/>
      <c r="B31" s="79"/>
      <c r="C31" s="125" t="s">
        <v>26</v>
      </c>
      <c r="D31" s="125" t="s">
        <v>18</v>
      </c>
      <c r="E31" s="126" t="s">
        <v>9</v>
      </c>
      <c r="F31" s="126"/>
      <c r="G31" s="126"/>
      <c r="H31" s="126"/>
      <c r="I31" s="126"/>
      <c r="J31" s="110"/>
      <c r="K31" s="126"/>
      <c r="M31" s="126"/>
      <c r="N31" s="109"/>
      <c r="O31" s="126"/>
    </row>
    <row r="32" spans="1:15">
      <c r="A32" s="197"/>
      <c r="B32" s="80" t="s">
        <v>14</v>
      </c>
      <c r="C32" s="127">
        <f>SUM(+C23+C17+C11+C26+C28)</f>
        <v>20134.64638888889</v>
      </c>
      <c r="D32" s="127">
        <f>SUM(+D23+D17+D11+D26+D28)</f>
        <v>0</v>
      </c>
      <c r="E32" s="127">
        <f>SUM(C32:D32)</f>
        <v>20134.64638888889</v>
      </c>
      <c r="F32" s="127"/>
      <c r="G32" s="127"/>
      <c r="H32" s="127">
        <f>SUM(F32:G32)</f>
        <v>0</v>
      </c>
      <c r="I32" s="127"/>
      <c r="J32" s="128"/>
      <c r="K32" s="127">
        <f>SUM(I32:J32)</f>
        <v>0</v>
      </c>
      <c r="M32" s="127"/>
      <c r="N32" s="127"/>
      <c r="O32" s="127">
        <f>SUM(M32:N32)</f>
        <v>0</v>
      </c>
    </row>
    <row r="33" spans="1:15">
      <c r="A33" s="197"/>
      <c r="B33" s="80" t="s">
        <v>15</v>
      </c>
      <c r="C33" s="127">
        <f>SUM(F26+F23+F17+F11+F28)</f>
        <v>23346.18611111111</v>
      </c>
      <c r="D33" s="127">
        <f>SUM(G26+G23+G17+G11+G28)</f>
        <v>0</v>
      </c>
      <c r="E33" s="127">
        <f>SUM(C33:D33)</f>
        <v>23346.18611111111</v>
      </c>
      <c r="F33" s="129"/>
      <c r="G33" s="129"/>
      <c r="H33" s="127">
        <f>SUM(F33:G33)</f>
        <v>0</v>
      </c>
      <c r="I33" s="129"/>
      <c r="J33" s="130"/>
      <c r="K33" s="127">
        <f>SUM(I33:J33)</f>
        <v>0</v>
      </c>
      <c r="M33" s="129"/>
      <c r="N33" s="129"/>
      <c r="O33" s="127">
        <f>SUM(M33:N33)</f>
        <v>0</v>
      </c>
    </row>
    <row r="34" spans="1:15">
      <c r="A34" s="197"/>
      <c r="B34" s="80" t="s">
        <v>16</v>
      </c>
      <c r="C34" s="127">
        <f>SUM(I26+I23+I17+I11+I28)</f>
        <v>10420.34</v>
      </c>
      <c r="D34" s="127">
        <f>SUM(J26+J23+J17+J11+J28)</f>
        <v>0</v>
      </c>
      <c r="E34" s="127">
        <f>SUM(C34:D34)</f>
        <v>10420.34</v>
      </c>
      <c r="F34" s="129"/>
      <c r="G34" s="129"/>
      <c r="H34" s="127">
        <f>SUM(F34:G34)</f>
        <v>0</v>
      </c>
      <c r="I34" s="129"/>
      <c r="J34" s="130"/>
      <c r="K34" s="127">
        <f>SUM(I34:J34)</f>
        <v>0</v>
      </c>
      <c r="M34" s="129"/>
      <c r="N34" s="129"/>
      <c r="O34" s="127">
        <f>SUM(M34:N34)</f>
        <v>0</v>
      </c>
    </row>
    <row r="35" spans="1:15" s="7" customFormat="1">
      <c r="A35" s="198"/>
      <c r="B35" s="80" t="s">
        <v>17</v>
      </c>
      <c r="C35" s="131">
        <f>SUM(C32:C34)</f>
        <v>53901.172500000001</v>
      </c>
      <c r="D35" s="131">
        <f>SUM(D32:D34)</f>
        <v>0</v>
      </c>
      <c r="E35" s="131">
        <f>SUM(C35:D35)</f>
        <v>53901.172500000001</v>
      </c>
      <c r="F35" s="132"/>
      <c r="G35" s="132"/>
      <c r="H35" s="131">
        <f>SUM(F35:G35)</f>
        <v>0</v>
      </c>
      <c r="I35" s="132"/>
      <c r="J35" s="133"/>
      <c r="K35" s="131">
        <f>SUM(I35:J35)</f>
        <v>0</v>
      </c>
      <c r="L35" s="134"/>
      <c r="M35" s="132"/>
      <c r="N35" s="132"/>
      <c r="O35" s="131">
        <f>SUM(M35:N35)</f>
        <v>0</v>
      </c>
    </row>
    <row r="37" spans="1:15">
      <c r="C37" s="135">
        <f t="shared" ref="C37:K37" si="8">C28/(C26+C23+C17+C11)</f>
        <v>8.5000000000000006E-2</v>
      </c>
      <c r="D37" s="135">
        <v>0</v>
      </c>
      <c r="E37" s="135">
        <f t="shared" si="8"/>
        <v>8.5000000000000006E-2</v>
      </c>
      <c r="F37" s="135">
        <f t="shared" si="8"/>
        <v>8.5000000000000006E-2</v>
      </c>
      <c r="G37" s="135">
        <v>0</v>
      </c>
      <c r="H37" s="135">
        <f t="shared" si="8"/>
        <v>8.5000000000000006E-2</v>
      </c>
      <c r="I37" s="135">
        <f t="shared" si="8"/>
        <v>8.5000000000000006E-2</v>
      </c>
      <c r="J37" s="136">
        <v>0</v>
      </c>
      <c r="K37" s="135">
        <f t="shared" si="8"/>
        <v>8.5000000000000006E-2</v>
      </c>
      <c r="M37" s="135">
        <f>M28/(M26+M23+M17+M11)</f>
        <v>8.5000000000000006E-2</v>
      </c>
      <c r="N37" s="135">
        <v>0</v>
      </c>
      <c r="O37" s="135">
        <f>O28/(O26+O23+O17+O11)</f>
        <v>8.5000000000000006E-2</v>
      </c>
    </row>
    <row r="39" spans="1:15" ht="22.5">
      <c r="B39" s="81" t="s">
        <v>22</v>
      </c>
      <c r="C39" s="137">
        <f t="shared" ref="C39:K39" si="9">SUM(C11,C17,C23,C26)</f>
        <v>18557.277777777777</v>
      </c>
      <c r="D39" s="137">
        <f t="shared" si="9"/>
        <v>0</v>
      </c>
      <c r="E39" s="137">
        <f t="shared" si="9"/>
        <v>18557.277777777777</v>
      </c>
      <c r="F39" s="137">
        <f t="shared" si="9"/>
        <v>21517.222222222223</v>
      </c>
      <c r="G39" s="137">
        <f t="shared" si="9"/>
        <v>0</v>
      </c>
      <c r="H39" s="137">
        <f t="shared" si="9"/>
        <v>21517.222222222223</v>
      </c>
      <c r="I39" s="137">
        <f t="shared" si="9"/>
        <v>9604</v>
      </c>
      <c r="J39" s="137">
        <f t="shared" si="9"/>
        <v>0</v>
      </c>
      <c r="K39" s="137">
        <f t="shared" si="9"/>
        <v>9604</v>
      </c>
      <c r="M39" s="137">
        <f>SUM(M11,M17,M23,M26)</f>
        <v>49678.5</v>
      </c>
      <c r="N39" s="137">
        <f>SUM(N11,N17,N23,N26)</f>
        <v>0</v>
      </c>
      <c r="O39" s="137">
        <f>SUM(O11,O17,O23,O26)</f>
        <v>49678.5</v>
      </c>
    </row>
    <row r="40" spans="1:15" s="6" customFormat="1">
      <c r="A40" s="199"/>
      <c r="B40" s="82"/>
      <c r="C40" s="139"/>
      <c r="D40" s="139"/>
      <c r="E40" s="139"/>
      <c r="F40" s="139"/>
      <c r="G40" s="139"/>
      <c r="H40" s="139"/>
      <c r="I40" s="139"/>
      <c r="J40" s="71"/>
      <c r="K40" s="139"/>
      <c r="L40" s="71"/>
      <c r="M40" s="139"/>
      <c r="N40" s="139"/>
      <c r="O40" s="139"/>
    </row>
    <row r="42" spans="1:15">
      <c r="M42" s="140"/>
    </row>
  </sheetData>
  <mergeCells count="5">
    <mergeCell ref="D1:L1"/>
    <mergeCell ref="M5:O5"/>
    <mergeCell ref="C5:E5"/>
    <mergeCell ref="F5:H5"/>
    <mergeCell ref="I5:K5"/>
  </mergeCells>
  <phoneticPr fontId="0" type="noConversion"/>
  <pageMargins left="0.75" right="0.75" top="1" bottom="1" header="0" footer="0"/>
  <pageSetup paperSize="9" scale="57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2"/>
  <sheetViews>
    <sheetView topLeftCell="A13" workbookViewId="0">
      <selection activeCell="C39" sqref="C39"/>
    </sheetView>
  </sheetViews>
  <sheetFormatPr defaultRowHeight="12.75"/>
  <cols>
    <col min="1" max="1" width="3.85546875" customWidth="1"/>
    <col min="2" max="2" width="32.7109375" style="59" customWidth="1"/>
    <col min="3" max="3" width="8.85546875" style="83" customWidth="1"/>
    <col min="4" max="4" width="10.28515625" style="83" bestFit="1" customWidth="1"/>
    <col min="5" max="5" width="9.5703125" style="83" customWidth="1"/>
    <col min="6" max="6" width="9.140625" style="83"/>
    <col min="7" max="7" width="10" style="83" customWidth="1"/>
    <col min="8" max="8" width="9" style="83" customWidth="1"/>
    <col min="9" max="9" width="9.42578125" style="83" customWidth="1"/>
    <col min="10" max="10" width="7.140625" style="53" customWidth="1"/>
    <col min="11" max="11" width="9.42578125" style="83" customWidth="1"/>
    <col min="12" max="12" width="2.5703125" style="53" customWidth="1"/>
    <col min="13" max="13" width="9.5703125" style="83" customWidth="1"/>
    <col min="14" max="14" width="7.85546875" style="83" customWidth="1"/>
    <col min="15" max="15" width="9.42578125" style="83" customWidth="1"/>
  </cols>
  <sheetData>
    <row r="1" spans="1:16">
      <c r="B1" s="7" t="s">
        <v>153</v>
      </c>
      <c r="C1" s="7" t="s">
        <v>130</v>
      </c>
      <c r="D1" s="300" t="s">
        <v>27</v>
      </c>
      <c r="E1" s="300"/>
      <c r="F1" s="300"/>
      <c r="G1" s="300"/>
      <c r="H1" s="300"/>
      <c r="I1" s="300"/>
      <c r="J1" s="300"/>
      <c r="K1" s="300"/>
      <c r="L1" s="300"/>
      <c r="M1"/>
      <c r="N1"/>
      <c r="O1"/>
    </row>
    <row r="2" spans="1:16">
      <c r="B2" s="292" t="s">
        <v>152</v>
      </c>
      <c r="C2" s="292" t="s">
        <v>154</v>
      </c>
    </row>
    <row r="4" spans="1:16" ht="13.5" thickBot="1"/>
    <row r="5" spans="1:16" s="7" customFormat="1">
      <c r="A5" s="3"/>
      <c r="B5" s="294"/>
      <c r="C5" s="310" t="s">
        <v>28</v>
      </c>
      <c r="D5" s="311"/>
      <c r="E5" s="312"/>
      <c r="F5" s="313" t="s">
        <v>31</v>
      </c>
      <c r="G5" s="314"/>
      <c r="H5" s="315"/>
      <c r="I5" s="316" t="s">
        <v>32</v>
      </c>
      <c r="J5" s="317"/>
      <c r="K5" s="318"/>
      <c r="L5" s="134"/>
      <c r="M5" s="319" t="s">
        <v>23</v>
      </c>
      <c r="N5" s="320"/>
      <c r="O5" s="321"/>
    </row>
    <row r="6" spans="1:16">
      <c r="A6" s="2"/>
      <c r="B6" s="72" t="s">
        <v>0</v>
      </c>
      <c r="C6" s="84" t="s">
        <v>26</v>
      </c>
      <c r="D6" s="85" t="s">
        <v>1</v>
      </c>
      <c r="E6" s="86" t="s">
        <v>9</v>
      </c>
      <c r="F6" s="84" t="s">
        <v>26</v>
      </c>
      <c r="G6" s="85" t="s">
        <v>1</v>
      </c>
      <c r="H6" s="86" t="s">
        <v>9</v>
      </c>
      <c r="I6" s="84" t="s">
        <v>26</v>
      </c>
      <c r="J6" s="87" t="s">
        <v>1</v>
      </c>
      <c r="K6" s="88" t="s">
        <v>9</v>
      </c>
      <c r="M6" s="85" t="s">
        <v>26</v>
      </c>
      <c r="N6" s="85" t="s">
        <v>1</v>
      </c>
      <c r="O6" s="89" t="s">
        <v>9</v>
      </c>
    </row>
    <row r="7" spans="1:16">
      <c r="A7" s="3">
        <v>1</v>
      </c>
      <c r="B7" s="73" t="s">
        <v>144</v>
      </c>
      <c r="C7" s="90"/>
      <c r="D7" s="91"/>
      <c r="E7" s="92"/>
      <c r="F7" s="93"/>
      <c r="G7" s="91"/>
      <c r="H7" s="92"/>
      <c r="I7" s="93"/>
      <c r="J7" s="94"/>
      <c r="K7" s="92"/>
      <c r="M7" s="91"/>
      <c r="N7" s="95"/>
      <c r="O7" s="91"/>
    </row>
    <row r="8" spans="1:16" s="45" customFormat="1" ht="22.5">
      <c r="A8" s="3">
        <v>1.1000000000000001</v>
      </c>
      <c r="B8" s="56" t="s">
        <v>33</v>
      </c>
      <c r="C8" s="96">
        <f>(28443/6)*2</f>
        <v>9481</v>
      </c>
      <c r="D8" s="97"/>
      <c r="E8" s="64">
        <f>SUM(C8:D8)</f>
        <v>9481</v>
      </c>
      <c r="F8" s="62">
        <f>(20000/6)*2</f>
        <v>6666.666666666667</v>
      </c>
      <c r="G8" s="97"/>
      <c r="H8" s="64">
        <f>SUM(F8:G8)</f>
        <v>6666.666666666667</v>
      </c>
      <c r="I8" s="62">
        <f>(20000/6)*2</f>
        <v>6666.666666666667</v>
      </c>
      <c r="J8" s="98"/>
      <c r="K8" s="64">
        <f>SUM(I8:J8)</f>
        <v>6666.666666666667</v>
      </c>
      <c r="L8" s="99"/>
      <c r="M8" s="63">
        <f t="shared" ref="M8:N10" si="0">SUM(C8,F8,I8)</f>
        <v>22814.333333333336</v>
      </c>
      <c r="N8" s="97">
        <f t="shared" si="0"/>
        <v>0</v>
      </c>
      <c r="O8" s="63">
        <f>SUM(M8:N8)</f>
        <v>22814.333333333336</v>
      </c>
      <c r="P8" s="45" t="s">
        <v>34</v>
      </c>
    </row>
    <row r="9" spans="1:16" s="45" customFormat="1" ht="22.5">
      <c r="A9" s="3">
        <v>1.3000000000000003</v>
      </c>
      <c r="B9" s="56" t="s">
        <v>103</v>
      </c>
      <c r="C9" s="96">
        <v>840</v>
      </c>
      <c r="D9" s="97"/>
      <c r="E9" s="64">
        <f>SUM(C9:D9)</f>
        <v>840</v>
      </c>
      <c r="F9" s="62"/>
      <c r="G9" s="97"/>
      <c r="H9" s="64">
        <f>SUM(F9:G9)</f>
        <v>0</v>
      </c>
      <c r="I9" s="62"/>
      <c r="J9" s="98"/>
      <c r="K9" s="64">
        <f>SUM(I9:J9)</f>
        <v>0</v>
      </c>
      <c r="L9" s="63"/>
      <c r="M9" s="63">
        <f t="shared" si="0"/>
        <v>840</v>
      </c>
      <c r="N9" s="97">
        <f t="shared" si="0"/>
        <v>0</v>
      </c>
      <c r="O9" s="63">
        <f>SUM(M9:N9)</f>
        <v>840</v>
      </c>
    </row>
    <row r="10" spans="1:16" s="45" customFormat="1">
      <c r="A10" s="3">
        <v>1.5000000000000004</v>
      </c>
      <c r="B10" s="56" t="s">
        <v>131</v>
      </c>
      <c r="C10" s="96">
        <f>(3000/6)*2+(9000/6)*2</f>
        <v>4000</v>
      </c>
      <c r="D10" s="97"/>
      <c r="E10" s="64">
        <f>(12000/6)*2</f>
        <v>4000</v>
      </c>
      <c r="F10" s="96">
        <f>(3000/6)*2+(9000/6)*2</f>
        <v>4000</v>
      </c>
      <c r="G10" s="97"/>
      <c r="H10" s="64">
        <f>(12000/6)*2</f>
        <v>4000</v>
      </c>
      <c r="I10" s="96">
        <f>(3000/6)*2+(9000/6)*2</f>
        <v>4000</v>
      </c>
      <c r="J10" s="98"/>
      <c r="K10" s="64">
        <f>SUM(I10:J10)</f>
        <v>4000</v>
      </c>
      <c r="L10" s="63"/>
      <c r="M10" s="63">
        <f t="shared" si="0"/>
        <v>12000</v>
      </c>
      <c r="N10" s="97">
        <f t="shared" si="0"/>
        <v>0</v>
      </c>
      <c r="O10" s="63">
        <f>SUM(M10:N10)</f>
        <v>12000</v>
      </c>
    </row>
    <row r="11" spans="1:16">
      <c r="A11" s="2"/>
      <c r="B11" s="74" t="s">
        <v>10</v>
      </c>
      <c r="C11" s="101">
        <f t="shared" ref="C11:K11" si="1">SUM(C7:C10)</f>
        <v>14321</v>
      </c>
      <c r="D11" s="89">
        <f>SUM(D7:D8)</f>
        <v>0</v>
      </c>
      <c r="E11" s="102">
        <f t="shared" si="1"/>
        <v>14321</v>
      </c>
      <c r="F11" s="101">
        <f t="shared" si="1"/>
        <v>10666.666666666668</v>
      </c>
      <c r="G11" s="89">
        <f t="shared" si="1"/>
        <v>0</v>
      </c>
      <c r="H11" s="102">
        <f t="shared" si="1"/>
        <v>10666.666666666668</v>
      </c>
      <c r="I11" s="101">
        <f t="shared" si="1"/>
        <v>10666.666666666668</v>
      </c>
      <c r="J11" s="103">
        <f t="shared" si="1"/>
        <v>0</v>
      </c>
      <c r="K11" s="102">
        <f t="shared" si="1"/>
        <v>10666.666666666668</v>
      </c>
      <c r="M11" s="89">
        <f>SUM(M7:M10)</f>
        <v>35654.333333333336</v>
      </c>
      <c r="N11" s="89">
        <f>SUM(N7:N10)</f>
        <v>0</v>
      </c>
      <c r="O11" s="102">
        <f>SUM(O7:O10)</f>
        <v>35654.333333333336</v>
      </c>
    </row>
    <row r="12" spans="1:16">
      <c r="A12" s="3">
        <v>2</v>
      </c>
      <c r="B12" s="73" t="s">
        <v>21</v>
      </c>
      <c r="C12" s="104"/>
      <c r="D12" s="105"/>
      <c r="E12" s="106"/>
      <c r="F12" s="104"/>
      <c r="G12" s="105"/>
      <c r="H12" s="106"/>
      <c r="I12" s="104"/>
      <c r="J12" s="107"/>
      <c r="K12" s="106"/>
      <c r="M12" s="105"/>
      <c r="N12" s="105"/>
      <c r="O12" s="106"/>
    </row>
    <row r="13" spans="1:16" s="61" customFormat="1">
      <c r="A13" s="55">
        <v>2.1</v>
      </c>
      <c r="B13" s="56" t="s">
        <v>57</v>
      </c>
      <c r="C13" s="62"/>
      <c r="D13" s="63"/>
      <c r="E13" s="64">
        <f>SUM(C13:D13)</f>
        <v>0</v>
      </c>
      <c r="F13" s="62">
        <f>1000*4</f>
        <v>4000</v>
      </c>
      <c r="G13" s="63"/>
      <c r="H13" s="64">
        <f>SUM(F13:G13)</f>
        <v>4000</v>
      </c>
      <c r="I13" s="62">
        <f>1000*4</f>
        <v>4000</v>
      </c>
      <c r="J13" s="60"/>
      <c r="K13" s="64">
        <f>SUM(I13:J13)</f>
        <v>4000</v>
      </c>
      <c r="M13" s="63">
        <f t="shared" ref="M13:N16" si="2">SUM(C13,F13,I13)</f>
        <v>8000</v>
      </c>
      <c r="N13" s="63">
        <f t="shared" si="2"/>
        <v>0</v>
      </c>
      <c r="O13" s="63">
        <f>SUM(M13:N13)</f>
        <v>8000</v>
      </c>
      <c r="P13" s="61" t="s">
        <v>35</v>
      </c>
    </row>
    <row r="14" spans="1:16" s="61" customFormat="1" ht="22.5">
      <c r="A14" s="55">
        <v>2.2000000000000002</v>
      </c>
      <c r="B14" s="56" t="s">
        <v>36</v>
      </c>
      <c r="C14" s="62">
        <f ca="1">'BP Training BiH'!$G$47</f>
        <v>3135</v>
      </c>
      <c r="D14" s="63"/>
      <c r="E14" s="64">
        <f ca="1">SUM(C14:D14)</f>
        <v>3135</v>
      </c>
      <c r="F14" s="62">
        <f ca="1">'BP Training BiH'!$G$47</f>
        <v>3135</v>
      </c>
      <c r="G14" s="63"/>
      <c r="H14" s="64">
        <f>SUM(F14:G14)</f>
        <v>3135</v>
      </c>
      <c r="I14" s="62"/>
      <c r="J14" s="60"/>
      <c r="K14" s="64">
        <f>SUM(I14:J14)</f>
        <v>0</v>
      </c>
      <c r="M14" s="63">
        <f t="shared" si="2"/>
        <v>6270</v>
      </c>
      <c r="N14" s="63">
        <f t="shared" si="2"/>
        <v>0</v>
      </c>
      <c r="O14" s="63">
        <f>SUM(M14:N14)</f>
        <v>6270</v>
      </c>
      <c r="P14" s="61" t="s">
        <v>37</v>
      </c>
    </row>
    <row r="15" spans="1:16" s="61" customFormat="1">
      <c r="A15" s="55">
        <v>2.4</v>
      </c>
      <c r="B15" s="56" t="s">
        <v>7</v>
      </c>
      <c r="C15" s="62"/>
      <c r="D15" s="63"/>
      <c r="E15" s="64">
        <f>SUM(C15:D15)</f>
        <v>0</v>
      </c>
      <c r="F15" s="62">
        <f>(10000/6)*2</f>
        <v>3333.3333333333335</v>
      </c>
      <c r="G15" s="63"/>
      <c r="H15" s="64">
        <f>SUM(F15:G15)</f>
        <v>3333.3333333333335</v>
      </c>
      <c r="I15" s="62">
        <f>(10000/6)*2</f>
        <v>3333.3333333333335</v>
      </c>
      <c r="J15" s="60"/>
      <c r="K15" s="64">
        <f>SUM(I15:J15)</f>
        <v>3333.3333333333335</v>
      </c>
      <c r="M15" s="63">
        <f t="shared" si="2"/>
        <v>6666.666666666667</v>
      </c>
      <c r="N15" s="63">
        <f t="shared" si="2"/>
        <v>0</v>
      </c>
      <c r="O15" s="63">
        <f>SUM(M15:N15)</f>
        <v>6666.666666666667</v>
      </c>
    </row>
    <row r="16" spans="1:16" s="59" customFormat="1" ht="33.75">
      <c r="A16" s="55">
        <v>2.5</v>
      </c>
      <c r="B16" s="56" t="s">
        <v>48</v>
      </c>
      <c r="C16" s="65"/>
      <c r="D16" s="66"/>
      <c r="E16" s="67">
        <f>SUM(C16:D16)</f>
        <v>0</v>
      </c>
      <c r="F16" s="68">
        <v>6000</v>
      </c>
      <c r="G16" s="69"/>
      <c r="H16" s="67">
        <f>SUM(F16:G16)</f>
        <v>6000</v>
      </c>
      <c r="I16" s="68"/>
      <c r="J16" s="58"/>
      <c r="K16" s="67">
        <f>SUM(I16:J16)</f>
        <v>0</v>
      </c>
      <c r="M16" s="70">
        <f t="shared" si="2"/>
        <v>6000</v>
      </c>
      <c r="N16" s="69">
        <f t="shared" si="2"/>
        <v>0</v>
      </c>
      <c r="O16" s="67">
        <f>SUM(M16:N16)</f>
        <v>6000</v>
      </c>
    </row>
    <row r="17" spans="1:15">
      <c r="A17" s="2"/>
      <c r="B17" s="74" t="s">
        <v>11</v>
      </c>
      <c r="C17" s="108">
        <f t="shared" ref="C17:K17" si="3">SUM(C13:C16)</f>
        <v>3135</v>
      </c>
      <c r="D17" s="109">
        <f t="shared" si="3"/>
        <v>0</v>
      </c>
      <c r="E17" s="102">
        <f t="shared" si="3"/>
        <v>3135</v>
      </c>
      <c r="F17" s="108">
        <f t="shared" si="3"/>
        <v>16468.333333333336</v>
      </c>
      <c r="G17" s="109">
        <f t="shared" si="3"/>
        <v>0</v>
      </c>
      <c r="H17" s="102">
        <f t="shared" si="3"/>
        <v>16468.333333333336</v>
      </c>
      <c r="I17" s="108">
        <f t="shared" si="3"/>
        <v>7333.3333333333339</v>
      </c>
      <c r="J17" s="110">
        <f t="shared" si="3"/>
        <v>0</v>
      </c>
      <c r="K17" s="102">
        <f t="shared" si="3"/>
        <v>7333.3333333333339</v>
      </c>
      <c r="M17" s="109">
        <f>SUM(M13:M16)</f>
        <v>26936.666666666668</v>
      </c>
      <c r="N17" s="109">
        <f>SUM(N13:N16)</f>
        <v>0</v>
      </c>
      <c r="O17" s="102">
        <f>SUM(O13:O16)</f>
        <v>26936.666666666668</v>
      </c>
    </row>
    <row r="18" spans="1:15">
      <c r="A18" s="3">
        <v>3</v>
      </c>
      <c r="B18" s="73" t="s">
        <v>8</v>
      </c>
      <c r="C18" s="104"/>
      <c r="D18" s="105"/>
      <c r="E18" s="106"/>
      <c r="F18" s="104"/>
      <c r="G18" s="105"/>
      <c r="H18" s="106"/>
      <c r="I18" s="104">
        <f>SUM(I15:I17)</f>
        <v>10666.666666666668</v>
      </c>
      <c r="J18" s="107">
        <f>SUM(J15:J17)</f>
        <v>0</v>
      </c>
      <c r="K18" s="106"/>
      <c r="M18" s="105">
        <f t="shared" ref="M18:N22" si="4">SUM(C18,F18,I18)</f>
        <v>10666.666666666668</v>
      </c>
      <c r="N18" s="105">
        <f t="shared" si="4"/>
        <v>0</v>
      </c>
      <c r="O18" s="106"/>
    </row>
    <row r="19" spans="1:15">
      <c r="A19" s="3">
        <v>3.1</v>
      </c>
      <c r="B19" s="75" t="s">
        <v>20</v>
      </c>
      <c r="C19" s="68">
        <f>((12000/25)*11)/5</f>
        <v>1056</v>
      </c>
      <c r="D19" s="66"/>
      <c r="E19" s="67">
        <f>SUM(C19:D19)</f>
        <v>1056</v>
      </c>
      <c r="F19" s="68">
        <f>((12000/25)*12)/5</f>
        <v>1152</v>
      </c>
      <c r="G19" s="66"/>
      <c r="H19" s="67">
        <f>SUM(F19:G19)</f>
        <v>1152</v>
      </c>
      <c r="I19" s="68">
        <f>((12000/25)*12)/5</f>
        <v>1152</v>
      </c>
      <c r="J19" s="49"/>
      <c r="K19" s="67">
        <f>SUM(I19:J19)</f>
        <v>1152</v>
      </c>
      <c r="M19" s="66">
        <f t="shared" si="4"/>
        <v>3360</v>
      </c>
      <c r="N19" s="66">
        <f t="shared" si="4"/>
        <v>0</v>
      </c>
      <c r="O19" s="67">
        <f>SUM(M19:N19)</f>
        <v>3360</v>
      </c>
    </row>
    <row r="20" spans="1:15">
      <c r="A20" s="47">
        <v>3.1</v>
      </c>
      <c r="B20" s="56" t="s">
        <v>6</v>
      </c>
      <c r="C20" s="48">
        <f>((15000/18*11)/6)*2</f>
        <v>3055.5555555555561</v>
      </c>
      <c r="D20" s="49"/>
      <c r="E20" s="50">
        <f>SUM(C20:D20)</f>
        <v>3055.5555555555561</v>
      </c>
      <c r="F20" s="48">
        <f>((15000/18*7)/6)*2</f>
        <v>1944.4444444444446</v>
      </c>
      <c r="G20" s="49"/>
      <c r="H20" s="50">
        <f>SUM(F20:G20)</f>
        <v>1944.4444444444446</v>
      </c>
      <c r="I20" s="48"/>
      <c r="J20" s="49"/>
      <c r="K20" s="50">
        <f>SUM(I20:J20)</f>
        <v>0</v>
      </c>
      <c r="M20" s="49">
        <f t="shared" si="4"/>
        <v>5000.0000000000009</v>
      </c>
      <c r="N20" s="49">
        <f t="shared" si="4"/>
        <v>0</v>
      </c>
      <c r="O20" s="50">
        <f>SUM(M20:N20)</f>
        <v>5000.0000000000009</v>
      </c>
    </row>
    <row r="21" spans="1:15">
      <c r="A21" s="47">
        <v>3.2</v>
      </c>
      <c r="B21" s="56" t="s">
        <v>58</v>
      </c>
      <c r="C21" s="48">
        <f>2*500</f>
        <v>1000</v>
      </c>
      <c r="D21" s="49"/>
      <c r="E21" s="50">
        <f>SUM(C21:D21)</f>
        <v>1000</v>
      </c>
      <c r="F21" s="48">
        <f>2*500</f>
        <v>1000</v>
      </c>
      <c r="G21" s="49"/>
      <c r="H21" s="50">
        <f>SUM(F21:G21)</f>
        <v>1000</v>
      </c>
      <c r="I21" s="48">
        <f>2*500</f>
        <v>1000</v>
      </c>
      <c r="J21" s="49"/>
      <c r="K21" s="50">
        <f>SUM(I21:J21)</f>
        <v>1000</v>
      </c>
      <c r="M21" s="49">
        <f>SUM(C21,F21,I21)</f>
        <v>3000</v>
      </c>
      <c r="N21" s="49">
        <f>SUM(D21,G21,J21)</f>
        <v>0</v>
      </c>
      <c r="O21" s="50">
        <f>SUM(M21:N21)</f>
        <v>3000</v>
      </c>
    </row>
    <row r="22" spans="1:15">
      <c r="A22" s="3">
        <v>3.2</v>
      </c>
      <c r="B22" s="75" t="s">
        <v>5</v>
      </c>
      <c r="C22" s="68">
        <f>((12000/25)*12)/5</f>
        <v>1152</v>
      </c>
      <c r="D22" s="66"/>
      <c r="E22" s="67">
        <f>SUM(C22:D22)</f>
        <v>1152</v>
      </c>
      <c r="F22" s="68">
        <f>((12000/25)*12)/5</f>
        <v>1152</v>
      </c>
      <c r="G22" s="66"/>
      <c r="H22" s="67">
        <f>SUM(F22:G22)</f>
        <v>1152</v>
      </c>
      <c r="I22" s="68">
        <f>((12000/25)*12)/5</f>
        <v>1152</v>
      </c>
      <c r="J22" s="49"/>
      <c r="K22" s="67">
        <f>SUM(I22:J22)</f>
        <v>1152</v>
      </c>
      <c r="M22" s="66">
        <f t="shared" si="4"/>
        <v>3456</v>
      </c>
      <c r="N22" s="66">
        <f t="shared" si="4"/>
        <v>0</v>
      </c>
      <c r="O22" s="66">
        <f>SUM(M22:N22)</f>
        <v>3456</v>
      </c>
    </row>
    <row r="23" spans="1:15">
      <c r="A23" s="2"/>
      <c r="B23" s="74" t="s">
        <v>12</v>
      </c>
      <c r="C23" s="108">
        <f t="shared" ref="C23:K23" si="5">SUM(C19:C22)</f>
        <v>6263.5555555555566</v>
      </c>
      <c r="D23" s="109">
        <f t="shared" si="5"/>
        <v>0</v>
      </c>
      <c r="E23" s="102">
        <f t="shared" si="5"/>
        <v>6263.5555555555566</v>
      </c>
      <c r="F23" s="108">
        <f t="shared" si="5"/>
        <v>5248.4444444444443</v>
      </c>
      <c r="G23" s="109">
        <f t="shared" si="5"/>
        <v>0</v>
      </c>
      <c r="H23" s="102">
        <f t="shared" si="5"/>
        <v>5248.4444444444443</v>
      </c>
      <c r="I23" s="108">
        <f t="shared" si="5"/>
        <v>3304</v>
      </c>
      <c r="J23" s="110">
        <f t="shared" si="5"/>
        <v>0</v>
      </c>
      <c r="K23" s="102">
        <f t="shared" si="5"/>
        <v>3304</v>
      </c>
      <c r="M23" s="109">
        <f>SUM(M19:M22)</f>
        <v>14816</v>
      </c>
      <c r="N23" s="109">
        <f>SUM(N19:N22)</f>
        <v>0</v>
      </c>
      <c r="O23" s="102">
        <f>SUM(O19:O22)</f>
        <v>14816</v>
      </c>
    </row>
    <row r="24" spans="1:15">
      <c r="A24" s="3">
        <v>4</v>
      </c>
      <c r="B24" s="289" t="s">
        <v>149</v>
      </c>
      <c r="C24" s="104"/>
      <c r="D24" s="105"/>
      <c r="E24" s="106"/>
      <c r="F24" s="104"/>
      <c r="G24" s="105"/>
      <c r="H24" s="106"/>
      <c r="I24" s="104"/>
      <c r="J24" s="107"/>
      <c r="K24" s="106"/>
      <c r="M24" s="105"/>
      <c r="N24" s="105"/>
      <c r="O24" s="106"/>
    </row>
    <row r="25" spans="1:15" s="45" customFormat="1">
      <c r="A25" s="3"/>
      <c r="B25" s="190"/>
      <c r="C25" s="62"/>
      <c r="D25" s="63"/>
      <c r="E25" s="64"/>
      <c r="F25" s="62"/>
      <c r="G25" s="63"/>
      <c r="H25" s="64"/>
      <c r="I25" s="62"/>
      <c r="J25" s="98"/>
      <c r="K25" s="64"/>
      <c r="L25" s="99"/>
      <c r="M25" s="63"/>
      <c r="N25" s="97"/>
      <c r="O25" s="64"/>
    </row>
    <row r="26" spans="1:15">
      <c r="A26" s="2"/>
      <c r="B26" s="74" t="s">
        <v>13</v>
      </c>
      <c r="C26" s="108">
        <f t="shared" ref="C26:K26" si="6">SUM(C25:C25)</f>
        <v>0</v>
      </c>
      <c r="D26" s="109">
        <f t="shared" si="6"/>
        <v>0</v>
      </c>
      <c r="E26" s="102">
        <f t="shared" si="6"/>
        <v>0</v>
      </c>
      <c r="F26" s="108">
        <f t="shared" si="6"/>
        <v>0</v>
      </c>
      <c r="G26" s="109">
        <f t="shared" si="6"/>
        <v>0</v>
      </c>
      <c r="H26" s="102">
        <f t="shared" si="6"/>
        <v>0</v>
      </c>
      <c r="I26" s="108">
        <f t="shared" si="6"/>
        <v>0</v>
      </c>
      <c r="J26" s="110">
        <f t="shared" si="6"/>
        <v>0</v>
      </c>
      <c r="K26" s="102">
        <f t="shared" si="6"/>
        <v>0</v>
      </c>
      <c r="M26" s="109">
        <f>SUM(M25:M25)</f>
        <v>0</v>
      </c>
      <c r="N26" s="109">
        <f>SUM(N25:N25)</f>
        <v>0</v>
      </c>
      <c r="O26" s="102">
        <f>SUM(O25:O25)</f>
        <v>0</v>
      </c>
    </row>
    <row r="27" spans="1:15" s="5" customFormat="1">
      <c r="A27" s="4"/>
      <c r="B27" s="78"/>
      <c r="C27" s="114"/>
      <c r="D27" s="115"/>
      <c r="E27" s="116"/>
      <c r="F27" s="114"/>
      <c r="G27" s="115"/>
      <c r="H27" s="116"/>
      <c r="I27" s="114"/>
      <c r="J27" s="117"/>
      <c r="K27" s="116"/>
      <c r="L27" s="118"/>
      <c r="M27" s="115"/>
      <c r="N27" s="115"/>
      <c r="O27" s="116"/>
    </row>
    <row r="28" spans="1:15" s="45" customFormat="1">
      <c r="A28" s="3">
        <v>5</v>
      </c>
      <c r="B28" s="56" t="s">
        <v>147</v>
      </c>
      <c r="C28" s="62">
        <f>C39*0.085</f>
        <v>2016.1622222222222</v>
      </c>
      <c r="D28" s="63">
        <f>D42*0.085</f>
        <v>0</v>
      </c>
      <c r="E28" s="64">
        <f>SUM(C28:D28)</f>
        <v>2016.1622222222222</v>
      </c>
      <c r="F28" s="62">
        <f>F39*0.085</f>
        <v>2752.5927777777783</v>
      </c>
      <c r="G28" s="63">
        <f>G42*0.085</f>
        <v>0</v>
      </c>
      <c r="H28" s="64">
        <f>SUM(F28:G28)</f>
        <v>2752.5927777777783</v>
      </c>
      <c r="I28" s="62">
        <f>I39*0.085</f>
        <v>1810.8400000000001</v>
      </c>
      <c r="J28" s="63">
        <f>J42*0.085</f>
        <v>0</v>
      </c>
      <c r="K28" s="64">
        <f>SUM(I28:J28)</f>
        <v>1810.8400000000001</v>
      </c>
      <c r="L28" s="99"/>
      <c r="M28" s="63">
        <f>SUM(C28,F28,I28)</f>
        <v>6579.5950000000012</v>
      </c>
      <c r="N28" s="97">
        <f>SUM(D28,G28,J28)</f>
        <v>0</v>
      </c>
      <c r="O28" s="64">
        <f>SUM(M28:N28)</f>
        <v>6579.5950000000012</v>
      </c>
    </row>
    <row r="29" spans="1:15" s="45" customFormat="1">
      <c r="A29" s="3"/>
      <c r="B29" s="75"/>
      <c r="C29" s="207"/>
      <c r="D29" s="208"/>
      <c r="E29" s="209"/>
      <c r="F29" s="207"/>
      <c r="G29" s="208"/>
      <c r="H29" s="209"/>
      <c r="I29" s="207"/>
      <c r="J29" s="210"/>
      <c r="K29" s="209"/>
      <c r="L29" s="99"/>
      <c r="M29" s="63"/>
      <c r="N29" s="97"/>
      <c r="O29" s="211"/>
    </row>
    <row r="30" spans="1:15" ht="13.5" thickBot="1">
      <c r="A30" s="2"/>
      <c r="B30" s="74" t="s">
        <v>24</v>
      </c>
      <c r="C30" s="119">
        <f t="shared" ref="C30:K30" si="7">SUM(C11,C17,C23,C26,C28)</f>
        <v>25735.717777777776</v>
      </c>
      <c r="D30" s="120">
        <f t="shared" si="7"/>
        <v>0</v>
      </c>
      <c r="E30" s="121">
        <f t="shared" si="7"/>
        <v>25735.717777777776</v>
      </c>
      <c r="F30" s="119">
        <f t="shared" si="7"/>
        <v>35136.037222222229</v>
      </c>
      <c r="G30" s="120">
        <f t="shared" si="7"/>
        <v>0</v>
      </c>
      <c r="H30" s="121">
        <f t="shared" si="7"/>
        <v>35136.037222222229</v>
      </c>
      <c r="I30" s="119">
        <f t="shared" si="7"/>
        <v>23114.84</v>
      </c>
      <c r="J30" s="122">
        <f t="shared" si="7"/>
        <v>0</v>
      </c>
      <c r="K30" s="123">
        <f t="shared" si="7"/>
        <v>23114.84</v>
      </c>
      <c r="M30" s="109">
        <f>SUM(M11,M17,M23,M26,M28)</f>
        <v>83986.595000000001</v>
      </c>
      <c r="N30" s="109">
        <f>SUM(N11,N17,N23,N26,N28)</f>
        <v>0</v>
      </c>
      <c r="O30" s="124">
        <f>SUM(O11,O17,O23,O26,O28)</f>
        <v>83986.595000000001</v>
      </c>
    </row>
    <row r="31" spans="1:15">
      <c r="A31" s="1"/>
      <c r="B31" s="79"/>
      <c r="C31" s="125" t="s">
        <v>26</v>
      </c>
      <c r="D31" s="125" t="s">
        <v>18</v>
      </c>
      <c r="E31" s="126" t="s">
        <v>9</v>
      </c>
      <c r="F31" s="126"/>
      <c r="G31" s="126"/>
      <c r="H31" s="126"/>
      <c r="I31" s="126"/>
      <c r="J31" s="110"/>
      <c r="K31" s="126"/>
      <c r="M31" s="126"/>
      <c r="N31" s="109"/>
      <c r="O31" s="126"/>
    </row>
    <row r="32" spans="1:15">
      <c r="A32" s="1"/>
      <c r="B32" s="80" t="s">
        <v>14</v>
      </c>
      <c r="C32" s="127">
        <f>SUM(+C23+C17+C11+C26+C28)</f>
        <v>25735.717777777776</v>
      </c>
      <c r="D32" s="127">
        <f>SUM(+D23+D17+D11+D26+D28)</f>
        <v>0</v>
      </c>
      <c r="E32" s="127">
        <f>SUM(C32:D32)</f>
        <v>25735.717777777776</v>
      </c>
      <c r="F32" s="127"/>
      <c r="G32" s="127"/>
      <c r="H32" s="127">
        <f>SUM(F32:G32)</f>
        <v>0</v>
      </c>
      <c r="I32" s="127"/>
      <c r="J32" s="128"/>
      <c r="K32" s="127">
        <f>SUM(I32:J32)</f>
        <v>0</v>
      </c>
      <c r="M32" s="127"/>
      <c r="N32" s="127"/>
      <c r="O32" s="127">
        <f>SUM(M32:N32)</f>
        <v>0</v>
      </c>
    </row>
    <row r="33" spans="1:15">
      <c r="A33" s="1"/>
      <c r="B33" s="80" t="s">
        <v>15</v>
      </c>
      <c r="C33" s="127">
        <f>SUM(F26+F23+F17+F11+F28)</f>
        <v>35136.037222222229</v>
      </c>
      <c r="D33" s="127">
        <f>SUM(G26+G23+G17+G11+G28)</f>
        <v>0</v>
      </c>
      <c r="E33" s="127">
        <f>SUM(C33:D33)</f>
        <v>35136.037222222229</v>
      </c>
      <c r="F33" s="129"/>
      <c r="G33" s="129"/>
      <c r="H33" s="127">
        <f>SUM(F33:G33)</f>
        <v>0</v>
      </c>
      <c r="I33" s="129"/>
      <c r="J33" s="130"/>
      <c r="K33" s="127">
        <f>SUM(I33:J33)</f>
        <v>0</v>
      </c>
      <c r="M33" s="129"/>
      <c r="N33" s="129"/>
      <c r="O33" s="127">
        <f>SUM(M33:N33)</f>
        <v>0</v>
      </c>
    </row>
    <row r="34" spans="1:15">
      <c r="A34" s="1"/>
      <c r="B34" s="80" t="s">
        <v>16</v>
      </c>
      <c r="C34" s="127">
        <f>SUM(I26+I23+I17+I11+I28)</f>
        <v>23114.84</v>
      </c>
      <c r="D34" s="127">
        <f>SUM(J26+J23+J17+J11+J28)</f>
        <v>0</v>
      </c>
      <c r="E34" s="127">
        <f>SUM(C34:D34)</f>
        <v>23114.84</v>
      </c>
      <c r="F34" s="129"/>
      <c r="G34" s="129"/>
      <c r="H34" s="127">
        <f>SUM(F34:G34)</f>
        <v>0</v>
      </c>
      <c r="I34" s="129"/>
      <c r="J34" s="130"/>
      <c r="K34" s="127">
        <f>SUM(I34:J34)</f>
        <v>0</v>
      </c>
      <c r="M34" s="129"/>
      <c r="N34" s="129"/>
      <c r="O34" s="127">
        <f>SUM(M34:N34)</f>
        <v>0</v>
      </c>
    </row>
    <row r="35" spans="1:15" s="7" customFormat="1">
      <c r="A35" s="37"/>
      <c r="B35" s="80" t="s">
        <v>17</v>
      </c>
      <c r="C35" s="131">
        <f>SUM(C32:C34)</f>
        <v>83986.595000000001</v>
      </c>
      <c r="D35" s="131">
        <f>SUM(D32:D34)</f>
        <v>0</v>
      </c>
      <c r="E35" s="131">
        <f>SUM(C35:D35)</f>
        <v>83986.595000000001</v>
      </c>
      <c r="F35" s="132"/>
      <c r="G35" s="132"/>
      <c r="H35" s="131">
        <f>SUM(F35:G35)</f>
        <v>0</v>
      </c>
      <c r="I35" s="132"/>
      <c r="J35" s="133"/>
      <c r="K35" s="131">
        <f>SUM(I35:J35)</f>
        <v>0</v>
      </c>
      <c r="L35" s="134"/>
      <c r="M35" s="132"/>
      <c r="N35" s="132"/>
      <c r="O35" s="131">
        <f>SUM(M35:N35)</f>
        <v>0</v>
      </c>
    </row>
    <row r="37" spans="1:15">
      <c r="C37" s="135">
        <f t="shared" ref="C37:K37" si="8">C28/(C26+C23+C17+C11)</f>
        <v>8.5000000000000006E-2</v>
      </c>
      <c r="D37" s="135">
        <v>0</v>
      </c>
      <c r="E37" s="135">
        <f t="shared" si="8"/>
        <v>8.5000000000000006E-2</v>
      </c>
      <c r="F37" s="135">
        <f t="shared" si="8"/>
        <v>8.5000000000000006E-2</v>
      </c>
      <c r="G37" s="135">
        <v>0</v>
      </c>
      <c r="H37" s="135">
        <f t="shared" si="8"/>
        <v>8.5000000000000006E-2</v>
      </c>
      <c r="I37" s="135">
        <f t="shared" si="8"/>
        <v>8.5000000000000006E-2</v>
      </c>
      <c r="J37" s="135">
        <v>0</v>
      </c>
      <c r="K37" s="135">
        <f t="shared" si="8"/>
        <v>8.5000000000000006E-2</v>
      </c>
      <c r="M37" s="135">
        <f>M28/(M26+M23+M17+M11)</f>
        <v>8.500000000000002E-2</v>
      </c>
      <c r="N37" s="135">
        <v>0</v>
      </c>
      <c r="O37" s="135">
        <f>O28/(O26+O23+O17+O11)</f>
        <v>8.500000000000002E-2</v>
      </c>
    </row>
    <row r="39" spans="1:15" ht="22.5">
      <c r="B39" s="81" t="s">
        <v>22</v>
      </c>
      <c r="C39" s="137">
        <f t="shared" ref="C39:K39" si="9">SUM(C11,C17,C23,C26)</f>
        <v>23719.555555555555</v>
      </c>
      <c r="D39" s="137">
        <f>D49*0.075</f>
        <v>0</v>
      </c>
      <c r="E39" s="137">
        <f t="shared" si="9"/>
        <v>23719.555555555555</v>
      </c>
      <c r="F39" s="137">
        <f t="shared" si="9"/>
        <v>32383.444444444449</v>
      </c>
      <c r="G39" s="137">
        <f t="shared" si="9"/>
        <v>0</v>
      </c>
      <c r="H39" s="137">
        <f t="shared" si="9"/>
        <v>32383.444444444449</v>
      </c>
      <c r="I39" s="137">
        <f t="shared" si="9"/>
        <v>21304</v>
      </c>
      <c r="J39" s="137">
        <f t="shared" si="9"/>
        <v>0</v>
      </c>
      <c r="K39" s="137">
        <f t="shared" si="9"/>
        <v>21304</v>
      </c>
      <c r="M39" s="137">
        <f>SUM(M11,M17,M23,M26)</f>
        <v>77407</v>
      </c>
      <c r="N39" s="137">
        <f>SUM(N11,N17,N23,N26)</f>
        <v>0</v>
      </c>
      <c r="O39" s="137">
        <f>SUM(O11,O17,O23,O26)</f>
        <v>77407</v>
      </c>
    </row>
    <row r="40" spans="1:15" s="6" customFormat="1">
      <c r="B40" s="82"/>
      <c r="C40" s="139"/>
      <c r="D40" s="139"/>
      <c r="E40" s="139"/>
      <c r="F40" s="139"/>
      <c r="G40" s="139"/>
      <c r="H40" s="139"/>
      <c r="I40" s="139"/>
      <c r="J40" s="71"/>
      <c r="K40" s="139"/>
      <c r="L40" s="71"/>
      <c r="M40" s="139"/>
      <c r="N40" s="139"/>
      <c r="O40" s="139"/>
    </row>
    <row r="42" spans="1:15">
      <c r="M42" s="140"/>
    </row>
  </sheetData>
  <mergeCells count="5">
    <mergeCell ref="D1:L1"/>
    <mergeCell ref="M5:O5"/>
    <mergeCell ref="C5:E5"/>
    <mergeCell ref="F5:H5"/>
    <mergeCell ref="I5:K5"/>
  </mergeCells>
  <phoneticPr fontId="3" type="noConversion"/>
  <pageMargins left="0.75" right="0.75" top="1" bottom="1" header="0" footer="0"/>
  <pageSetup paperSize="9" scale="57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2"/>
  <sheetViews>
    <sheetView topLeftCell="B13" workbookViewId="0">
      <selection activeCell="F39" sqref="F39"/>
    </sheetView>
  </sheetViews>
  <sheetFormatPr defaultRowHeight="12.75"/>
  <cols>
    <col min="1" max="1" width="3.85546875" customWidth="1"/>
    <col min="2" max="2" width="32.7109375" style="59" customWidth="1"/>
    <col min="3" max="3" width="8.85546875" style="83" customWidth="1"/>
    <col min="4" max="4" width="8" style="83" customWidth="1"/>
    <col min="5" max="5" width="9.5703125" style="83" customWidth="1"/>
    <col min="6" max="6" width="9.140625" style="83"/>
    <col min="7" max="7" width="10" style="83" customWidth="1"/>
    <col min="8" max="8" width="9" style="83" customWidth="1"/>
    <col min="9" max="9" width="9.42578125" style="83" customWidth="1"/>
    <col min="10" max="10" width="7.140625" style="53" customWidth="1"/>
    <col min="11" max="11" width="9.42578125" style="83" customWidth="1"/>
    <col min="12" max="12" width="2.5703125" style="53" customWidth="1"/>
    <col min="13" max="13" width="9.5703125" style="83" customWidth="1"/>
    <col min="14" max="14" width="7.85546875" style="83" customWidth="1"/>
    <col min="15" max="15" width="9.42578125" style="83" customWidth="1"/>
  </cols>
  <sheetData>
    <row r="1" spans="1:16">
      <c r="B1" s="7" t="s">
        <v>153</v>
      </c>
      <c r="C1" s="7" t="s">
        <v>130</v>
      </c>
      <c r="D1" s="300" t="s">
        <v>27</v>
      </c>
      <c r="E1" s="300"/>
      <c r="F1" s="300"/>
      <c r="G1" s="300"/>
      <c r="H1" s="300"/>
      <c r="I1" s="300"/>
      <c r="J1" s="300"/>
      <c r="K1" s="300"/>
      <c r="L1" s="300"/>
      <c r="M1"/>
      <c r="N1"/>
      <c r="O1"/>
    </row>
    <row r="2" spans="1:16">
      <c r="B2" s="292" t="s">
        <v>152</v>
      </c>
      <c r="C2" s="292" t="s">
        <v>43</v>
      </c>
    </row>
    <row r="4" spans="1:16" ht="13.5" thickBot="1"/>
    <row r="5" spans="1:16" s="186" customFormat="1">
      <c r="A5" s="295"/>
      <c r="B5" s="296"/>
      <c r="C5" s="310" t="s">
        <v>28</v>
      </c>
      <c r="D5" s="311"/>
      <c r="E5" s="312"/>
      <c r="F5" s="313" t="s">
        <v>31</v>
      </c>
      <c r="G5" s="314"/>
      <c r="H5" s="315"/>
      <c r="I5" s="316" t="s">
        <v>32</v>
      </c>
      <c r="J5" s="317"/>
      <c r="K5" s="318"/>
      <c r="L5" s="184"/>
      <c r="M5" s="307" t="s">
        <v>23</v>
      </c>
      <c r="N5" s="308"/>
      <c r="O5" s="309"/>
    </row>
    <row r="6" spans="1:16">
      <c r="A6" s="2"/>
      <c r="B6" s="72" t="s">
        <v>0</v>
      </c>
      <c r="C6" s="84" t="s">
        <v>26</v>
      </c>
      <c r="D6" s="85" t="s">
        <v>1</v>
      </c>
      <c r="E6" s="86" t="s">
        <v>9</v>
      </c>
      <c r="F6" s="84" t="s">
        <v>26</v>
      </c>
      <c r="G6" s="85" t="s">
        <v>1</v>
      </c>
      <c r="H6" s="86" t="s">
        <v>9</v>
      </c>
      <c r="I6" s="84" t="s">
        <v>26</v>
      </c>
      <c r="J6" s="87" t="s">
        <v>1</v>
      </c>
      <c r="K6" s="88" t="s">
        <v>9</v>
      </c>
      <c r="M6" s="85" t="s">
        <v>26</v>
      </c>
      <c r="N6" s="85" t="s">
        <v>1</v>
      </c>
      <c r="O6" s="89" t="s">
        <v>9</v>
      </c>
    </row>
    <row r="7" spans="1:16">
      <c r="A7" s="3">
        <v>1</v>
      </c>
      <c r="B7" s="73" t="s">
        <v>144</v>
      </c>
      <c r="C7" s="90"/>
      <c r="D7" s="91"/>
      <c r="E7" s="92"/>
      <c r="F7" s="93"/>
      <c r="G7" s="91"/>
      <c r="H7" s="92"/>
      <c r="I7" s="93"/>
      <c r="J7" s="94"/>
      <c r="K7" s="92"/>
      <c r="M7" s="91"/>
      <c r="N7" s="95"/>
      <c r="O7" s="91"/>
    </row>
    <row r="8" spans="1:16" s="45" customFormat="1" ht="22.5">
      <c r="A8" s="3">
        <v>1.1000000000000001</v>
      </c>
      <c r="B8" s="56" t="s">
        <v>33</v>
      </c>
      <c r="C8" s="96">
        <f>(28443/6)*1</f>
        <v>4740.5</v>
      </c>
      <c r="D8" s="97"/>
      <c r="E8" s="64">
        <f>SUM(C8:D8)</f>
        <v>4740.5</v>
      </c>
      <c r="F8" s="62">
        <f>(20000/6)*1</f>
        <v>3333.3333333333335</v>
      </c>
      <c r="G8" s="97"/>
      <c r="H8" s="64">
        <f>SUM(F8:G8)</f>
        <v>3333.3333333333335</v>
      </c>
      <c r="I8" s="62">
        <f>(20000/6)*1</f>
        <v>3333.3333333333335</v>
      </c>
      <c r="J8" s="98"/>
      <c r="K8" s="64">
        <f>SUM(I8:J8)</f>
        <v>3333.3333333333335</v>
      </c>
      <c r="L8" s="99"/>
      <c r="M8" s="63">
        <f t="shared" ref="M8:N10" si="0">SUM(C8,F8,I8)</f>
        <v>11407.166666666668</v>
      </c>
      <c r="N8" s="97">
        <f t="shared" si="0"/>
        <v>0</v>
      </c>
      <c r="O8" s="63">
        <f>SUM(M8:N8)</f>
        <v>11407.166666666668</v>
      </c>
      <c r="P8" s="45" t="s">
        <v>34</v>
      </c>
    </row>
    <row r="9" spans="1:16" s="45" customFormat="1" ht="22.5">
      <c r="A9" s="3">
        <v>1.3000000000000003</v>
      </c>
      <c r="B9" s="56" t="s">
        <v>103</v>
      </c>
      <c r="C9" s="96">
        <f>4200/5</f>
        <v>840</v>
      </c>
      <c r="D9" s="63"/>
      <c r="E9" s="64">
        <f>SUM(C9:D9)</f>
        <v>840</v>
      </c>
      <c r="F9" s="62">
        <v>2000</v>
      </c>
      <c r="G9" s="63"/>
      <c r="H9" s="64">
        <f>SUM(F9:G9)</f>
        <v>2000</v>
      </c>
      <c r="I9" s="62"/>
      <c r="J9" s="100"/>
      <c r="K9" s="64">
        <f>SUM(I9:J9)</f>
        <v>0</v>
      </c>
      <c r="L9" s="99"/>
      <c r="M9" s="63">
        <f t="shared" si="0"/>
        <v>2840</v>
      </c>
      <c r="N9" s="63">
        <f t="shared" si="0"/>
        <v>0</v>
      </c>
      <c r="O9" s="63">
        <f>SUM(M9:N9)</f>
        <v>2840</v>
      </c>
    </row>
    <row r="10" spans="1:16" s="45" customFormat="1">
      <c r="A10" s="3">
        <v>1.5000000000000004</v>
      </c>
      <c r="B10" s="56" t="s">
        <v>56</v>
      </c>
      <c r="C10" s="62">
        <f>(3000/6)*1+(9000/6)*1</f>
        <v>2000</v>
      </c>
      <c r="D10" s="63"/>
      <c r="E10" s="64">
        <f>SUM(C10:D10)</f>
        <v>2000</v>
      </c>
      <c r="F10" s="62">
        <f>(12000/6)*1</f>
        <v>2000</v>
      </c>
      <c r="G10" s="63"/>
      <c r="H10" s="64">
        <f>SUM(F10:G10)</f>
        <v>2000</v>
      </c>
      <c r="I10" s="62">
        <f>(12000/6)*1</f>
        <v>2000</v>
      </c>
      <c r="J10" s="100"/>
      <c r="K10" s="64">
        <f>SUM(I10:J10)</f>
        <v>2000</v>
      </c>
      <c r="L10" s="99"/>
      <c r="M10" s="63">
        <f t="shared" si="0"/>
        <v>6000</v>
      </c>
      <c r="N10" s="63">
        <f t="shared" si="0"/>
        <v>0</v>
      </c>
      <c r="O10" s="63">
        <f>SUM(M10:N10)</f>
        <v>6000</v>
      </c>
    </row>
    <row r="11" spans="1:16">
      <c r="A11" s="2"/>
      <c r="B11" s="74" t="s">
        <v>10</v>
      </c>
      <c r="C11" s="101">
        <f t="shared" ref="C11:K11" si="1">SUM(C7:C10)</f>
        <v>7580.5</v>
      </c>
      <c r="D11" s="89">
        <f t="shared" si="1"/>
        <v>0</v>
      </c>
      <c r="E11" s="102">
        <f t="shared" si="1"/>
        <v>7580.5</v>
      </c>
      <c r="F11" s="101">
        <f t="shared" si="1"/>
        <v>7333.3333333333339</v>
      </c>
      <c r="G11" s="89">
        <f t="shared" si="1"/>
        <v>0</v>
      </c>
      <c r="H11" s="102">
        <f t="shared" si="1"/>
        <v>7333.3333333333339</v>
      </c>
      <c r="I11" s="101">
        <f t="shared" si="1"/>
        <v>5333.3333333333339</v>
      </c>
      <c r="J11" s="103">
        <f t="shared" si="1"/>
        <v>0</v>
      </c>
      <c r="K11" s="102">
        <f t="shared" si="1"/>
        <v>5333.3333333333339</v>
      </c>
      <c r="M11" s="89">
        <f>SUM(M7:M10)</f>
        <v>20247.166666666668</v>
      </c>
      <c r="N11" s="89">
        <f>SUM(N7:N10)</f>
        <v>0</v>
      </c>
      <c r="O11" s="102">
        <f>SUM(O7:O10)</f>
        <v>20247.166666666668</v>
      </c>
    </row>
    <row r="12" spans="1:16">
      <c r="A12" s="3">
        <v>2</v>
      </c>
      <c r="B12" s="73" t="s">
        <v>21</v>
      </c>
      <c r="C12" s="104"/>
      <c r="D12" s="105"/>
      <c r="E12" s="106"/>
      <c r="F12" s="104"/>
      <c r="G12" s="105"/>
      <c r="H12" s="106"/>
      <c r="I12" s="104"/>
      <c r="J12" s="107"/>
      <c r="K12" s="106"/>
      <c r="M12" s="105"/>
      <c r="N12" s="105"/>
      <c r="O12" s="106"/>
    </row>
    <row r="13" spans="1:16" s="61" customFormat="1">
      <c r="A13" s="55">
        <v>2.1</v>
      </c>
      <c r="B13" s="56" t="s">
        <v>57</v>
      </c>
      <c r="C13" s="62"/>
      <c r="D13" s="63"/>
      <c r="E13" s="64">
        <f>SUM(C13:D13)</f>
        <v>0</v>
      </c>
      <c r="F13" s="62">
        <f>1000*2</f>
        <v>2000</v>
      </c>
      <c r="G13" s="63"/>
      <c r="H13" s="64">
        <f>SUM(F13:G13)</f>
        <v>2000</v>
      </c>
      <c r="I13" s="62">
        <f>1000*2</f>
        <v>2000</v>
      </c>
      <c r="J13" s="60"/>
      <c r="K13" s="64">
        <f>SUM(I13:J13)</f>
        <v>2000</v>
      </c>
      <c r="M13" s="63">
        <f t="shared" ref="M13:N16" si="2">SUM(C13,F13,I13)</f>
        <v>4000</v>
      </c>
      <c r="N13" s="63">
        <f t="shared" si="2"/>
        <v>0</v>
      </c>
      <c r="O13" s="63">
        <f>SUM(M13:N13)</f>
        <v>4000</v>
      </c>
      <c r="P13" s="61" t="s">
        <v>35</v>
      </c>
    </row>
    <row r="14" spans="1:16" s="61" customFormat="1" ht="22.5">
      <c r="A14" s="55">
        <v>2.2000000000000002</v>
      </c>
      <c r="B14" s="56" t="s">
        <v>36</v>
      </c>
      <c r="C14" s="62">
        <f ca="1">'BP Training Serbia'!$G$47</f>
        <v>3794</v>
      </c>
      <c r="D14" s="63"/>
      <c r="E14" s="64">
        <f ca="1">SUM(C14:D14)</f>
        <v>3794</v>
      </c>
      <c r="F14" s="62">
        <f ca="1">'BP Training Serbia'!$G$47</f>
        <v>3794</v>
      </c>
      <c r="G14" s="63"/>
      <c r="H14" s="64">
        <f>SUM(F14:G14)</f>
        <v>3794</v>
      </c>
      <c r="I14" s="62"/>
      <c r="J14" s="60"/>
      <c r="K14" s="64">
        <f>SUM(I14:J14)</f>
        <v>0</v>
      </c>
      <c r="M14" s="63">
        <f t="shared" si="2"/>
        <v>7588</v>
      </c>
      <c r="N14" s="63">
        <f t="shared" si="2"/>
        <v>0</v>
      </c>
      <c r="O14" s="63">
        <f>SUM(M14:N14)</f>
        <v>7588</v>
      </c>
      <c r="P14" s="61" t="s">
        <v>37</v>
      </c>
    </row>
    <row r="15" spans="1:16" s="61" customFormat="1">
      <c r="A15" s="55">
        <v>2.4</v>
      </c>
      <c r="B15" s="56" t="s">
        <v>7</v>
      </c>
      <c r="C15" s="62"/>
      <c r="D15" s="63"/>
      <c r="E15" s="64">
        <f>SUM(C15:D15)</f>
        <v>0</v>
      </c>
      <c r="F15" s="62">
        <f>(10000/6)*1</f>
        <v>1666.6666666666667</v>
      </c>
      <c r="G15" s="63"/>
      <c r="H15" s="64">
        <f>SUM(F15:G15)</f>
        <v>1666.6666666666667</v>
      </c>
      <c r="I15" s="62">
        <f>(10000/6)*1</f>
        <v>1666.6666666666667</v>
      </c>
      <c r="J15" s="60"/>
      <c r="K15" s="64">
        <f>SUM(I15:J15)</f>
        <v>1666.6666666666667</v>
      </c>
      <c r="M15" s="63">
        <f t="shared" si="2"/>
        <v>3333.3333333333335</v>
      </c>
      <c r="N15" s="63">
        <f t="shared" si="2"/>
        <v>0</v>
      </c>
      <c r="O15" s="63">
        <f>SUM(M15:N15)</f>
        <v>3333.3333333333335</v>
      </c>
    </row>
    <row r="16" spans="1:16" s="59" customFormat="1" ht="33.75">
      <c r="A16" s="55">
        <v>2.5</v>
      </c>
      <c r="B16" s="56" t="s">
        <v>47</v>
      </c>
      <c r="C16" s="65"/>
      <c r="D16" s="66"/>
      <c r="E16" s="67">
        <f>SUM(C16:D16)</f>
        <v>0</v>
      </c>
      <c r="F16" s="68">
        <v>4000</v>
      </c>
      <c r="G16" s="69"/>
      <c r="H16" s="67">
        <f>SUM(F16:G16)</f>
        <v>4000</v>
      </c>
      <c r="I16" s="68"/>
      <c r="J16" s="58"/>
      <c r="K16" s="67">
        <f>SUM(I16:J16)</f>
        <v>0</v>
      </c>
      <c r="M16" s="70">
        <f t="shared" si="2"/>
        <v>4000</v>
      </c>
      <c r="N16" s="69">
        <f t="shared" si="2"/>
        <v>0</v>
      </c>
      <c r="O16" s="67">
        <f>SUM(M16:N16)</f>
        <v>4000</v>
      </c>
    </row>
    <row r="17" spans="1:15">
      <c r="A17" s="2"/>
      <c r="B17" s="74" t="s">
        <v>11</v>
      </c>
      <c r="C17" s="108">
        <f t="shared" ref="C17:K17" si="3">SUM(C13:C16)</f>
        <v>3794</v>
      </c>
      <c r="D17" s="109">
        <f t="shared" si="3"/>
        <v>0</v>
      </c>
      <c r="E17" s="102">
        <f t="shared" si="3"/>
        <v>3794</v>
      </c>
      <c r="F17" s="108">
        <f t="shared" si="3"/>
        <v>11460.666666666668</v>
      </c>
      <c r="G17" s="109">
        <f t="shared" si="3"/>
        <v>0</v>
      </c>
      <c r="H17" s="102">
        <f t="shared" si="3"/>
        <v>11460.666666666668</v>
      </c>
      <c r="I17" s="108">
        <f t="shared" si="3"/>
        <v>3666.666666666667</v>
      </c>
      <c r="J17" s="110">
        <f t="shared" si="3"/>
        <v>0</v>
      </c>
      <c r="K17" s="102">
        <f t="shared" si="3"/>
        <v>3666.666666666667</v>
      </c>
      <c r="M17" s="109">
        <f>SUM(M13:M16)</f>
        <v>18921.333333333336</v>
      </c>
      <c r="N17" s="109">
        <f>SUM(N13:N16)</f>
        <v>0</v>
      </c>
      <c r="O17" s="102">
        <f>SUM(O13:O16)</f>
        <v>18921.333333333336</v>
      </c>
    </row>
    <row r="18" spans="1:15">
      <c r="A18" s="3">
        <v>3</v>
      </c>
      <c r="B18" s="73" t="s">
        <v>8</v>
      </c>
      <c r="C18" s="104"/>
      <c r="D18" s="105"/>
      <c r="E18" s="106"/>
      <c r="F18" s="104"/>
      <c r="G18" s="105"/>
      <c r="H18" s="106"/>
      <c r="I18" s="104">
        <f>SUM(I15:I17)</f>
        <v>5333.3333333333339</v>
      </c>
      <c r="J18" s="107">
        <f>SUM(J15:J17)</f>
        <v>0</v>
      </c>
      <c r="K18" s="106"/>
      <c r="M18" s="105">
        <f t="shared" ref="M18:N22" si="4">SUM(C18,F18,I18)</f>
        <v>5333.3333333333339</v>
      </c>
      <c r="N18" s="105">
        <f t="shared" si="4"/>
        <v>0</v>
      </c>
      <c r="O18" s="106"/>
    </row>
    <row r="19" spans="1:15">
      <c r="A19" s="3">
        <v>3.1</v>
      </c>
      <c r="B19" s="75" t="s">
        <v>20</v>
      </c>
      <c r="C19" s="68">
        <f>((12000/25)*11)/5</f>
        <v>1056</v>
      </c>
      <c r="D19" s="66"/>
      <c r="E19" s="67">
        <f>SUM(C19:D19)</f>
        <v>1056</v>
      </c>
      <c r="F19" s="68">
        <f>((12000/25)*12)/5</f>
        <v>1152</v>
      </c>
      <c r="G19" s="66"/>
      <c r="H19" s="67">
        <f>SUM(F19:G19)</f>
        <v>1152</v>
      </c>
      <c r="I19" s="68">
        <f>((12000/25)*12)/5</f>
        <v>1152</v>
      </c>
      <c r="J19" s="49"/>
      <c r="K19" s="67">
        <f>SUM(I19:J19)</f>
        <v>1152</v>
      </c>
      <c r="M19" s="66">
        <f t="shared" si="4"/>
        <v>3360</v>
      </c>
      <c r="N19" s="66">
        <f t="shared" si="4"/>
        <v>0</v>
      </c>
      <c r="O19" s="67">
        <f>SUM(M19:N19)</f>
        <v>3360</v>
      </c>
    </row>
    <row r="20" spans="1:15">
      <c r="A20" s="47">
        <v>3.1</v>
      </c>
      <c r="B20" s="56" t="s">
        <v>6</v>
      </c>
      <c r="C20" s="48">
        <f>(15000/18*11)/6</f>
        <v>1527.7777777777781</v>
      </c>
      <c r="D20" s="49"/>
      <c r="E20" s="50">
        <f>SUM(C20:D20)</f>
        <v>1527.7777777777781</v>
      </c>
      <c r="F20" s="48">
        <f>(15000/18*7)/6</f>
        <v>972.22222222222229</v>
      </c>
      <c r="G20" s="49"/>
      <c r="H20" s="50">
        <f>SUM(F20:G20)</f>
        <v>972.22222222222229</v>
      </c>
      <c r="I20" s="48"/>
      <c r="J20" s="49"/>
      <c r="K20" s="50">
        <f>SUM(I20:J20)</f>
        <v>0</v>
      </c>
      <c r="M20" s="49">
        <f t="shared" si="4"/>
        <v>2500.0000000000005</v>
      </c>
      <c r="N20" s="49">
        <f t="shared" si="4"/>
        <v>0</v>
      </c>
      <c r="O20" s="50">
        <f>SUM(M20:N20)</f>
        <v>2500.0000000000005</v>
      </c>
    </row>
    <row r="21" spans="1:15">
      <c r="A21" s="47">
        <v>3.2</v>
      </c>
      <c r="B21" s="56" t="s">
        <v>58</v>
      </c>
      <c r="C21" s="48">
        <f>1*500</f>
        <v>500</v>
      </c>
      <c r="D21" s="49"/>
      <c r="E21" s="50">
        <f>SUM(C21:D21)</f>
        <v>500</v>
      </c>
      <c r="F21" s="48">
        <f>1*500</f>
        <v>500</v>
      </c>
      <c r="G21" s="49"/>
      <c r="H21" s="50">
        <f>SUM(F21:G21)</f>
        <v>500</v>
      </c>
      <c r="I21" s="48">
        <f>1*500</f>
        <v>500</v>
      </c>
      <c r="J21" s="49"/>
      <c r="K21" s="50">
        <f>SUM(I21:J21)</f>
        <v>500</v>
      </c>
      <c r="M21" s="49">
        <f>SUM(C21,F21,I21)</f>
        <v>1500</v>
      </c>
      <c r="N21" s="49">
        <f>SUM(D21,G21,J21)</f>
        <v>0</v>
      </c>
      <c r="O21" s="50">
        <f>SUM(M21:N21)</f>
        <v>1500</v>
      </c>
    </row>
    <row r="22" spans="1:15">
      <c r="A22" s="3">
        <v>3.2</v>
      </c>
      <c r="B22" s="75" t="s">
        <v>5</v>
      </c>
      <c r="C22" s="68">
        <f>((12000/25)*12)/5</f>
        <v>1152</v>
      </c>
      <c r="D22" s="66"/>
      <c r="E22" s="67">
        <f>SUM(C22:D22)</f>
        <v>1152</v>
      </c>
      <c r="F22" s="68">
        <f>((12000/25)*12)/5</f>
        <v>1152</v>
      </c>
      <c r="G22" s="66"/>
      <c r="H22" s="67">
        <f>SUM(F22:G22)</f>
        <v>1152</v>
      </c>
      <c r="I22" s="68">
        <f>((12000/25)*12)/5</f>
        <v>1152</v>
      </c>
      <c r="J22" s="49"/>
      <c r="K22" s="67">
        <f>SUM(I22:J22)</f>
        <v>1152</v>
      </c>
      <c r="M22" s="66">
        <f t="shared" si="4"/>
        <v>3456</v>
      </c>
      <c r="N22" s="66">
        <f t="shared" si="4"/>
        <v>0</v>
      </c>
      <c r="O22" s="66">
        <f>SUM(M22:N22)</f>
        <v>3456</v>
      </c>
    </row>
    <row r="23" spans="1:15">
      <c r="A23" s="2"/>
      <c r="B23" s="74" t="s">
        <v>12</v>
      </c>
      <c r="C23" s="108">
        <f t="shared" ref="C23:K23" si="5">SUM(C19:C22)</f>
        <v>4235.7777777777783</v>
      </c>
      <c r="D23" s="109">
        <f t="shared" si="5"/>
        <v>0</v>
      </c>
      <c r="E23" s="102">
        <f t="shared" si="5"/>
        <v>4235.7777777777783</v>
      </c>
      <c r="F23" s="108">
        <f t="shared" si="5"/>
        <v>3776.2222222222222</v>
      </c>
      <c r="G23" s="109">
        <f t="shared" si="5"/>
        <v>0</v>
      </c>
      <c r="H23" s="102">
        <f t="shared" si="5"/>
        <v>3776.2222222222222</v>
      </c>
      <c r="I23" s="108">
        <f t="shared" si="5"/>
        <v>2804</v>
      </c>
      <c r="J23" s="110">
        <f t="shared" si="5"/>
        <v>0</v>
      </c>
      <c r="K23" s="102">
        <f t="shared" si="5"/>
        <v>2804</v>
      </c>
      <c r="M23" s="109">
        <f>SUM(M19:M22)</f>
        <v>10816</v>
      </c>
      <c r="N23" s="109">
        <f>SUM(N19:N22)</f>
        <v>0</v>
      </c>
      <c r="O23" s="102">
        <f>SUM(O19:O22)</f>
        <v>10816</v>
      </c>
    </row>
    <row r="24" spans="1:15">
      <c r="A24" s="3">
        <v>4</v>
      </c>
      <c r="B24" s="289" t="s">
        <v>149</v>
      </c>
      <c r="C24" s="104"/>
      <c r="D24" s="105"/>
      <c r="E24" s="106"/>
      <c r="F24" s="104"/>
      <c r="G24" s="105"/>
      <c r="H24" s="106"/>
      <c r="I24" s="104"/>
      <c r="J24" s="107"/>
      <c r="K24" s="106"/>
      <c r="M24" s="105"/>
      <c r="N24" s="105"/>
      <c r="O24" s="106"/>
    </row>
    <row r="25" spans="1:15" s="45" customFormat="1">
      <c r="A25" s="3"/>
      <c r="B25" s="190"/>
      <c r="C25" s="62"/>
      <c r="D25" s="63"/>
      <c r="E25" s="64"/>
      <c r="F25" s="62"/>
      <c r="G25" s="63"/>
      <c r="H25" s="64"/>
      <c r="I25" s="62"/>
      <c r="J25" s="98"/>
      <c r="K25" s="64"/>
      <c r="L25" s="99"/>
      <c r="M25" s="63"/>
      <c r="N25" s="97"/>
      <c r="O25" s="64"/>
    </row>
    <row r="26" spans="1:15">
      <c r="A26" s="2"/>
      <c r="B26" s="74" t="s">
        <v>13</v>
      </c>
      <c r="C26" s="108">
        <f t="shared" ref="C26:K26" si="6">SUM(C25:C25)</f>
        <v>0</v>
      </c>
      <c r="D26" s="109">
        <f t="shared" si="6"/>
        <v>0</v>
      </c>
      <c r="E26" s="102">
        <f t="shared" si="6"/>
        <v>0</v>
      </c>
      <c r="F26" s="108">
        <f t="shared" si="6"/>
        <v>0</v>
      </c>
      <c r="G26" s="109">
        <f t="shared" si="6"/>
        <v>0</v>
      </c>
      <c r="H26" s="102">
        <f t="shared" si="6"/>
        <v>0</v>
      </c>
      <c r="I26" s="108">
        <f t="shared" si="6"/>
        <v>0</v>
      </c>
      <c r="J26" s="110">
        <f t="shared" si="6"/>
        <v>0</v>
      </c>
      <c r="K26" s="102">
        <f t="shared" si="6"/>
        <v>0</v>
      </c>
      <c r="M26" s="109">
        <f>SUM(M25:M25)</f>
        <v>0</v>
      </c>
      <c r="N26" s="109">
        <f>SUM(N25:N25)</f>
        <v>0</v>
      </c>
      <c r="O26" s="102">
        <f>SUM(O25:O25)</f>
        <v>0</v>
      </c>
    </row>
    <row r="27" spans="1:15" s="5" customFormat="1">
      <c r="A27" s="4"/>
      <c r="B27" s="78"/>
      <c r="C27" s="114"/>
      <c r="D27" s="115"/>
      <c r="E27" s="116"/>
      <c r="F27" s="114"/>
      <c r="G27" s="115"/>
      <c r="H27" s="116"/>
      <c r="I27" s="114"/>
      <c r="J27" s="117"/>
      <c r="K27" s="116"/>
      <c r="L27" s="118"/>
      <c r="M27" s="115"/>
      <c r="N27" s="115"/>
      <c r="O27" s="116"/>
    </row>
    <row r="28" spans="1:15" s="45" customFormat="1">
      <c r="A28" s="3">
        <v>5</v>
      </c>
      <c r="B28" s="56" t="s">
        <v>147</v>
      </c>
      <c r="C28" s="62">
        <f>C39*0.085</f>
        <v>1326.8736111111111</v>
      </c>
      <c r="D28" s="63">
        <f>D42*0.085</f>
        <v>0</v>
      </c>
      <c r="E28" s="64">
        <f>SUM(C28:D28)</f>
        <v>1326.8736111111111</v>
      </c>
      <c r="F28" s="62">
        <f>F39*0.085</f>
        <v>1918.4688888888891</v>
      </c>
      <c r="G28" s="63">
        <f>G42*0.085</f>
        <v>0</v>
      </c>
      <c r="H28" s="64">
        <f>SUM(F28:G28)</f>
        <v>1918.4688888888891</v>
      </c>
      <c r="I28" s="62">
        <f>I39*0.085</f>
        <v>1003.34</v>
      </c>
      <c r="J28" s="63">
        <f>J42*0.085</f>
        <v>0</v>
      </c>
      <c r="K28" s="64">
        <f>SUM(I28:J28)</f>
        <v>1003.34</v>
      </c>
      <c r="L28" s="99"/>
      <c r="M28" s="63">
        <f>SUM(C28,F28,I28)</f>
        <v>4248.6824999999999</v>
      </c>
      <c r="N28" s="97">
        <f>SUM(D28,G28,J28)</f>
        <v>0</v>
      </c>
      <c r="O28" s="64">
        <f>SUM(M28:N28)</f>
        <v>4248.6824999999999</v>
      </c>
    </row>
    <row r="29" spans="1:15" s="45" customFormat="1">
      <c r="A29" s="3"/>
      <c r="B29" s="75"/>
      <c r="C29" s="207"/>
      <c r="D29" s="208"/>
      <c r="E29" s="209"/>
      <c r="F29" s="207"/>
      <c r="G29" s="208"/>
      <c r="H29" s="209"/>
      <c r="I29" s="207"/>
      <c r="J29" s="210"/>
      <c r="K29" s="209"/>
      <c r="L29" s="99"/>
      <c r="M29" s="63"/>
      <c r="N29" s="97"/>
      <c r="O29" s="211"/>
    </row>
    <row r="30" spans="1:15" ht="13.5" thickBot="1">
      <c r="A30" s="2"/>
      <c r="B30" s="74" t="s">
        <v>24</v>
      </c>
      <c r="C30" s="119">
        <f t="shared" ref="C30:K30" si="7">SUM(C11,C17,C23,C26,C28)</f>
        <v>16937.151388888888</v>
      </c>
      <c r="D30" s="120">
        <f t="shared" si="7"/>
        <v>0</v>
      </c>
      <c r="E30" s="121">
        <f t="shared" si="7"/>
        <v>16937.151388888888</v>
      </c>
      <c r="F30" s="119">
        <f t="shared" si="7"/>
        <v>24488.691111111111</v>
      </c>
      <c r="G30" s="120">
        <f t="shared" si="7"/>
        <v>0</v>
      </c>
      <c r="H30" s="121">
        <f t="shared" si="7"/>
        <v>24488.691111111111</v>
      </c>
      <c r="I30" s="119">
        <f t="shared" si="7"/>
        <v>12807.34</v>
      </c>
      <c r="J30" s="122">
        <f t="shared" si="7"/>
        <v>0</v>
      </c>
      <c r="K30" s="123">
        <f t="shared" si="7"/>
        <v>12807.34</v>
      </c>
      <c r="M30" s="109">
        <f>SUM(M11,M17,M23,M26,M28)</f>
        <v>54233.182500000003</v>
      </c>
      <c r="N30" s="109">
        <f>SUM(N11,N17,N23,N26,N28)</f>
        <v>0</v>
      </c>
      <c r="O30" s="124">
        <f>SUM(O11,O17,O23,O26,O28)</f>
        <v>54233.182500000003</v>
      </c>
    </row>
    <row r="31" spans="1:15">
      <c r="A31" s="1"/>
      <c r="B31" s="79"/>
      <c r="C31" s="125" t="s">
        <v>26</v>
      </c>
      <c r="D31" s="125" t="s">
        <v>18</v>
      </c>
      <c r="E31" s="126" t="s">
        <v>9</v>
      </c>
      <c r="F31" s="126"/>
      <c r="G31" s="126"/>
      <c r="H31" s="126"/>
      <c r="I31" s="126"/>
      <c r="J31" s="110"/>
      <c r="K31" s="126"/>
      <c r="M31" s="126"/>
      <c r="N31" s="109"/>
      <c r="O31" s="126"/>
    </row>
    <row r="32" spans="1:15">
      <c r="A32" s="1"/>
      <c r="B32" s="80" t="s">
        <v>14</v>
      </c>
      <c r="C32" s="127">
        <f>SUM(+C23+C17+C11+C26+C28)</f>
        <v>16937.151388888888</v>
      </c>
      <c r="D32" s="127">
        <f>SUM(+D23+D17+D11+D26+D28)</f>
        <v>0</v>
      </c>
      <c r="E32" s="127">
        <f>SUM(C32:D32)</f>
        <v>16937.151388888888</v>
      </c>
      <c r="F32" s="127"/>
      <c r="G32" s="127"/>
      <c r="H32" s="127">
        <f>SUM(F32:G32)</f>
        <v>0</v>
      </c>
      <c r="I32" s="127"/>
      <c r="J32" s="128"/>
      <c r="K32" s="127">
        <f>SUM(I32:J32)</f>
        <v>0</v>
      </c>
      <c r="M32" s="127"/>
      <c r="N32" s="127"/>
      <c r="O32" s="127">
        <f>SUM(M32:N32)</f>
        <v>0</v>
      </c>
    </row>
    <row r="33" spans="1:15">
      <c r="A33" s="1"/>
      <c r="B33" s="80" t="s">
        <v>15</v>
      </c>
      <c r="C33" s="127">
        <f>SUM(F26+F23+F17+F11+F28)</f>
        <v>24488.691111111115</v>
      </c>
      <c r="D33" s="127">
        <f>SUM(G26+G23+G17+G11+G28)</f>
        <v>0</v>
      </c>
      <c r="E33" s="127">
        <f>SUM(C33:D33)</f>
        <v>24488.691111111115</v>
      </c>
      <c r="F33" s="129"/>
      <c r="G33" s="129"/>
      <c r="H33" s="127">
        <f>SUM(F33:G33)</f>
        <v>0</v>
      </c>
      <c r="I33" s="129"/>
      <c r="J33" s="130"/>
      <c r="K33" s="127">
        <f>SUM(I33:J33)</f>
        <v>0</v>
      </c>
      <c r="M33" s="129"/>
      <c r="N33" s="129"/>
      <c r="O33" s="127">
        <f>SUM(M33:N33)</f>
        <v>0</v>
      </c>
    </row>
    <row r="34" spans="1:15">
      <c r="A34" s="1"/>
      <c r="B34" s="80" t="s">
        <v>16</v>
      </c>
      <c r="C34" s="127">
        <f>SUM(I26+I23+I17+I11+I28)</f>
        <v>12807.34</v>
      </c>
      <c r="D34" s="127">
        <f>SUM(J26+J23+J17+J11+J28)</f>
        <v>0</v>
      </c>
      <c r="E34" s="127">
        <f>SUM(C34:D34)</f>
        <v>12807.34</v>
      </c>
      <c r="F34" s="129"/>
      <c r="G34" s="129"/>
      <c r="H34" s="127">
        <f>SUM(F34:G34)</f>
        <v>0</v>
      </c>
      <c r="I34" s="129"/>
      <c r="J34" s="130"/>
      <c r="K34" s="127">
        <f>SUM(I34:J34)</f>
        <v>0</v>
      </c>
      <c r="M34" s="129"/>
      <c r="N34" s="129"/>
      <c r="O34" s="127">
        <f>SUM(M34:N34)</f>
        <v>0</v>
      </c>
    </row>
    <row r="35" spans="1:15" s="7" customFormat="1">
      <c r="A35" s="37"/>
      <c r="B35" s="80" t="s">
        <v>17</v>
      </c>
      <c r="C35" s="131">
        <f>SUM(C32:C34)</f>
        <v>54233.182499999995</v>
      </c>
      <c r="D35" s="131">
        <f>SUM(D32:D34)</f>
        <v>0</v>
      </c>
      <c r="E35" s="131">
        <f>SUM(C35:D35)</f>
        <v>54233.182499999995</v>
      </c>
      <c r="F35" s="132"/>
      <c r="G35" s="132"/>
      <c r="H35" s="131">
        <f>SUM(F35:G35)</f>
        <v>0</v>
      </c>
      <c r="I35" s="132"/>
      <c r="J35" s="133"/>
      <c r="K35" s="131">
        <f>SUM(I35:J35)</f>
        <v>0</v>
      </c>
      <c r="L35" s="134"/>
      <c r="M35" s="132"/>
      <c r="N35" s="132"/>
      <c r="O35" s="131">
        <f>SUM(M35:N35)</f>
        <v>0</v>
      </c>
    </row>
    <row r="37" spans="1:15">
      <c r="C37" s="135">
        <f t="shared" ref="C37:K37" si="8">C28/(C26+C23+C17+C11)</f>
        <v>8.5000000000000006E-2</v>
      </c>
      <c r="D37" s="135">
        <v>0</v>
      </c>
      <c r="E37" s="135">
        <f t="shared" si="8"/>
        <v>8.5000000000000006E-2</v>
      </c>
      <c r="F37" s="135">
        <f t="shared" si="8"/>
        <v>8.4999999999999992E-2</v>
      </c>
      <c r="G37" s="135">
        <v>0</v>
      </c>
      <c r="H37" s="135">
        <f t="shared" si="8"/>
        <v>8.4999999999999992E-2</v>
      </c>
      <c r="I37" s="135">
        <f t="shared" si="8"/>
        <v>8.5000000000000006E-2</v>
      </c>
      <c r="J37" s="136">
        <v>0</v>
      </c>
      <c r="K37" s="135">
        <f t="shared" si="8"/>
        <v>8.5000000000000006E-2</v>
      </c>
      <c r="M37" s="135">
        <f>M28/(M26+M23+M17+M11)</f>
        <v>8.4999999999999992E-2</v>
      </c>
      <c r="N37" s="135">
        <v>0</v>
      </c>
      <c r="O37" s="135">
        <f>O28/(O26+O23+O17+O11)</f>
        <v>8.4999999999999992E-2</v>
      </c>
    </row>
    <row r="39" spans="1:15" ht="22.5">
      <c r="B39" s="81" t="s">
        <v>22</v>
      </c>
      <c r="C39" s="137">
        <f t="shared" ref="C39:K39" si="9">SUM(C11,C17,C23,C26)</f>
        <v>15610.277777777777</v>
      </c>
      <c r="D39" s="137">
        <f>D49*0.075</f>
        <v>0</v>
      </c>
      <c r="E39" s="137">
        <f t="shared" si="9"/>
        <v>15610.277777777777</v>
      </c>
      <c r="F39" s="137">
        <f t="shared" si="9"/>
        <v>22570.222222222223</v>
      </c>
      <c r="G39" s="137">
        <f t="shared" si="9"/>
        <v>0</v>
      </c>
      <c r="H39" s="137">
        <f t="shared" si="9"/>
        <v>22570.222222222223</v>
      </c>
      <c r="I39" s="137">
        <f t="shared" si="9"/>
        <v>11804</v>
      </c>
      <c r="J39" s="137">
        <f t="shared" si="9"/>
        <v>0</v>
      </c>
      <c r="K39" s="137">
        <f t="shared" si="9"/>
        <v>11804</v>
      </c>
      <c r="M39" s="137">
        <f>SUM(M11,M17,M23,M26)</f>
        <v>49984.5</v>
      </c>
      <c r="N39" s="137">
        <f>SUM(N11,N17,N23,N26)</f>
        <v>0</v>
      </c>
      <c r="O39" s="137">
        <f>SUM(O11,O17,O23,O26)</f>
        <v>49984.5</v>
      </c>
    </row>
    <row r="40" spans="1:15" s="6" customFormat="1">
      <c r="B40" s="82"/>
      <c r="C40" s="139"/>
      <c r="D40" s="139"/>
      <c r="E40" s="139"/>
      <c r="F40" s="139"/>
      <c r="G40" s="139"/>
      <c r="H40" s="139"/>
      <c r="I40" s="139"/>
      <c r="J40" s="71"/>
      <c r="K40" s="139"/>
      <c r="L40" s="71"/>
      <c r="M40" s="139"/>
      <c r="N40" s="139"/>
      <c r="O40" s="139"/>
    </row>
    <row r="42" spans="1:15">
      <c r="M42" s="140"/>
    </row>
  </sheetData>
  <mergeCells count="5">
    <mergeCell ref="D1:L1"/>
    <mergeCell ref="M5:O5"/>
    <mergeCell ref="C5:E5"/>
    <mergeCell ref="F5:H5"/>
    <mergeCell ref="I5:K5"/>
  </mergeCells>
  <phoneticPr fontId="3" type="noConversion"/>
  <pageMargins left="0.75" right="0.75" top="1" bottom="1" header="0" footer="0"/>
  <pageSetup paperSize="9" scale="57" orientation="landscape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2"/>
  <sheetViews>
    <sheetView topLeftCell="A13" workbookViewId="0">
      <selection activeCell="C39" sqref="C39"/>
    </sheetView>
  </sheetViews>
  <sheetFormatPr defaultRowHeight="12.75"/>
  <cols>
    <col min="1" max="1" width="3.85546875" customWidth="1"/>
    <col min="2" max="2" width="32.7109375" style="59" customWidth="1"/>
    <col min="3" max="3" width="8.85546875" style="83" customWidth="1"/>
    <col min="4" max="4" width="8" style="83" customWidth="1"/>
    <col min="5" max="5" width="9.5703125" style="83" customWidth="1"/>
    <col min="6" max="6" width="9.140625" style="83"/>
    <col min="7" max="7" width="10" style="83" customWidth="1"/>
    <col min="8" max="8" width="9" style="83" customWidth="1"/>
    <col min="9" max="9" width="9.42578125" style="83" customWidth="1"/>
    <col min="10" max="10" width="7.140625" style="53" customWidth="1"/>
    <col min="11" max="11" width="9.42578125" style="83" customWidth="1"/>
    <col min="12" max="12" width="2.5703125" style="53" customWidth="1"/>
    <col min="13" max="13" width="9.5703125" style="83" customWidth="1"/>
    <col min="14" max="14" width="7.85546875" style="83" customWidth="1"/>
    <col min="15" max="15" width="9.42578125" style="83" customWidth="1"/>
  </cols>
  <sheetData>
    <row r="1" spans="1:16">
      <c r="B1" s="7" t="s">
        <v>153</v>
      </c>
      <c r="C1" s="7" t="s">
        <v>130</v>
      </c>
      <c r="D1" s="300" t="s">
        <v>27</v>
      </c>
      <c r="E1" s="300"/>
      <c r="F1" s="300"/>
      <c r="G1" s="300"/>
      <c r="H1" s="300"/>
      <c r="I1" s="300"/>
      <c r="J1" s="300"/>
      <c r="K1" s="300"/>
      <c r="L1" s="300"/>
      <c r="M1"/>
      <c r="N1"/>
      <c r="O1"/>
    </row>
    <row r="2" spans="1:16">
      <c r="B2" s="292" t="s">
        <v>152</v>
      </c>
      <c r="C2" s="292" t="s">
        <v>44</v>
      </c>
    </row>
    <row r="4" spans="1:16" ht="13.5" thickBot="1"/>
    <row r="5" spans="1:16" s="186" customFormat="1">
      <c r="A5" s="295"/>
      <c r="B5" s="296"/>
      <c r="C5" s="310" t="s">
        <v>28</v>
      </c>
      <c r="D5" s="311"/>
      <c r="E5" s="312"/>
      <c r="F5" s="313" t="s">
        <v>31</v>
      </c>
      <c r="G5" s="314"/>
      <c r="H5" s="315"/>
      <c r="I5" s="316" t="s">
        <v>32</v>
      </c>
      <c r="J5" s="317"/>
      <c r="K5" s="318"/>
      <c r="L5" s="184"/>
      <c r="M5" s="307" t="s">
        <v>23</v>
      </c>
      <c r="N5" s="308"/>
      <c r="O5" s="309"/>
    </row>
    <row r="6" spans="1:16">
      <c r="A6" s="2"/>
      <c r="B6" s="72" t="s">
        <v>0</v>
      </c>
      <c r="C6" s="84" t="s">
        <v>26</v>
      </c>
      <c r="D6" s="85" t="s">
        <v>1</v>
      </c>
      <c r="E6" s="86" t="s">
        <v>9</v>
      </c>
      <c r="F6" s="84" t="s">
        <v>26</v>
      </c>
      <c r="G6" s="85" t="s">
        <v>1</v>
      </c>
      <c r="H6" s="86" t="s">
        <v>9</v>
      </c>
      <c r="I6" s="84" t="s">
        <v>26</v>
      </c>
      <c r="J6" s="87" t="s">
        <v>1</v>
      </c>
      <c r="K6" s="88" t="s">
        <v>9</v>
      </c>
      <c r="M6" s="85" t="s">
        <v>26</v>
      </c>
      <c r="N6" s="85" t="s">
        <v>1</v>
      </c>
      <c r="O6" s="89" t="s">
        <v>9</v>
      </c>
    </row>
    <row r="7" spans="1:16">
      <c r="A7" s="3">
        <v>1</v>
      </c>
      <c r="B7" s="73" t="s">
        <v>144</v>
      </c>
      <c r="C7" s="90"/>
      <c r="D7" s="91"/>
      <c r="E7" s="92"/>
      <c r="F7" s="93"/>
      <c r="G7" s="91"/>
      <c r="H7" s="92"/>
      <c r="I7" s="93"/>
      <c r="J7" s="94"/>
      <c r="K7" s="92"/>
      <c r="M7" s="91"/>
      <c r="N7" s="95"/>
      <c r="O7" s="91"/>
    </row>
    <row r="8" spans="1:16" s="45" customFormat="1" ht="22.5">
      <c r="A8" s="3">
        <v>1.1000000000000001</v>
      </c>
      <c r="B8" s="56" t="s">
        <v>33</v>
      </c>
      <c r="C8" s="96">
        <f>(28443/6)*1</f>
        <v>4740.5</v>
      </c>
      <c r="D8" s="97"/>
      <c r="E8" s="64">
        <f>SUM(C8:D8)</f>
        <v>4740.5</v>
      </c>
      <c r="F8" s="62">
        <f>(20000/6)*1</f>
        <v>3333.3333333333335</v>
      </c>
      <c r="G8" s="97"/>
      <c r="H8" s="64">
        <f>SUM(F8:G8)</f>
        <v>3333.3333333333335</v>
      </c>
      <c r="I8" s="62">
        <f>(20000/6)*1</f>
        <v>3333.3333333333335</v>
      </c>
      <c r="J8" s="98"/>
      <c r="K8" s="64">
        <f>SUM(I8:J8)</f>
        <v>3333.3333333333335</v>
      </c>
      <c r="L8" s="99"/>
      <c r="M8" s="63">
        <f t="shared" ref="M8:N10" si="0">SUM(C8,F8,I8)</f>
        <v>11407.166666666668</v>
      </c>
      <c r="N8" s="97">
        <f t="shared" si="0"/>
        <v>0</v>
      </c>
      <c r="O8" s="63">
        <f>SUM(M8:N8)</f>
        <v>11407.166666666668</v>
      </c>
      <c r="P8" s="45" t="s">
        <v>34</v>
      </c>
    </row>
    <row r="9" spans="1:16" s="45" customFormat="1" ht="22.5">
      <c r="A9" s="3">
        <v>1.3000000000000003</v>
      </c>
      <c r="B9" s="56" t="s">
        <v>103</v>
      </c>
      <c r="C9" s="96">
        <f>4200/5</f>
        <v>840</v>
      </c>
      <c r="D9" s="63"/>
      <c r="E9" s="64">
        <f>SUM(C9:D9)</f>
        <v>840</v>
      </c>
      <c r="F9" s="62"/>
      <c r="G9" s="63"/>
      <c r="H9" s="64">
        <f>SUM(F9:G9)</f>
        <v>0</v>
      </c>
      <c r="I9" s="62"/>
      <c r="J9" s="100"/>
      <c r="K9" s="64">
        <f>SUM(I9:J9)</f>
        <v>0</v>
      </c>
      <c r="L9" s="99"/>
      <c r="M9" s="63">
        <f t="shared" si="0"/>
        <v>840</v>
      </c>
      <c r="N9" s="63">
        <f t="shared" si="0"/>
        <v>0</v>
      </c>
      <c r="O9" s="63">
        <f>SUM(M9:N9)</f>
        <v>840</v>
      </c>
    </row>
    <row r="10" spans="1:16" s="45" customFormat="1">
      <c r="A10" s="3">
        <v>1.5000000000000004</v>
      </c>
      <c r="B10" s="56" t="s">
        <v>56</v>
      </c>
      <c r="C10" s="62">
        <f>(3000/6)*1+(9000/6)*1</f>
        <v>2000</v>
      </c>
      <c r="D10" s="63"/>
      <c r="E10" s="64">
        <f>SUM(C10:D10)</f>
        <v>2000</v>
      </c>
      <c r="F10" s="62">
        <f>(12000/6)*1</f>
        <v>2000</v>
      </c>
      <c r="G10" s="63"/>
      <c r="H10" s="64">
        <f>SUM(F10:G10)</f>
        <v>2000</v>
      </c>
      <c r="I10" s="62">
        <f>(12000/6)*1</f>
        <v>2000</v>
      </c>
      <c r="J10" s="100"/>
      <c r="K10" s="64">
        <f>SUM(I10:J10)</f>
        <v>2000</v>
      </c>
      <c r="L10" s="99"/>
      <c r="M10" s="63">
        <f t="shared" si="0"/>
        <v>6000</v>
      </c>
      <c r="N10" s="63">
        <f t="shared" si="0"/>
        <v>0</v>
      </c>
      <c r="O10" s="63">
        <f>SUM(M10:N10)</f>
        <v>6000</v>
      </c>
    </row>
    <row r="11" spans="1:16">
      <c r="A11" s="2"/>
      <c r="B11" s="74" t="s">
        <v>10</v>
      </c>
      <c r="C11" s="101">
        <f t="shared" ref="C11:K11" si="1">SUM(C7:C10)</f>
        <v>7580.5</v>
      </c>
      <c r="D11" s="89">
        <f t="shared" si="1"/>
        <v>0</v>
      </c>
      <c r="E11" s="102">
        <f t="shared" si="1"/>
        <v>7580.5</v>
      </c>
      <c r="F11" s="101">
        <f t="shared" si="1"/>
        <v>5333.3333333333339</v>
      </c>
      <c r="G11" s="89">
        <f t="shared" si="1"/>
        <v>0</v>
      </c>
      <c r="H11" s="102">
        <f t="shared" si="1"/>
        <v>5333.3333333333339</v>
      </c>
      <c r="I11" s="101">
        <f t="shared" si="1"/>
        <v>5333.3333333333339</v>
      </c>
      <c r="J11" s="103">
        <f t="shared" si="1"/>
        <v>0</v>
      </c>
      <c r="K11" s="102">
        <f t="shared" si="1"/>
        <v>5333.3333333333339</v>
      </c>
      <c r="M11" s="89">
        <f>SUM(M7:M10)</f>
        <v>18247.166666666668</v>
      </c>
      <c r="N11" s="89">
        <f>SUM(N7:N10)</f>
        <v>0</v>
      </c>
      <c r="O11" s="102">
        <f>SUM(O7:O10)</f>
        <v>18247.166666666668</v>
      </c>
    </row>
    <row r="12" spans="1:16">
      <c r="A12" s="3">
        <v>2</v>
      </c>
      <c r="B12" s="73" t="s">
        <v>21</v>
      </c>
      <c r="C12" s="104"/>
      <c r="D12" s="105"/>
      <c r="E12" s="106"/>
      <c r="F12" s="104"/>
      <c r="G12" s="105"/>
      <c r="H12" s="106"/>
      <c r="I12" s="104"/>
      <c r="J12" s="107"/>
      <c r="K12" s="106"/>
      <c r="M12" s="105"/>
      <c r="N12" s="105"/>
      <c r="O12" s="106"/>
    </row>
    <row r="13" spans="1:16" s="61" customFormat="1">
      <c r="A13" s="55">
        <v>2.1</v>
      </c>
      <c r="B13" s="56" t="s">
        <v>57</v>
      </c>
      <c r="C13" s="62"/>
      <c r="D13" s="63"/>
      <c r="E13" s="64">
        <f>SUM(C13:D13)</f>
        <v>0</v>
      </c>
      <c r="F13" s="62">
        <f>1000*2</f>
        <v>2000</v>
      </c>
      <c r="G13" s="63"/>
      <c r="H13" s="64">
        <f>SUM(F13:G13)</f>
        <v>2000</v>
      </c>
      <c r="I13" s="62">
        <f>1000*2</f>
        <v>2000</v>
      </c>
      <c r="J13" s="60"/>
      <c r="K13" s="64">
        <f>SUM(I13:J13)</f>
        <v>2000</v>
      </c>
      <c r="M13" s="63">
        <f t="shared" ref="M13:N16" si="2">SUM(C13,F13,I13)</f>
        <v>4000</v>
      </c>
      <c r="N13" s="63">
        <f t="shared" si="2"/>
        <v>0</v>
      </c>
      <c r="O13" s="63">
        <f>SUM(M13:N13)</f>
        <v>4000</v>
      </c>
      <c r="P13" s="61" t="s">
        <v>35</v>
      </c>
    </row>
    <row r="14" spans="1:16" s="61" customFormat="1" ht="22.5">
      <c r="A14" s="55">
        <v>2.2000000000000002</v>
      </c>
      <c r="B14" s="56" t="s">
        <v>36</v>
      </c>
      <c r="C14" s="62">
        <f ca="1">'BP Training Montenegro'!$G$47</f>
        <v>5182</v>
      </c>
      <c r="D14" s="63"/>
      <c r="E14" s="64">
        <f ca="1">SUM(C14:D14)</f>
        <v>5182</v>
      </c>
      <c r="F14" s="62">
        <f ca="1">'BP Training Montenegro'!$G$47</f>
        <v>5182</v>
      </c>
      <c r="G14" s="63"/>
      <c r="H14" s="64">
        <f>SUM(F14:G14)</f>
        <v>5182</v>
      </c>
      <c r="I14" s="62"/>
      <c r="J14" s="60"/>
      <c r="K14" s="64">
        <f>SUM(I14:J14)</f>
        <v>0</v>
      </c>
      <c r="M14" s="63">
        <f t="shared" si="2"/>
        <v>10364</v>
      </c>
      <c r="N14" s="63">
        <f t="shared" si="2"/>
        <v>0</v>
      </c>
      <c r="O14" s="63">
        <f>SUM(M14:N14)</f>
        <v>10364</v>
      </c>
      <c r="P14" s="61" t="s">
        <v>37</v>
      </c>
    </row>
    <row r="15" spans="1:16" s="61" customFormat="1">
      <c r="A15" s="55">
        <v>2.4</v>
      </c>
      <c r="B15" s="56" t="s">
        <v>7</v>
      </c>
      <c r="C15" s="62"/>
      <c r="D15" s="63"/>
      <c r="E15" s="64">
        <f>SUM(C15:D15)</f>
        <v>0</v>
      </c>
      <c r="F15" s="62">
        <f>(10000/6)*1</f>
        <v>1666.6666666666667</v>
      </c>
      <c r="G15" s="63"/>
      <c r="H15" s="64">
        <f>SUM(F15:G15)</f>
        <v>1666.6666666666667</v>
      </c>
      <c r="I15" s="62">
        <f>(10000/6)*1</f>
        <v>1666.6666666666667</v>
      </c>
      <c r="J15" s="60"/>
      <c r="K15" s="64">
        <f>SUM(I15:J15)</f>
        <v>1666.6666666666667</v>
      </c>
      <c r="M15" s="63">
        <f t="shared" si="2"/>
        <v>3333.3333333333335</v>
      </c>
      <c r="N15" s="63">
        <f t="shared" si="2"/>
        <v>0</v>
      </c>
      <c r="O15" s="63">
        <f>SUM(M15:N15)</f>
        <v>3333.3333333333335</v>
      </c>
    </row>
    <row r="16" spans="1:16" s="59" customFormat="1" ht="33.75">
      <c r="A16" s="55">
        <v>2.5</v>
      </c>
      <c r="B16" s="56" t="s">
        <v>47</v>
      </c>
      <c r="C16" s="65"/>
      <c r="D16" s="66"/>
      <c r="E16" s="67">
        <f>SUM(C16:D16)</f>
        <v>0</v>
      </c>
      <c r="F16" s="68">
        <v>4000</v>
      </c>
      <c r="G16" s="69"/>
      <c r="H16" s="67">
        <f>SUM(F16:G16)</f>
        <v>4000</v>
      </c>
      <c r="I16" s="68"/>
      <c r="J16" s="58"/>
      <c r="K16" s="67">
        <f>SUM(I16:J16)</f>
        <v>0</v>
      </c>
      <c r="M16" s="70">
        <f t="shared" si="2"/>
        <v>4000</v>
      </c>
      <c r="N16" s="69">
        <f t="shared" si="2"/>
        <v>0</v>
      </c>
      <c r="O16" s="67">
        <f>SUM(M16:N16)</f>
        <v>4000</v>
      </c>
    </row>
    <row r="17" spans="1:15">
      <c r="A17" s="2"/>
      <c r="B17" s="74" t="s">
        <v>11</v>
      </c>
      <c r="C17" s="108">
        <f t="shared" ref="C17:K17" si="3">SUM(C13:C16)</f>
        <v>5182</v>
      </c>
      <c r="D17" s="109">
        <f t="shared" si="3"/>
        <v>0</v>
      </c>
      <c r="E17" s="102">
        <f t="shared" si="3"/>
        <v>5182</v>
      </c>
      <c r="F17" s="108">
        <f t="shared" si="3"/>
        <v>12848.666666666666</v>
      </c>
      <c r="G17" s="109">
        <f t="shared" si="3"/>
        <v>0</v>
      </c>
      <c r="H17" s="102">
        <f t="shared" si="3"/>
        <v>12848.666666666666</v>
      </c>
      <c r="I17" s="108">
        <f t="shared" si="3"/>
        <v>3666.666666666667</v>
      </c>
      <c r="J17" s="110">
        <f t="shared" si="3"/>
        <v>0</v>
      </c>
      <c r="K17" s="102">
        <f t="shared" si="3"/>
        <v>3666.666666666667</v>
      </c>
      <c r="M17" s="109">
        <f>SUM(M13:M16)</f>
        <v>21697.333333333332</v>
      </c>
      <c r="N17" s="109">
        <f>SUM(N13:N16)</f>
        <v>0</v>
      </c>
      <c r="O17" s="102">
        <f>SUM(O13:O16)</f>
        <v>21697.333333333332</v>
      </c>
    </row>
    <row r="18" spans="1:15">
      <c r="A18" s="3">
        <v>3</v>
      </c>
      <c r="B18" s="73" t="s">
        <v>8</v>
      </c>
      <c r="C18" s="104"/>
      <c r="D18" s="105"/>
      <c r="E18" s="106"/>
      <c r="F18" s="104"/>
      <c r="G18" s="105"/>
      <c r="H18" s="106"/>
      <c r="I18" s="104">
        <f>SUM(I15:I17)</f>
        <v>5333.3333333333339</v>
      </c>
      <c r="J18" s="107">
        <f>SUM(J15:J17)</f>
        <v>0</v>
      </c>
      <c r="K18" s="106"/>
      <c r="M18" s="105">
        <f t="shared" ref="M18:N22" si="4">SUM(C18,F18,I18)</f>
        <v>5333.3333333333339</v>
      </c>
      <c r="N18" s="105">
        <f t="shared" si="4"/>
        <v>0</v>
      </c>
      <c r="O18" s="106"/>
    </row>
    <row r="19" spans="1:15">
      <c r="A19" s="3">
        <v>3.1</v>
      </c>
      <c r="B19" s="75" t="s">
        <v>20</v>
      </c>
      <c r="C19" s="68">
        <f>((12000/25)*11)/5</f>
        <v>1056</v>
      </c>
      <c r="D19" s="66"/>
      <c r="E19" s="67">
        <f>SUM(C19:D19)</f>
        <v>1056</v>
      </c>
      <c r="F19" s="68">
        <f>((12000/25)*12)/5</f>
        <v>1152</v>
      </c>
      <c r="G19" s="66"/>
      <c r="H19" s="67">
        <f>SUM(F19:G19)</f>
        <v>1152</v>
      </c>
      <c r="I19" s="68">
        <f>((12000/25)*12)/5</f>
        <v>1152</v>
      </c>
      <c r="J19" s="49"/>
      <c r="K19" s="67">
        <f>SUM(I19:J19)</f>
        <v>1152</v>
      </c>
      <c r="M19" s="66">
        <f t="shared" si="4"/>
        <v>3360</v>
      </c>
      <c r="N19" s="66">
        <f t="shared" si="4"/>
        <v>0</v>
      </c>
      <c r="O19" s="67">
        <f>SUM(M19:N19)</f>
        <v>3360</v>
      </c>
    </row>
    <row r="20" spans="1:15">
      <c r="A20" s="47">
        <v>3.1</v>
      </c>
      <c r="B20" s="56" t="s">
        <v>6</v>
      </c>
      <c r="C20" s="48">
        <f>(15000/18*11)/6</f>
        <v>1527.7777777777781</v>
      </c>
      <c r="D20" s="49"/>
      <c r="E20" s="50">
        <f>SUM(C20:D20)</f>
        <v>1527.7777777777781</v>
      </c>
      <c r="F20" s="48">
        <f>(15000/18*7)/6</f>
        <v>972.22222222222229</v>
      </c>
      <c r="G20" s="49"/>
      <c r="H20" s="50">
        <f>SUM(F20:G20)</f>
        <v>972.22222222222229</v>
      </c>
      <c r="I20" s="48"/>
      <c r="J20" s="49"/>
      <c r="K20" s="50">
        <f>SUM(I20:J20)</f>
        <v>0</v>
      </c>
      <c r="M20" s="49">
        <f t="shared" si="4"/>
        <v>2500.0000000000005</v>
      </c>
      <c r="N20" s="49">
        <f t="shared" si="4"/>
        <v>0</v>
      </c>
      <c r="O20" s="50">
        <f>SUM(M20:N20)</f>
        <v>2500.0000000000005</v>
      </c>
    </row>
    <row r="21" spans="1:15">
      <c r="A21" s="47">
        <v>3.2</v>
      </c>
      <c r="B21" s="56" t="s">
        <v>58</v>
      </c>
      <c r="C21" s="48">
        <f>1*500</f>
        <v>500</v>
      </c>
      <c r="D21" s="49"/>
      <c r="E21" s="50">
        <f>SUM(C21:D21)</f>
        <v>500</v>
      </c>
      <c r="F21" s="48">
        <f>1*500</f>
        <v>500</v>
      </c>
      <c r="G21" s="49"/>
      <c r="H21" s="50">
        <f>SUM(F21:G21)</f>
        <v>500</v>
      </c>
      <c r="I21" s="48">
        <f>1*500</f>
        <v>500</v>
      </c>
      <c r="J21" s="49"/>
      <c r="K21" s="50">
        <f>SUM(I21:J21)</f>
        <v>500</v>
      </c>
      <c r="M21" s="49">
        <f>SUM(C21,F21,I21)</f>
        <v>1500</v>
      </c>
      <c r="N21" s="49">
        <f>SUM(D21,G21,J21)</f>
        <v>0</v>
      </c>
      <c r="O21" s="50">
        <f>SUM(M21:N21)</f>
        <v>1500</v>
      </c>
    </row>
    <row r="22" spans="1:15">
      <c r="A22" s="3">
        <v>3.2</v>
      </c>
      <c r="B22" s="75" t="s">
        <v>5</v>
      </c>
      <c r="C22" s="68">
        <f>((12000/25)*12)/5</f>
        <v>1152</v>
      </c>
      <c r="D22" s="66"/>
      <c r="E22" s="67">
        <f>SUM(C22:D22)</f>
        <v>1152</v>
      </c>
      <c r="F22" s="68">
        <f>((12000/25)*12)/5</f>
        <v>1152</v>
      </c>
      <c r="G22" s="66"/>
      <c r="H22" s="67">
        <f>SUM(F22:G22)</f>
        <v>1152</v>
      </c>
      <c r="I22" s="68">
        <f>((12000/25)*12)/5</f>
        <v>1152</v>
      </c>
      <c r="J22" s="49"/>
      <c r="K22" s="67">
        <f>SUM(I22:J22)</f>
        <v>1152</v>
      </c>
      <c r="M22" s="66">
        <f t="shared" si="4"/>
        <v>3456</v>
      </c>
      <c r="N22" s="66">
        <f t="shared" si="4"/>
        <v>0</v>
      </c>
      <c r="O22" s="66">
        <f>SUM(M22:N22)</f>
        <v>3456</v>
      </c>
    </row>
    <row r="23" spans="1:15">
      <c r="A23" s="2"/>
      <c r="B23" s="74" t="s">
        <v>12</v>
      </c>
      <c r="C23" s="108">
        <f t="shared" ref="C23:K23" si="5">SUM(C19:C22)</f>
        <v>4235.7777777777783</v>
      </c>
      <c r="D23" s="109">
        <f t="shared" si="5"/>
        <v>0</v>
      </c>
      <c r="E23" s="102">
        <f t="shared" si="5"/>
        <v>4235.7777777777783</v>
      </c>
      <c r="F23" s="108">
        <f t="shared" si="5"/>
        <v>3776.2222222222222</v>
      </c>
      <c r="G23" s="109">
        <f t="shared" si="5"/>
        <v>0</v>
      </c>
      <c r="H23" s="102">
        <f t="shared" si="5"/>
        <v>3776.2222222222222</v>
      </c>
      <c r="I23" s="108">
        <f t="shared" si="5"/>
        <v>2804</v>
      </c>
      <c r="J23" s="110">
        <f t="shared" si="5"/>
        <v>0</v>
      </c>
      <c r="K23" s="102">
        <f t="shared" si="5"/>
        <v>2804</v>
      </c>
      <c r="M23" s="109">
        <f>SUM(M19:M22)</f>
        <v>10816</v>
      </c>
      <c r="N23" s="109">
        <f>SUM(N19:N22)</f>
        <v>0</v>
      </c>
      <c r="O23" s="102">
        <f>SUM(O19:O22)</f>
        <v>10816</v>
      </c>
    </row>
    <row r="24" spans="1:15">
      <c r="A24" s="3">
        <v>4</v>
      </c>
      <c r="B24" s="289" t="s">
        <v>149</v>
      </c>
      <c r="C24" s="104"/>
      <c r="D24" s="105"/>
      <c r="E24" s="106"/>
      <c r="F24" s="104"/>
      <c r="G24" s="105"/>
      <c r="H24" s="106"/>
      <c r="I24" s="104"/>
      <c r="J24" s="107"/>
      <c r="K24" s="106"/>
      <c r="M24" s="105"/>
      <c r="N24" s="105"/>
      <c r="O24" s="106"/>
    </row>
    <row r="25" spans="1:15" s="45" customFormat="1">
      <c r="A25" s="3"/>
      <c r="B25" s="190"/>
      <c r="C25" s="62"/>
      <c r="D25" s="63"/>
      <c r="E25" s="64"/>
      <c r="F25" s="62"/>
      <c r="G25" s="63"/>
      <c r="H25" s="64"/>
      <c r="I25" s="62"/>
      <c r="J25" s="98"/>
      <c r="K25" s="64"/>
      <c r="L25" s="99"/>
      <c r="M25" s="63"/>
      <c r="N25" s="97"/>
      <c r="O25" s="64"/>
    </row>
    <row r="26" spans="1:15">
      <c r="A26" s="2"/>
      <c r="B26" s="74" t="s">
        <v>13</v>
      </c>
      <c r="C26" s="108">
        <f t="shared" ref="C26:K26" si="6">SUM(C25:C25)</f>
        <v>0</v>
      </c>
      <c r="D26" s="109">
        <f t="shared" si="6"/>
        <v>0</v>
      </c>
      <c r="E26" s="102">
        <f t="shared" si="6"/>
        <v>0</v>
      </c>
      <c r="F26" s="108">
        <f t="shared" si="6"/>
        <v>0</v>
      </c>
      <c r="G26" s="109">
        <f t="shared" si="6"/>
        <v>0</v>
      </c>
      <c r="H26" s="102">
        <f t="shared" si="6"/>
        <v>0</v>
      </c>
      <c r="I26" s="108">
        <f t="shared" si="6"/>
        <v>0</v>
      </c>
      <c r="J26" s="110">
        <f t="shared" si="6"/>
        <v>0</v>
      </c>
      <c r="K26" s="102">
        <f t="shared" si="6"/>
        <v>0</v>
      </c>
      <c r="M26" s="109">
        <f>SUM(M25:M25)</f>
        <v>0</v>
      </c>
      <c r="N26" s="109">
        <f>SUM(N25:N25)</f>
        <v>0</v>
      </c>
      <c r="O26" s="102">
        <f>SUM(O25:O25)</f>
        <v>0</v>
      </c>
    </row>
    <row r="27" spans="1:15" s="5" customFormat="1">
      <c r="A27" s="4"/>
      <c r="B27" s="78"/>
      <c r="C27" s="114"/>
      <c r="D27" s="115"/>
      <c r="E27" s="116"/>
      <c r="F27" s="114"/>
      <c r="G27" s="115"/>
      <c r="H27" s="116"/>
      <c r="I27" s="114"/>
      <c r="J27" s="117"/>
      <c r="K27" s="116"/>
      <c r="L27" s="118"/>
      <c r="M27" s="115"/>
      <c r="N27" s="115"/>
      <c r="O27" s="116"/>
    </row>
    <row r="28" spans="1:15" s="45" customFormat="1">
      <c r="A28" s="3">
        <v>5</v>
      </c>
      <c r="B28" s="56" t="s">
        <v>147</v>
      </c>
      <c r="C28" s="62">
        <f>C39*0.085</f>
        <v>1444.8536111111111</v>
      </c>
      <c r="D28" s="63">
        <f>D42*0.085</f>
        <v>0</v>
      </c>
      <c r="E28" s="64">
        <f>SUM(C28:D28)</f>
        <v>1444.8536111111111</v>
      </c>
      <c r="F28" s="62">
        <f>F39*0.085</f>
        <v>1866.4488888888891</v>
      </c>
      <c r="G28" s="63">
        <f>G42*0.085</f>
        <v>0</v>
      </c>
      <c r="H28" s="64">
        <f>SUM(F28:G28)</f>
        <v>1866.4488888888891</v>
      </c>
      <c r="I28" s="62">
        <f>I39*0.085</f>
        <v>1003.34</v>
      </c>
      <c r="J28" s="63">
        <f>J42*0.085</f>
        <v>0</v>
      </c>
      <c r="K28" s="64">
        <f>SUM(I28:J28)</f>
        <v>1003.34</v>
      </c>
      <c r="L28" s="99"/>
      <c r="M28" s="63">
        <f>SUM(C28,F28,I28)</f>
        <v>4314.6424999999999</v>
      </c>
      <c r="N28" s="97">
        <f>SUM(D28,G28,J28)</f>
        <v>0</v>
      </c>
      <c r="O28" s="64">
        <f>SUM(M28:N28)</f>
        <v>4314.6424999999999</v>
      </c>
    </row>
    <row r="29" spans="1:15" s="45" customFormat="1">
      <c r="A29" s="3"/>
      <c r="B29" s="75"/>
      <c r="C29" s="207"/>
      <c r="D29" s="208"/>
      <c r="E29" s="209"/>
      <c r="F29" s="207"/>
      <c r="G29" s="208"/>
      <c r="H29" s="209"/>
      <c r="I29" s="207"/>
      <c r="J29" s="210"/>
      <c r="K29" s="209"/>
      <c r="L29" s="99"/>
      <c r="M29" s="63"/>
      <c r="N29" s="97"/>
      <c r="O29" s="211"/>
    </row>
    <row r="30" spans="1:15" ht="13.5" thickBot="1">
      <c r="A30" s="2"/>
      <c r="B30" s="74" t="s">
        <v>24</v>
      </c>
      <c r="C30" s="119">
        <f t="shared" ref="C30:K30" si="7">SUM(C11,C17,C23,C26,C28)</f>
        <v>18443.131388888887</v>
      </c>
      <c r="D30" s="120">
        <f t="shared" si="7"/>
        <v>0</v>
      </c>
      <c r="E30" s="121">
        <f t="shared" si="7"/>
        <v>18443.131388888887</v>
      </c>
      <c r="F30" s="119">
        <f t="shared" si="7"/>
        <v>23824.671111111111</v>
      </c>
      <c r="G30" s="120">
        <f t="shared" si="7"/>
        <v>0</v>
      </c>
      <c r="H30" s="121">
        <f t="shared" si="7"/>
        <v>23824.671111111111</v>
      </c>
      <c r="I30" s="119">
        <f t="shared" si="7"/>
        <v>12807.34</v>
      </c>
      <c r="J30" s="122">
        <f t="shared" si="7"/>
        <v>0</v>
      </c>
      <c r="K30" s="123">
        <f t="shared" si="7"/>
        <v>12807.34</v>
      </c>
      <c r="M30" s="109">
        <f>SUM(M11,M17,M23,M26,M28)</f>
        <v>55075.142500000002</v>
      </c>
      <c r="N30" s="109">
        <f>SUM(N11,N17,N23,N26,N28)</f>
        <v>0</v>
      </c>
      <c r="O30" s="124">
        <f>SUM(O11,O17,O23,O26,O28)</f>
        <v>55075.142500000002</v>
      </c>
    </row>
    <row r="31" spans="1:15">
      <c r="A31" s="1"/>
      <c r="B31" s="79"/>
      <c r="C31" s="125" t="s">
        <v>26</v>
      </c>
      <c r="D31" s="125" t="s">
        <v>18</v>
      </c>
      <c r="E31" s="126" t="s">
        <v>9</v>
      </c>
      <c r="F31" s="126"/>
      <c r="G31" s="126"/>
      <c r="H31" s="126"/>
      <c r="I31" s="126"/>
      <c r="J31" s="110"/>
      <c r="K31" s="126"/>
      <c r="M31" s="126"/>
      <c r="N31" s="109"/>
      <c r="O31" s="126"/>
    </row>
    <row r="32" spans="1:15">
      <c r="A32" s="1"/>
      <c r="B32" s="80" t="s">
        <v>14</v>
      </c>
      <c r="C32" s="127">
        <f>SUM(+C23+C17+C11+C26+C28)</f>
        <v>18443.131388888887</v>
      </c>
      <c r="D32" s="127">
        <f>SUM(+D23+D17+D11+D26+D28)</f>
        <v>0</v>
      </c>
      <c r="E32" s="127">
        <f>SUM(C32:D32)</f>
        <v>18443.131388888887</v>
      </c>
      <c r="F32" s="127"/>
      <c r="G32" s="127"/>
      <c r="H32" s="127">
        <f>SUM(F32:G32)</f>
        <v>0</v>
      </c>
      <c r="I32" s="127"/>
      <c r="J32" s="128"/>
      <c r="K32" s="127">
        <f>SUM(I32:J32)</f>
        <v>0</v>
      </c>
      <c r="M32" s="127"/>
      <c r="N32" s="127"/>
      <c r="O32" s="127">
        <f>SUM(M32:N32)</f>
        <v>0</v>
      </c>
    </row>
    <row r="33" spans="1:15">
      <c r="A33" s="1"/>
      <c r="B33" s="80" t="s">
        <v>15</v>
      </c>
      <c r="C33" s="127">
        <f>SUM(F26+F23+F17+F11+F28)</f>
        <v>23824.671111111107</v>
      </c>
      <c r="D33" s="127">
        <f>SUM(G26+G23+G17+G11+G28)</f>
        <v>0</v>
      </c>
      <c r="E33" s="127">
        <f>SUM(C33:D33)</f>
        <v>23824.671111111107</v>
      </c>
      <c r="F33" s="129"/>
      <c r="G33" s="129"/>
      <c r="H33" s="127">
        <f>SUM(F33:G33)</f>
        <v>0</v>
      </c>
      <c r="I33" s="129"/>
      <c r="J33" s="130"/>
      <c r="K33" s="127">
        <f>SUM(I33:J33)</f>
        <v>0</v>
      </c>
      <c r="M33" s="129"/>
      <c r="N33" s="129"/>
      <c r="O33" s="127">
        <f>SUM(M33:N33)</f>
        <v>0</v>
      </c>
    </row>
    <row r="34" spans="1:15">
      <c r="A34" s="1"/>
      <c r="B34" s="80" t="s">
        <v>16</v>
      </c>
      <c r="C34" s="127">
        <f>SUM(I26+I23+I17+I11+I28)</f>
        <v>12807.34</v>
      </c>
      <c r="D34" s="127">
        <f>SUM(J26+J23+J17+J11+J28)</f>
        <v>0</v>
      </c>
      <c r="E34" s="127">
        <f>SUM(C34:D34)</f>
        <v>12807.34</v>
      </c>
      <c r="F34" s="129"/>
      <c r="G34" s="129"/>
      <c r="H34" s="127">
        <f>SUM(F34:G34)</f>
        <v>0</v>
      </c>
      <c r="I34" s="129"/>
      <c r="J34" s="130"/>
      <c r="K34" s="127">
        <f>SUM(I34:J34)</f>
        <v>0</v>
      </c>
      <c r="M34" s="129"/>
      <c r="N34" s="129"/>
      <c r="O34" s="127">
        <f>SUM(M34:N34)</f>
        <v>0</v>
      </c>
    </row>
    <row r="35" spans="1:15" s="7" customFormat="1">
      <c r="A35" s="37"/>
      <c r="B35" s="80" t="s">
        <v>17</v>
      </c>
      <c r="C35" s="131">
        <f>SUM(C32:C34)</f>
        <v>55075.142499999987</v>
      </c>
      <c r="D35" s="131">
        <f>SUM(D32:D34)</f>
        <v>0</v>
      </c>
      <c r="E35" s="131">
        <f>SUM(C35:D35)</f>
        <v>55075.142499999987</v>
      </c>
      <c r="F35" s="132"/>
      <c r="G35" s="132"/>
      <c r="H35" s="131">
        <f>SUM(F35:G35)</f>
        <v>0</v>
      </c>
      <c r="I35" s="132"/>
      <c r="J35" s="133"/>
      <c r="K35" s="131">
        <f>SUM(I35:J35)</f>
        <v>0</v>
      </c>
      <c r="L35" s="134"/>
      <c r="M35" s="132"/>
      <c r="N35" s="132"/>
      <c r="O35" s="131">
        <f>SUM(M35:N35)</f>
        <v>0</v>
      </c>
    </row>
    <row r="37" spans="1:15">
      <c r="C37" s="135">
        <f t="shared" ref="C37:K37" si="8">C28/(C26+C23+C17+C11)</f>
        <v>8.5000000000000006E-2</v>
      </c>
      <c r="D37" s="135">
        <v>0</v>
      </c>
      <c r="E37" s="135">
        <f t="shared" si="8"/>
        <v>8.5000000000000006E-2</v>
      </c>
      <c r="F37" s="135">
        <f t="shared" si="8"/>
        <v>8.500000000000002E-2</v>
      </c>
      <c r="G37" s="135">
        <v>0</v>
      </c>
      <c r="H37" s="135">
        <f t="shared" si="8"/>
        <v>8.500000000000002E-2</v>
      </c>
      <c r="I37" s="135">
        <f t="shared" si="8"/>
        <v>8.5000000000000006E-2</v>
      </c>
      <c r="J37" s="136">
        <v>0</v>
      </c>
      <c r="K37" s="135">
        <f t="shared" si="8"/>
        <v>8.5000000000000006E-2</v>
      </c>
      <c r="M37" s="135">
        <f>M28/(M26+M23+M17+M11)</f>
        <v>8.4999999999999992E-2</v>
      </c>
      <c r="N37" s="135">
        <v>0</v>
      </c>
      <c r="O37" s="135">
        <f>O28/(O26+O23+O17+O11)</f>
        <v>8.4999999999999992E-2</v>
      </c>
    </row>
    <row r="39" spans="1:15" ht="22.5">
      <c r="B39" s="81" t="s">
        <v>22</v>
      </c>
      <c r="C39" s="137">
        <f t="shared" ref="C39:K39" si="9">SUM(C11,C17,C23,C26)</f>
        <v>16998.277777777777</v>
      </c>
      <c r="D39" s="137">
        <f>D49*0.075</f>
        <v>0</v>
      </c>
      <c r="E39" s="137">
        <f t="shared" si="9"/>
        <v>16998.277777777777</v>
      </c>
      <c r="F39" s="137">
        <f t="shared" si="9"/>
        <v>21958.222222222223</v>
      </c>
      <c r="G39" s="137">
        <f t="shared" si="9"/>
        <v>0</v>
      </c>
      <c r="H39" s="137">
        <f t="shared" si="9"/>
        <v>21958.222222222223</v>
      </c>
      <c r="I39" s="137">
        <f t="shared" si="9"/>
        <v>11804</v>
      </c>
      <c r="J39" s="137">
        <f t="shared" si="9"/>
        <v>0</v>
      </c>
      <c r="K39" s="137">
        <f t="shared" si="9"/>
        <v>11804</v>
      </c>
      <c r="M39" s="137">
        <f>SUM(M11,M17,M23,M26)</f>
        <v>50760.5</v>
      </c>
      <c r="N39" s="137">
        <f>SUM(N11,N17,N23,N26)</f>
        <v>0</v>
      </c>
      <c r="O39" s="137">
        <f>SUM(O11,O17,O23,O26)</f>
        <v>50760.5</v>
      </c>
    </row>
    <row r="40" spans="1:15" s="6" customFormat="1">
      <c r="B40" s="82"/>
      <c r="C40" s="139"/>
      <c r="D40" s="139"/>
      <c r="E40" s="139"/>
      <c r="F40" s="139"/>
      <c r="G40" s="139"/>
      <c r="H40" s="139"/>
      <c r="I40" s="139"/>
      <c r="J40" s="71"/>
      <c r="K40" s="139"/>
      <c r="L40" s="71"/>
      <c r="M40" s="139"/>
      <c r="N40" s="139"/>
      <c r="O40" s="139"/>
    </row>
    <row r="42" spans="1:15">
      <c r="M42" s="140"/>
    </row>
  </sheetData>
  <mergeCells count="5">
    <mergeCell ref="D1:L1"/>
    <mergeCell ref="M5:O5"/>
    <mergeCell ref="C5:E5"/>
    <mergeCell ref="F5:H5"/>
    <mergeCell ref="I5:K5"/>
  </mergeCells>
  <phoneticPr fontId="3" type="noConversion"/>
  <pageMargins left="0.75" right="0.75" top="1" bottom="1" header="0" footer="0"/>
  <pageSetup paperSize="9" scale="57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2"/>
  <sheetViews>
    <sheetView topLeftCell="B16" workbookViewId="0">
      <selection activeCell="C39" sqref="C39"/>
    </sheetView>
  </sheetViews>
  <sheetFormatPr defaultRowHeight="12.75"/>
  <cols>
    <col min="1" max="1" width="3.85546875" customWidth="1"/>
    <col min="2" max="2" width="32.7109375" style="59" customWidth="1"/>
    <col min="3" max="3" width="8.85546875" style="83" customWidth="1"/>
    <col min="4" max="4" width="8" style="83" customWidth="1"/>
    <col min="5" max="5" width="9.5703125" style="83" customWidth="1"/>
    <col min="6" max="6" width="9.140625" style="83"/>
    <col min="7" max="7" width="10" style="83" customWidth="1"/>
    <col min="8" max="8" width="9" style="83" customWidth="1"/>
    <col min="9" max="9" width="9.42578125" style="83" customWidth="1"/>
    <col min="10" max="10" width="7.140625" style="53" customWidth="1"/>
    <col min="11" max="11" width="9.42578125" style="83" customWidth="1"/>
    <col min="12" max="12" width="2.5703125" style="53" customWidth="1"/>
    <col min="13" max="13" width="9.5703125" style="83" customWidth="1"/>
    <col min="14" max="14" width="7.85546875" style="83" customWidth="1"/>
    <col min="15" max="15" width="9.42578125" style="83" customWidth="1"/>
  </cols>
  <sheetData>
    <row r="1" spans="1:16">
      <c r="B1" s="7" t="s">
        <v>153</v>
      </c>
      <c r="C1" s="7" t="s">
        <v>130</v>
      </c>
      <c r="D1" s="300" t="s">
        <v>27</v>
      </c>
      <c r="E1" s="300"/>
      <c r="F1" s="300"/>
      <c r="G1" s="300"/>
      <c r="H1" s="300"/>
      <c r="I1" s="300"/>
      <c r="J1" s="300"/>
      <c r="K1" s="300"/>
      <c r="L1" s="300"/>
      <c r="M1"/>
      <c r="N1"/>
      <c r="O1"/>
    </row>
    <row r="2" spans="1:16">
      <c r="B2" s="292" t="s">
        <v>152</v>
      </c>
      <c r="C2" s="293" t="s">
        <v>45</v>
      </c>
    </row>
    <row r="4" spans="1:16" ht="13.5" thickBot="1"/>
    <row r="5" spans="1:16" s="186" customFormat="1">
      <c r="A5" s="295"/>
      <c r="B5" s="296"/>
      <c r="C5" s="310" t="s">
        <v>28</v>
      </c>
      <c r="D5" s="311"/>
      <c r="E5" s="312"/>
      <c r="F5" s="313" t="s">
        <v>31</v>
      </c>
      <c r="G5" s="314"/>
      <c r="H5" s="315"/>
      <c r="I5" s="316" t="s">
        <v>32</v>
      </c>
      <c r="J5" s="317"/>
      <c r="K5" s="318"/>
      <c r="L5" s="184"/>
      <c r="M5" s="307" t="s">
        <v>23</v>
      </c>
      <c r="N5" s="308"/>
      <c r="O5" s="309"/>
    </row>
    <row r="6" spans="1:16">
      <c r="A6" s="2"/>
      <c r="B6" s="72" t="s">
        <v>0</v>
      </c>
      <c r="C6" s="84" t="s">
        <v>26</v>
      </c>
      <c r="D6" s="85" t="s">
        <v>1</v>
      </c>
      <c r="E6" s="86" t="s">
        <v>9</v>
      </c>
      <c r="F6" s="84" t="s">
        <v>26</v>
      </c>
      <c r="G6" s="85" t="s">
        <v>1</v>
      </c>
      <c r="H6" s="86" t="s">
        <v>9</v>
      </c>
      <c r="I6" s="84" t="s">
        <v>26</v>
      </c>
      <c r="J6" s="87" t="s">
        <v>1</v>
      </c>
      <c r="K6" s="88" t="s">
        <v>9</v>
      </c>
      <c r="M6" s="85" t="s">
        <v>26</v>
      </c>
      <c r="N6" s="85" t="s">
        <v>1</v>
      </c>
      <c r="O6" s="89" t="s">
        <v>9</v>
      </c>
    </row>
    <row r="7" spans="1:16">
      <c r="A7" s="3">
        <v>1</v>
      </c>
      <c r="B7" s="73" t="s">
        <v>144</v>
      </c>
      <c r="C7" s="90"/>
      <c r="D7" s="91"/>
      <c r="E7" s="92"/>
      <c r="F7" s="93"/>
      <c r="G7" s="91"/>
      <c r="H7" s="92"/>
      <c r="I7" s="93"/>
      <c r="J7" s="94"/>
      <c r="K7" s="92"/>
      <c r="M7" s="91"/>
      <c r="N7" s="95"/>
      <c r="O7" s="91"/>
    </row>
    <row r="8" spans="1:16" s="45" customFormat="1" ht="22.5">
      <c r="A8" s="3">
        <v>1.1000000000000001</v>
      </c>
      <c r="B8" s="56" t="s">
        <v>33</v>
      </c>
      <c r="C8" s="96">
        <f>(28443/6)*1</f>
        <v>4740.5</v>
      </c>
      <c r="D8" s="97"/>
      <c r="E8" s="64">
        <f>SUM(C8:D8)</f>
        <v>4740.5</v>
      </c>
      <c r="F8" s="62">
        <f>(20000/6)*1</f>
        <v>3333.3333333333335</v>
      </c>
      <c r="G8" s="97"/>
      <c r="H8" s="64">
        <f>SUM(F8:G8)</f>
        <v>3333.3333333333335</v>
      </c>
      <c r="I8" s="62">
        <f>(20000/6)*1</f>
        <v>3333.3333333333335</v>
      </c>
      <c r="J8" s="98"/>
      <c r="K8" s="64">
        <f>SUM(I8:J8)</f>
        <v>3333.3333333333335</v>
      </c>
      <c r="L8" s="99"/>
      <c r="M8" s="63">
        <f t="shared" ref="M8:N10" si="0">SUM(C8,F8,I8)</f>
        <v>11407.166666666668</v>
      </c>
      <c r="N8" s="97">
        <f t="shared" si="0"/>
        <v>0</v>
      </c>
      <c r="O8" s="63">
        <f>SUM(M8:N8)</f>
        <v>11407.166666666668</v>
      </c>
      <c r="P8" s="45" t="s">
        <v>34</v>
      </c>
    </row>
    <row r="9" spans="1:16" s="45" customFormat="1" ht="22.5">
      <c r="A9" s="3">
        <v>1.3000000000000003</v>
      </c>
      <c r="B9" s="56" t="s">
        <v>103</v>
      </c>
      <c r="C9" s="96">
        <f>4200/5</f>
        <v>840</v>
      </c>
      <c r="D9" s="63"/>
      <c r="E9" s="64">
        <f>SUM(C9:D9)</f>
        <v>840</v>
      </c>
      <c r="F9" s="62"/>
      <c r="G9" s="63"/>
      <c r="H9" s="64">
        <f>SUM(F9:G9)</f>
        <v>0</v>
      </c>
      <c r="I9" s="62"/>
      <c r="J9" s="100"/>
      <c r="K9" s="64">
        <f>SUM(I9:J9)</f>
        <v>0</v>
      </c>
      <c r="L9" s="99"/>
      <c r="M9" s="63">
        <f t="shared" si="0"/>
        <v>840</v>
      </c>
      <c r="N9" s="63">
        <f t="shared" si="0"/>
        <v>0</v>
      </c>
      <c r="O9" s="63">
        <f>SUM(M9:N9)</f>
        <v>840</v>
      </c>
    </row>
    <row r="10" spans="1:16" s="45" customFormat="1">
      <c r="A10" s="3">
        <v>1.5000000000000004</v>
      </c>
      <c r="B10" s="56" t="s">
        <v>56</v>
      </c>
      <c r="C10" s="62">
        <f>(3000/6)*1+(9000/6)*1</f>
        <v>2000</v>
      </c>
      <c r="D10" s="63"/>
      <c r="E10" s="64">
        <f>SUM(C10:D10)</f>
        <v>2000</v>
      </c>
      <c r="F10" s="62">
        <f>(12000/6)*1</f>
        <v>2000</v>
      </c>
      <c r="G10" s="63"/>
      <c r="H10" s="64">
        <f>SUM(F10:G10)</f>
        <v>2000</v>
      </c>
      <c r="I10" s="62">
        <f>(12000/6)*1</f>
        <v>2000</v>
      </c>
      <c r="J10" s="100"/>
      <c r="K10" s="64">
        <f>SUM(I10:J10)</f>
        <v>2000</v>
      </c>
      <c r="L10" s="99"/>
      <c r="M10" s="63">
        <f t="shared" si="0"/>
        <v>6000</v>
      </c>
      <c r="N10" s="63">
        <f t="shared" si="0"/>
        <v>0</v>
      </c>
      <c r="O10" s="63">
        <f>SUM(M10:N10)</f>
        <v>6000</v>
      </c>
    </row>
    <row r="11" spans="1:16">
      <c r="A11" s="2"/>
      <c r="B11" s="74" t="s">
        <v>10</v>
      </c>
      <c r="C11" s="101">
        <f t="shared" ref="C11:K11" si="1">SUM(C7:C10)</f>
        <v>7580.5</v>
      </c>
      <c r="D11" s="89">
        <f t="shared" si="1"/>
        <v>0</v>
      </c>
      <c r="E11" s="102">
        <f t="shared" si="1"/>
        <v>7580.5</v>
      </c>
      <c r="F11" s="101">
        <f t="shared" si="1"/>
        <v>5333.3333333333339</v>
      </c>
      <c r="G11" s="89">
        <f t="shared" si="1"/>
        <v>0</v>
      </c>
      <c r="H11" s="102">
        <f t="shared" si="1"/>
        <v>5333.3333333333339</v>
      </c>
      <c r="I11" s="101">
        <f t="shared" si="1"/>
        <v>5333.3333333333339</v>
      </c>
      <c r="J11" s="103">
        <f t="shared" si="1"/>
        <v>0</v>
      </c>
      <c r="K11" s="102">
        <f t="shared" si="1"/>
        <v>5333.3333333333339</v>
      </c>
      <c r="M11" s="89">
        <f>SUM(M7:M10)</f>
        <v>18247.166666666668</v>
      </c>
      <c r="N11" s="89">
        <f>SUM(N7:N10)</f>
        <v>0</v>
      </c>
      <c r="O11" s="102">
        <f>SUM(O7:O10)</f>
        <v>18247.166666666668</v>
      </c>
    </row>
    <row r="12" spans="1:16">
      <c r="A12" s="3">
        <v>2</v>
      </c>
      <c r="B12" s="73" t="s">
        <v>21</v>
      </c>
      <c r="C12" s="104"/>
      <c r="D12" s="105"/>
      <c r="E12" s="106"/>
      <c r="F12" s="104"/>
      <c r="G12" s="105"/>
      <c r="H12" s="106"/>
      <c r="I12" s="104"/>
      <c r="J12" s="107"/>
      <c r="K12" s="106"/>
      <c r="M12" s="105"/>
      <c r="N12" s="105"/>
      <c r="O12" s="106"/>
    </row>
    <row r="13" spans="1:16" s="61" customFormat="1">
      <c r="A13" s="55">
        <v>2.1</v>
      </c>
      <c r="B13" s="56" t="s">
        <v>57</v>
      </c>
      <c r="C13" s="62">
        <f>1000*2</f>
        <v>2000</v>
      </c>
      <c r="D13" s="63"/>
      <c r="E13" s="64">
        <f>SUM(C13:D13)</f>
        <v>2000</v>
      </c>
      <c r="F13" s="62">
        <f>1000*2</f>
        <v>2000</v>
      </c>
      <c r="G13" s="63"/>
      <c r="H13" s="64">
        <f>SUM(F13:G13)</f>
        <v>2000</v>
      </c>
      <c r="I13" s="62">
        <f>1000*2</f>
        <v>2000</v>
      </c>
      <c r="J13" s="60"/>
      <c r="K13" s="64">
        <f>SUM(I13:J13)</f>
        <v>2000</v>
      </c>
      <c r="M13" s="63">
        <f t="shared" ref="M13:N16" si="2">SUM(C13,F13,I13)</f>
        <v>6000</v>
      </c>
      <c r="N13" s="63">
        <f t="shared" si="2"/>
        <v>0</v>
      </c>
      <c r="O13" s="63">
        <f>SUM(M13:N13)</f>
        <v>6000</v>
      </c>
      <c r="P13" s="61" t="s">
        <v>35</v>
      </c>
    </row>
    <row r="14" spans="1:16" s="61" customFormat="1" ht="22.5">
      <c r="A14" s="55">
        <v>2.2000000000000002</v>
      </c>
      <c r="B14" s="56" t="s">
        <v>36</v>
      </c>
      <c r="C14" s="62">
        <f ca="1">'BP Training Albania'!$G$47</f>
        <v>4352</v>
      </c>
      <c r="D14" s="63"/>
      <c r="E14" s="64">
        <f ca="1">SUM(C14:D14)</f>
        <v>4352</v>
      </c>
      <c r="F14" s="62">
        <f ca="1">'BP Training Albania'!$G$47</f>
        <v>4352</v>
      </c>
      <c r="G14" s="63"/>
      <c r="H14" s="64">
        <f>SUM(F14:G14)</f>
        <v>4352</v>
      </c>
      <c r="I14" s="62"/>
      <c r="J14" s="60"/>
      <c r="K14" s="64">
        <f>SUM(I14:J14)</f>
        <v>0</v>
      </c>
      <c r="M14" s="63">
        <f t="shared" si="2"/>
        <v>8704</v>
      </c>
      <c r="N14" s="63">
        <f t="shared" si="2"/>
        <v>0</v>
      </c>
      <c r="O14" s="63">
        <f>SUM(M14:N14)</f>
        <v>8704</v>
      </c>
      <c r="P14" s="61" t="s">
        <v>37</v>
      </c>
    </row>
    <row r="15" spans="1:16" s="61" customFormat="1">
      <c r="A15" s="55">
        <v>2.4</v>
      </c>
      <c r="B15" s="56" t="s">
        <v>7</v>
      </c>
      <c r="C15" s="62"/>
      <c r="D15" s="63"/>
      <c r="E15" s="64">
        <f>SUM(C15:D15)</f>
        <v>0</v>
      </c>
      <c r="F15" s="62">
        <f>(10000/6)*1</f>
        <v>1666.6666666666667</v>
      </c>
      <c r="G15" s="63"/>
      <c r="H15" s="64">
        <f>SUM(F15:G15)</f>
        <v>1666.6666666666667</v>
      </c>
      <c r="I15" s="62">
        <f>(10000/6)*1</f>
        <v>1666.6666666666667</v>
      </c>
      <c r="J15" s="60"/>
      <c r="K15" s="64">
        <f>SUM(I15:J15)</f>
        <v>1666.6666666666667</v>
      </c>
      <c r="M15" s="63">
        <f t="shared" si="2"/>
        <v>3333.3333333333335</v>
      </c>
      <c r="N15" s="63">
        <f t="shared" si="2"/>
        <v>0</v>
      </c>
      <c r="O15" s="63">
        <f>SUM(M15:N15)</f>
        <v>3333.3333333333335</v>
      </c>
    </row>
    <row r="16" spans="1:16" s="59" customFormat="1" ht="33.75">
      <c r="A16" s="55">
        <v>2.5</v>
      </c>
      <c r="B16" s="56" t="s">
        <v>47</v>
      </c>
      <c r="C16" s="65"/>
      <c r="D16" s="66"/>
      <c r="E16" s="67">
        <f>SUM(C16:D16)</f>
        <v>0</v>
      </c>
      <c r="F16" s="68">
        <v>4000</v>
      </c>
      <c r="G16" s="69"/>
      <c r="H16" s="67">
        <f>SUM(F16:G16)</f>
        <v>4000</v>
      </c>
      <c r="I16" s="68"/>
      <c r="J16" s="58"/>
      <c r="K16" s="67">
        <f>SUM(I16:J16)</f>
        <v>0</v>
      </c>
      <c r="M16" s="70">
        <f t="shared" si="2"/>
        <v>4000</v>
      </c>
      <c r="N16" s="69">
        <f t="shared" si="2"/>
        <v>0</v>
      </c>
      <c r="O16" s="67">
        <f>SUM(M16:N16)</f>
        <v>4000</v>
      </c>
    </row>
    <row r="17" spans="1:15">
      <c r="A17" s="2"/>
      <c r="B17" s="74" t="s">
        <v>11</v>
      </c>
      <c r="C17" s="108">
        <f t="shared" ref="C17:K17" si="3">SUM(C13:C16)</f>
        <v>6352</v>
      </c>
      <c r="D17" s="109">
        <f t="shared" si="3"/>
        <v>0</v>
      </c>
      <c r="E17" s="102">
        <f t="shared" si="3"/>
        <v>6352</v>
      </c>
      <c r="F17" s="108">
        <f t="shared" si="3"/>
        <v>12018.666666666668</v>
      </c>
      <c r="G17" s="109">
        <f t="shared" si="3"/>
        <v>0</v>
      </c>
      <c r="H17" s="102">
        <f t="shared" si="3"/>
        <v>12018.666666666668</v>
      </c>
      <c r="I17" s="108">
        <f t="shared" si="3"/>
        <v>3666.666666666667</v>
      </c>
      <c r="J17" s="110">
        <f t="shared" si="3"/>
        <v>0</v>
      </c>
      <c r="K17" s="102">
        <f t="shared" si="3"/>
        <v>3666.666666666667</v>
      </c>
      <c r="M17" s="109">
        <f>SUM(M13:M16)</f>
        <v>22037.333333333332</v>
      </c>
      <c r="N17" s="109">
        <f>SUM(N13:N16)</f>
        <v>0</v>
      </c>
      <c r="O17" s="102">
        <f>SUM(O13:O16)</f>
        <v>22037.333333333332</v>
      </c>
    </row>
    <row r="18" spans="1:15">
      <c r="A18" s="3">
        <v>3</v>
      </c>
      <c r="B18" s="73" t="s">
        <v>8</v>
      </c>
      <c r="C18" s="104"/>
      <c r="D18" s="105"/>
      <c r="E18" s="106"/>
      <c r="F18" s="104"/>
      <c r="G18" s="105"/>
      <c r="H18" s="106"/>
      <c r="I18" s="104">
        <f>SUM(I15:I17)</f>
        <v>5333.3333333333339</v>
      </c>
      <c r="J18" s="107">
        <f>SUM(J15:J17)</f>
        <v>0</v>
      </c>
      <c r="K18" s="106"/>
      <c r="M18" s="105">
        <f t="shared" ref="M18:N22" si="4">SUM(C18,F18,I18)</f>
        <v>5333.3333333333339</v>
      </c>
      <c r="N18" s="105">
        <f t="shared" si="4"/>
        <v>0</v>
      </c>
      <c r="O18" s="106"/>
    </row>
    <row r="19" spans="1:15">
      <c r="A19" s="3">
        <v>3.1</v>
      </c>
      <c r="B19" s="75" t="s">
        <v>20</v>
      </c>
      <c r="C19" s="68">
        <f>((12000/25)*11)/5</f>
        <v>1056</v>
      </c>
      <c r="D19" s="66"/>
      <c r="E19" s="67">
        <f>SUM(C19:D19)</f>
        <v>1056</v>
      </c>
      <c r="F19" s="68">
        <f>((12000/25)*12)/5</f>
        <v>1152</v>
      </c>
      <c r="G19" s="66"/>
      <c r="H19" s="67">
        <f>SUM(F19:G19)</f>
        <v>1152</v>
      </c>
      <c r="I19" s="68">
        <f>((12000/25)*12)/5</f>
        <v>1152</v>
      </c>
      <c r="J19" s="49"/>
      <c r="K19" s="67">
        <f>SUM(I19:J19)</f>
        <v>1152</v>
      </c>
      <c r="M19" s="66">
        <f t="shared" si="4"/>
        <v>3360</v>
      </c>
      <c r="N19" s="66">
        <f t="shared" si="4"/>
        <v>0</v>
      </c>
      <c r="O19" s="67">
        <f>SUM(M19:N19)</f>
        <v>3360</v>
      </c>
    </row>
    <row r="20" spans="1:15">
      <c r="A20" s="47">
        <v>3.1</v>
      </c>
      <c r="B20" s="56" t="s">
        <v>6</v>
      </c>
      <c r="C20" s="48">
        <f>(15000/18*11)/6</f>
        <v>1527.7777777777781</v>
      </c>
      <c r="D20" s="49"/>
      <c r="E20" s="50">
        <f>SUM(C20:D20)</f>
        <v>1527.7777777777781</v>
      </c>
      <c r="F20" s="48">
        <f>(15000/18*7)/6</f>
        <v>972.22222222222229</v>
      </c>
      <c r="G20" s="49"/>
      <c r="H20" s="50">
        <f>SUM(F20:G20)</f>
        <v>972.22222222222229</v>
      </c>
      <c r="I20" s="48"/>
      <c r="J20" s="49"/>
      <c r="K20" s="50">
        <f>SUM(I20:J20)</f>
        <v>0</v>
      </c>
      <c r="M20" s="49">
        <f t="shared" si="4"/>
        <v>2500.0000000000005</v>
      </c>
      <c r="N20" s="49">
        <f t="shared" si="4"/>
        <v>0</v>
      </c>
      <c r="O20" s="50">
        <f>SUM(M20:N20)</f>
        <v>2500.0000000000005</v>
      </c>
    </row>
    <row r="21" spans="1:15">
      <c r="A21" s="47">
        <v>3.2</v>
      </c>
      <c r="B21" s="56" t="s">
        <v>58</v>
      </c>
      <c r="C21" s="48">
        <f>1*500</f>
        <v>500</v>
      </c>
      <c r="D21" s="49"/>
      <c r="E21" s="50">
        <f>SUM(C21:D21)</f>
        <v>500</v>
      </c>
      <c r="F21" s="48">
        <f>1*500</f>
        <v>500</v>
      </c>
      <c r="G21" s="49"/>
      <c r="H21" s="50">
        <f>SUM(F21:G21)</f>
        <v>500</v>
      </c>
      <c r="I21" s="48">
        <f>1*500</f>
        <v>500</v>
      </c>
      <c r="J21" s="49"/>
      <c r="K21" s="50">
        <f>SUM(I21:J21)</f>
        <v>500</v>
      </c>
      <c r="M21" s="49">
        <f>SUM(C21,F21,I21)</f>
        <v>1500</v>
      </c>
      <c r="N21" s="49">
        <f>SUM(D21,G21,J21)</f>
        <v>0</v>
      </c>
      <c r="O21" s="50">
        <f>SUM(M21:N21)</f>
        <v>1500</v>
      </c>
    </row>
    <row r="22" spans="1:15">
      <c r="A22" s="3">
        <v>3.2</v>
      </c>
      <c r="B22" s="75" t="s">
        <v>5</v>
      </c>
      <c r="C22" s="68">
        <f>((12000/25)*12)/5</f>
        <v>1152</v>
      </c>
      <c r="D22" s="66"/>
      <c r="E22" s="67">
        <f>SUM(C22:D22)</f>
        <v>1152</v>
      </c>
      <c r="F22" s="68">
        <f>((12000/25)*12)/5</f>
        <v>1152</v>
      </c>
      <c r="G22" s="66"/>
      <c r="H22" s="67">
        <f>SUM(F22:G22)</f>
        <v>1152</v>
      </c>
      <c r="I22" s="68">
        <f>((12000/25)*12)/5</f>
        <v>1152</v>
      </c>
      <c r="J22" s="49"/>
      <c r="K22" s="67">
        <f>SUM(I22:J22)</f>
        <v>1152</v>
      </c>
      <c r="M22" s="66">
        <f t="shared" si="4"/>
        <v>3456</v>
      </c>
      <c r="N22" s="66">
        <f t="shared" si="4"/>
        <v>0</v>
      </c>
      <c r="O22" s="66">
        <f>SUM(M22:N22)</f>
        <v>3456</v>
      </c>
    </row>
    <row r="23" spans="1:15">
      <c r="A23" s="2"/>
      <c r="B23" s="74" t="s">
        <v>12</v>
      </c>
      <c r="C23" s="108">
        <f t="shared" ref="C23:K23" si="5">SUM(C19:C22)</f>
        <v>4235.7777777777783</v>
      </c>
      <c r="D23" s="109">
        <f t="shared" si="5"/>
        <v>0</v>
      </c>
      <c r="E23" s="102">
        <f t="shared" si="5"/>
        <v>4235.7777777777783</v>
      </c>
      <c r="F23" s="108">
        <f t="shared" si="5"/>
        <v>3776.2222222222222</v>
      </c>
      <c r="G23" s="109">
        <f t="shared" si="5"/>
        <v>0</v>
      </c>
      <c r="H23" s="102">
        <f t="shared" si="5"/>
        <v>3776.2222222222222</v>
      </c>
      <c r="I23" s="108">
        <f t="shared" si="5"/>
        <v>2804</v>
      </c>
      <c r="J23" s="110">
        <f t="shared" si="5"/>
        <v>0</v>
      </c>
      <c r="K23" s="102">
        <f t="shared" si="5"/>
        <v>2804</v>
      </c>
      <c r="M23" s="109">
        <f>SUM(M19:M22)</f>
        <v>10816</v>
      </c>
      <c r="N23" s="109">
        <f>SUM(N19:N22)</f>
        <v>0</v>
      </c>
      <c r="O23" s="102">
        <f>SUM(O19:O22)</f>
        <v>10816</v>
      </c>
    </row>
    <row r="24" spans="1:15">
      <c r="A24" s="3">
        <v>4</v>
      </c>
      <c r="B24" s="289" t="s">
        <v>149</v>
      </c>
      <c r="C24" s="104"/>
      <c r="D24" s="105"/>
      <c r="E24" s="106"/>
      <c r="F24" s="104"/>
      <c r="G24" s="105"/>
      <c r="H24" s="106"/>
      <c r="I24" s="104"/>
      <c r="J24" s="107"/>
      <c r="K24" s="106"/>
      <c r="M24" s="105"/>
      <c r="N24" s="105"/>
      <c r="O24" s="106"/>
    </row>
    <row r="25" spans="1:15" s="45" customFormat="1">
      <c r="A25" s="3"/>
      <c r="B25" s="190"/>
      <c r="C25" s="62"/>
      <c r="D25" s="63"/>
      <c r="E25" s="64"/>
      <c r="F25" s="62"/>
      <c r="G25" s="63"/>
      <c r="H25" s="64"/>
      <c r="I25" s="62"/>
      <c r="J25" s="98"/>
      <c r="K25" s="64"/>
      <c r="L25" s="99"/>
      <c r="M25" s="63"/>
      <c r="N25" s="97"/>
      <c r="O25" s="64"/>
    </row>
    <row r="26" spans="1:15">
      <c r="A26" s="2"/>
      <c r="B26" s="74" t="s">
        <v>13</v>
      </c>
      <c r="C26" s="108">
        <f t="shared" ref="C26:K26" si="6">SUM(C25:C25)</f>
        <v>0</v>
      </c>
      <c r="D26" s="109">
        <f t="shared" si="6"/>
        <v>0</v>
      </c>
      <c r="E26" s="102">
        <f t="shared" si="6"/>
        <v>0</v>
      </c>
      <c r="F26" s="108">
        <f t="shared" si="6"/>
        <v>0</v>
      </c>
      <c r="G26" s="109">
        <f t="shared" si="6"/>
        <v>0</v>
      </c>
      <c r="H26" s="102">
        <f t="shared" si="6"/>
        <v>0</v>
      </c>
      <c r="I26" s="108">
        <f t="shared" si="6"/>
        <v>0</v>
      </c>
      <c r="J26" s="110">
        <f t="shared" si="6"/>
        <v>0</v>
      </c>
      <c r="K26" s="102">
        <f t="shared" si="6"/>
        <v>0</v>
      </c>
      <c r="M26" s="109">
        <f>SUM(M25:M25)</f>
        <v>0</v>
      </c>
      <c r="N26" s="109">
        <f>SUM(N25:N25)</f>
        <v>0</v>
      </c>
      <c r="O26" s="102">
        <f>SUM(O25:O25)</f>
        <v>0</v>
      </c>
    </row>
    <row r="27" spans="1:15" s="5" customFormat="1">
      <c r="A27" s="4"/>
      <c r="B27" s="78"/>
      <c r="C27" s="114"/>
      <c r="D27" s="115"/>
      <c r="E27" s="116"/>
      <c r="F27" s="114"/>
      <c r="G27" s="115"/>
      <c r="H27" s="116"/>
      <c r="I27" s="114"/>
      <c r="J27" s="117"/>
      <c r="K27" s="116"/>
      <c r="L27" s="118"/>
      <c r="M27" s="115"/>
      <c r="N27" s="115"/>
      <c r="O27" s="116"/>
    </row>
    <row r="28" spans="1:15" s="45" customFormat="1">
      <c r="A28" s="3">
        <v>5</v>
      </c>
      <c r="B28" s="56" t="s">
        <v>147</v>
      </c>
      <c r="C28" s="62">
        <f>C39*0.085</f>
        <v>1544.3036111111112</v>
      </c>
      <c r="D28" s="63">
        <f>D42*0.085</f>
        <v>0</v>
      </c>
      <c r="E28" s="64">
        <f>SUM(C28:D28)</f>
        <v>1544.3036111111112</v>
      </c>
      <c r="F28" s="62">
        <f>F39*0.085</f>
        <v>1795.8988888888891</v>
      </c>
      <c r="G28" s="63">
        <f>G42*0.085</f>
        <v>0</v>
      </c>
      <c r="H28" s="64">
        <f>SUM(F28:G28)</f>
        <v>1795.8988888888891</v>
      </c>
      <c r="I28" s="62">
        <f>I39*0.085</f>
        <v>1003.34</v>
      </c>
      <c r="J28" s="63">
        <f>J42*0.085</f>
        <v>0</v>
      </c>
      <c r="K28" s="64">
        <f>SUM(I28:J28)</f>
        <v>1003.34</v>
      </c>
      <c r="L28" s="99"/>
      <c r="M28" s="63">
        <f>SUM(C28,F28,I28)</f>
        <v>4343.5425000000005</v>
      </c>
      <c r="N28" s="97">
        <f>SUM(D28,G28,J28)</f>
        <v>0</v>
      </c>
      <c r="O28" s="64">
        <f>SUM(M28:N28)</f>
        <v>4343.5425000000005</v>
      </c>
    </row>
    <row r="29" spans="1:15" s="45" customFormat="1">
      <c r="A29" s="3"/>
      <c r="B29" s="75"/>
      <c r="C29" s="207"/>
      <c r="D29" s="208"/>
      <c r="E29" s="209"/>
      <c r="F29" s="207"/>
      <c r="G29" s="208"/>
      <c r="H29" s="209"/>
      <c r="I29" s="207"/>
      <c r="J29" s="210"/>
      <c r="K29" s="209"/>
      <c r="L29" s="99"/>
      <c r="M29" s="63"/>
      <c r="N29" s="97"/>
      <c r="O29" s="211"/>
    </row>
    <row r="30" spans="1:15" ht="13.5" thickBot="1">
      <c r="A30" s="2"/>
      <c r="B30" s="74" t="s">
        <v>24</v>
      </c>
      <c r="C30" s="119">
        <f t="shared" ref="C30:K30" si="7">SUM(C11,C17,C23,C26,C28)</f>
        <v>19712.581388888888</v>
      </c>
      <c r="D30" s="120">
        <f t="shared" si="7"/>
        <v>0</v>
      </c>
      <c r="E30" s="121">
        <f t="shared" si="7"/>
        <v>19712.581388888888</v>
      </c>
      <c r="F30" s="119">
        <f t="shared" si="7"/>
        <v>22924.121111111112</v>
      </c>
      <c r="G30" s="120">
        <f t="shared" si="7"/>
        <v>0</v>
      </c>
      <c r="H30" s="121">
        <f t="shared" si="7"/>
        <v>22924.121111111112</v>
      </c>
      <c r="I30" s="119">
        <f t="shared" si="7"/>
        <v>12807.34</v>
      </c>
      <c r="J30" s="122">
        <f t="shared" si="7"/>
        <v>0</v>
      </c>
      <c r="K30" s="123">
        <f t="shared" si="7"/>
        <v>12807.34</v>
      </c>
      <c r="M30" s="109">
        <f>SUM(M11,M17,M23,M26,M28)</f>
        <v>55444.042500000003</v>
      </c>
      <c r="N30" s="109">
        <f>SUM(N11,N17,N23,N26,N28)</f>
        <v>0</v>
      </c>
      <c r="O30" s="124">
        <f>SUM(O11,O17,O23,O26,O28)</f>
        <v>55444.042500000003</v>
      </c>
    </row>
    <row r="31" spans="1:15">
      <c r="A31" s="1"/>
      <c r="B31" s="79"/>
      <c r="C31" s="125" t="s">
        <v>26</v>
      </c>
      <c r="D31" s="125" t="s">
        <v>18</v>
      </c>
      <c r="E31" s="126" t="s">
        <v>9</v>
      </c>
      <c r="F31" s="126"/>
      <c r="G31" s="126"/>
      <c r="H31" s="126"/>
      <c r="I31" s="126"/>
      <c r="J31" s="110"/>
      <c r="K31" s="126"/>
      <c r="M31" s="126"/>
      <c r="N31" s="109"/>
      <c r="O31" s="126"/>
    </row>
    <row r="32" spans="1:15">
      <c r="A32" s="1"/>
      <c r="B32" s="80" t="s">
        <v>14</v>
      </c>
      <c r="C32" s="127">
        <f>SUM(+C23+C17+C11+C26+C28)</f>
        <v>19712.581388888888</v>
      </c>
      <c r="D32" s="127">
        <f>SUM(+D23+D17+D11+D26+D28)</f>
        <v>0</v>
      </c>
      <c r="E32" s="127">
        <f>SUM(C32:D32)</f>
        <v>19712.581388888888</v>
      </c>
      <c r="F32" s="127"/>
      <c r="G32" s="127"/>
      <c r="H32" s="127">
        <f>SUM(F32:G32)</f>
        <v>0</v>
      </c>
      <c r="I32" s="127"/>
      <c r="J32" s="128"/>
      <c r="K32" s="127">
        <f>SUM(I32:J32)</f>
        <v>0</v>
      </c>
      <c r="M32" s="127"/>
      <c r="N32" s="127"/>
      <c r="O32" s="127">
        <f>SUM(M32:N32)</f>
        <v>0</v>
      </c>
    </row>
    <row r="33" spans="1:15">
      <c r="A33" s="1"/>
      <c r="B33" s="80" t="s">
        <v>15</v>
      </c>
      <c r="C33" s="127">
        <f>SUM(F26+F23+F17+F11+F28)</f>
        <v>22924.121111111115</v>
      </c>
      <c r="D33" s="127">
        <f>SUM(G26+G23+G17+G11+G28)</f>
        <v>0</v>
      </c>
      <c r="E33" s="127">
        <f>SUM(C33:D33)</f>
        <v>22924.121111111115</v>
      </c>
      <c r="F33" s="129"/>
      <c r="G33" s="129"/>
      <c r="H33" s="127">
        <f>SUM(F33:G33)</f>
        <v>0</v>
      </c>
      <c r="I33" s="129"/>
      <c r="J33" s="130"/>
      <c r="K33" s="127">
        <f>SUM(I33:J33)</f>
        <v>0</v>
      </c>
      <c r="M33" s="129"/>
      <c r="N33" s="129"/>
      <c r="O33" s="127">
        <f>SUM(M33:N33)</f>
        <v>0</v>
      </c>
    </row>
    <row r="34" spans="1:15">
      <c r="A34" s="1"/>
      <c r="B34" s="80" t="s">
        <v>16</v>
      </c>
      <c r="C34" s="127">
        <f>SUM(I26+I23+I17+I11+I28)</f>
        <v>12807.34</v>
      </c>
      <c r="D34" s="127">
        <f>SUM(J26+J23+J17+J11+J28)</f>
        <v>0</v>
      </c>
      <c r="E34" s="127">
        <f>SUM(C34:D34)</f>
        <v>12807.34</v>
      </c>
      <c r="F34" s="129"/>
      <c r="G34" s="129"/>
      <c r="H34" s="127">
        <f>SUM(F34:G34)</f>
        <v>0</v>
      </c>
      <c r="I34" s="129"/>
      <c r="J34" s="130"/>
      <c r="K34" s="127">
        <f>SUM(I34:J34)</f>
        <v>0</v>
      </c>
      <c r="M34" s="129"/>
      <c r="N34" s="129"/>
      <c r="O34" s="127">
        <f>SUM(M34:N34)</f>
        <v>0</v>
      </c>
    </row>
    <row r="35" spans="1:15" s="7" customFormat="1">
      <c r="A35" s="37"/>
      <c r="B35" s="80" t="s">
        <v>17</v>
      </c>
      <c r="C35" s="131">
        <f>SUM(C32:C34)</f>
        <v>55444.042499999996</v>
      </c>
      <c r="D35" s="131">
        <f>SUM(D32:D34)</f>
        <v>0</v>
      </c>
      <c r="E35" s="131">
        <f>SUM(C35:D35)</f>
        <v>55444.042499999996</v>
      </c>
      <c r="F35" s="132"/>
      <c r="G35" s="132"/>
      <c r="H35" s="131">
        <f>SUM(F35:G35)</f>
        <v>0</v>
      </c>
      <c r="I35" s="132"/>
      <c r="J35" s="133"/>
      <c r="K35" s="131">
        <f>SUM(I35:J35)</f>
        <v>0</v>
      </c>
      <c r="L35" s="134"/>
      <c r="M35" s="132"/>
      <c r="N35" s="132"/>
      <c r="O35" s="131">
        <f>SUM(M35:N35)</f>
        <v>0</v>
      </c>
    </row>
    <row r="37" spans="1:15">
      <c r="C37" s="135">
        <f t="shared" ref="C37:K37" si="8">C28/(C26+C23+C17+C11)</f>
        <v>8.5000000000000006E-2</v>
      </c>
      <c r="D37" s="135">
        <v>0</v>
      </c>
      <c r="E37" s="135">
        <f t="shared" si="8"/>
        <v>8.5000000000000006E-2</v>
      </c>
      <c r="F37" s="135">
        <f t="shared" si="8"/>
        <v>8.4999999999999992E-2</v>
      </c>
      <c r="G37" s="135">
        <v>0</v>
      </c>
      <c r="H37" s="135">
        <f t="shared" si="8"/>
        <v>8.4999999999999992E-2</v>
      </c>
      <c r="I37" s="135">
        <f t="shared" si="8"/>
        <v>8.5000000000000006E-2</v>
      </c>
      <c r="J37" s="136">
        <v>0</v>
      </c>
      <c r="K37" s="135">
        <f t="shared" si="8"/>
        <v>8.5000000000000006E-2</v>
      </c>
      <c r="M37" s="135">
        <f>M28/(M26+M23+M17+M11)</f>
        <v>8.5000000000000006E-2</v>
      </c>
      <c r="N37" s="135">
        <v>0</v>
      </c>
      <c r="O37" s="135">
        <f>O28/(O26+O23+O17+O11)</f>
        <v>8.5000000000000006E-2</v>
      </c>
    </row>
    <row r="39" spans="1:15" ht="22.5">
      <c r="B39" s="81" t="s">
        <v>22</v>
      </c>
      <c r="C39" s="137">
        <f t="shared" ref="C39:K39" si="9">SUM(C11,C17,C23,C26)</f>
        <v>18168.277777777777</v>
      </c>
      <c r="D39" s="137">
        <f>D49*0.075</f>
        <v>0</v>
      </c>
      <c r="E39" s="137">
        <f t="shared" si="9"/>
        <v>18168.277777777777</v>
      </c>
      <c r="F39" s="137">
        <f t="shared" si="9"/>
        <v>21128.222222222223</v>
      </c>
      <c r="G39" s="137">
        <f t="shared" si="9"/>
        <v>0</v>
      </c>
      <c r="H39" s="137">
        <f t="shared" si="9"/>
        <v>21128.222222222223</v>
      </c>
      <c r="I39" s="137">
        <f t="shared" si="9"/>
        <v>11804</v>
      </c>
      <c r="J39" s="137">
        <f t="shared" si="9"/>
        <v>0</v>
      </c>
      <c r="K39" s="137">
        <f t="shared" si="9"/>
        <v>11804</v>
      </c>
      <c r="M39" s="137">
        <f>SUM(M11,M17,M23,M26)</f>
        <v>51100.5</v>
      </c>
      <c r="N39" s="137">
        <f>SUM(N11,N17,N23,N26)</f>
        <v>0</v>
      </c>
      <c r="O39" s="137">
        <f>SUM(O11,O17,O23,O26)</f>
        <v>51100.5</v>
      </c>
    </row>
    <row r="40" spans="1:15" s="6" customFormat="1">
      <c r="B40" s="82"/>
      <c r="C40" s="139"/>
      <c r="D40" s="139"/>
      <c r="E40" s="139"/>
      <c r="F40" s="139"/>
      <c r="G40" s="139"/>
      <c r="H40" s="139"/>
      <c r="I40" s="139"/>
      <c r="J40" s="71"/>
      <c r="K40" s="139"/>
      <c r="L40" s="71"/>
      <c r="M40" s="139"/>
      <c r="N40" s="139"/>
      <c r="O40" s="139"/>
    </row>
    <row r="42" spans="1:15">
      <c r="M42" s="140"/>
    </row>
  </sheetData>
  <mergeCells count="5">
    <mergeCell ref="D1:L1"/>
    <mergeCell ref="M5:O5"/>
    <mergeCell ref="C5:E5"/>
    <mergeCell ref="F5:H5"/>
    <mergeCell ref="I5:K5"/>
  </mergeCells>
  <phoneticPr fontId="3" type="noConversion"/>
  <pageMargins left="0.75" right="0.75" top="1" bottom="1" header="0" footer="0"/>
  <pageSetup paperSize="9" scale="57" orientation="landscape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B1:G47"/>
  <sheetViews>
    <sheetView topLeftCell="C28" workbookViewId="0">
      <selection activeCell="C38" sqref="A38:IV38"/>
    </sheetView>
  </sheetViews>
  <sheetFormatPr defaultColWidth="8.85546875" defaultRowHeight="15"/>
  <cols>
    <col min="1" max="1" width="1.85546875" style="274" customWidth="1"/>
    <col min="2" max="2" width="5.42578125" style="274" customWidth="1"/>
    <col min="3" max="3" width="55.5703125" style="274" customWidth="1"/>
    <col min="4" max="4" width="20.28515625" style="274" customWidth="1"/>
    <col min="5" max="5" width="21.140625" style="274" customWidth="1"/>
    <col min="6" max="6" width="18.5703125" style="274" customWidth="1"/>
    <col min="7" max="7" width="15.140625" style="274" customWidth="1"/>
    <col min="8" max="16384" width="8.85546875" style="274"/>
  </cols>
  <sheetData>
    <row r="1" spans="2:7" ht="18">
      <c r="C1" s="214" t="s">
        <v>59</v>
      </c>
      <c r="D1" s="275" t="s">
        <v>107</v>
      </c>
      <c r="E1" s="216"/>
      <c r="F1" s="213"/>
      <c r="G1" s="213"/>
    </row>
    <row r="2" spans="2:7" ht="15.75" thickBot="1">
      <c r="C2" s="214"/>
      <c r="D2" s="215"/>
      <c r="E2" s="217"/>
      <c r="F2" s="215"/>
      <c r="G2" s="215"/>
    </row>
    <row r="3" spans="2:7" ht="15.75" thickBot="1">
      <c r="C3" s="218" t="s">
        <v>60</v>
      </c>
      <c r="D3" s="324" t="s">
        <v>108</v>
      </c>
      <c r="E3" s="325"/>
      <c r="F3" s="325"/>
      <c r="G3" s="326"/>
    </row>
    <row r="4" spans="2:7" ht="15.75" thickBot="1">
      <c r="C4" s="219" t="s">
        <v>61</v>
      </c>
      <c r="D4" s="220" t="s">
        <v>109</v>
      </c>
      <c r="E4" s="327" t="s">
        <v>110</v>
      </c>
      <c r="F4" s="328"/>
      <c r="G4" s="329"/>
    </row>
    <row r="5" spans="2:7" ht="15.75" thickBot="1">
      <c r="C5" s="219" t="s">
        <v>111</v>
      </c>
      <c r="D5" s="220"/>
      <c r="E5" s="327"/>
      <c r="F5" s="328"/>
      <c r="G5" s="329"/>
    </row>
    <row r="6" spans="2:7" ht="15.75" thickBot="1">
      <c r="C6" s="219" t="s">
        <v>63</v>
      </c>
      <c r="D6" s="220"/>
      <c r="E6" s="327"/>
      <c r="F6" s="328"/>
      <c r="G6" s="329"/>
    </row>
    <row r="7" spans="2:7" ht="15.75" thickBot="1"/>
    <row r="8" spans="2:7" ht="12.75" customHeight="1" thickBot="1">
      <c r="B8" s="221" t="s">
        <v>64</v>
      </c>
      <c r="C8" s="222" t="s">
        <v>65</v>
      </c>
      <c r="D8" s="223"/>
      <c r="E8" s="224" t="s">
        <v>112</v>
      </c>
      <c r="F8" s="225" t="s">
        <v>67</v>
      </c>
      <c r="G8" s="226" t="s">
        <v>68</v>
      </c>
    </row>
    <row r="9" spans="2:7" ht="12.75" customHeight="1">
      <c r="B9" s="227">
        <v>1</v>
      </c>
      <c r="C9" s="228" t="s">
        <v>69</v>
      </c>
      <c r="D9" s="223"/>
      <c r="E9" s="229"/>
      <c r="F9" s="230"/>
      <c r="G9" s="231"/>
    </row>
    <row r="10" spans="2:7" ht="12.75" customHeight="1">
      <c r="B10" s="232">
        <v>1.2</v>
      </c>
      <c r="C10" s="233" t="s">
        <v>70</v>
      </c>
      <c r="D10" s="234"/>
      <c r="E10" s="235"/>
      <c r="F10" s="236"/>
      <c r="G10" s="237">
        <f>E10*F10</f>
        <v>0</v>
      </c>
    </row>
    <row r="11" spans="2:7" ht="12.75" customHeight="1">
      <c r="B11" s="232">
        <v>1.3</v>
      </c>
      <c r="C11" s="233" t="s">
        <v>71</v>
      </c>
      <c r="D11" s="234"/>
      <c r="E11" s="238"/>
      <c r="F11" s="239"/>
      <c r="G11" s="240"/>
    </row>
    <row r="12" spans="2:7" ht="12.75" customHeight="1">
      <c r="B12" s="232">
        <v>1.4</v>
      </c>
      <c r="C12" s="233" t="s">
        <v>72</v>
      </c>
      <c r="D12" s="234">
        <v>2</v>
      </c>
      <c r="E12" s="238">
        <v>1</v>
      </c>
      <c r="F12" s="239">
        <v>300</v>
      </c>
      <c r="G12" s="240">
        <f>D12*E12*F12</f>
        <v>600</v>
      </c>
    </row>
    <row r="13" spans="2:7" ht="12.75" customHeight="1" thickBot="1">
      <c r="B13" s="232">
        <v>1.5</v>
      </c>
      <c r="C13" s="233" t="s">
        <v>73</v>
      </c>
      <c r="D13" s="234"/>
      <c r="E13" s="241"/>
      <c r="F13" s="242"/>
      <c r="G13" s="240">
        <f>E13*F13</f>
        <v>0</v>
      </c>
    </row>
    <row r="14" spans="2:7" ht="12.75" customHeight="1" thickBot="1">
      <c r="B14" s="322" t="s">
        <v>74</v>
      </c>
      <c r="C14" s="323"/>
      <c r="D14" s="243"/>
      <c r="E14" s="244"/>
      <c r="F14" s="245"/>
      <c r="G14" s="246">
        <f>SUM(G10:G13)</f>
        <v>600</v>
      </c>
    </row>
    <row r="15" spans="2:7" ht="12.75" customHeight="1">
      <c r="B15" s="221" t="s">
        <v>64</v>
      </c>
      <c r="C15" s="222" t="s">
        <v>65</v>
      </c>
      <c r="D15" s="247"/>
      <c r="E15" s="248" t="s">
        <v>66</v>
      </c>
      <c r="F15" s="249" t="s">
        <v>67</v>
      </c>
      <c r="G15" s="250" t="s">
        <v>68</v>
      </c>
    </row>
    <row r="16" spans="2:7" ht="12.75" customHeight="1">
      <c r="B16" s="227">
        <v>2</v>
      </c>
      <c r="C16" s="228" t="s">
        <v>75</v>
      </c>
      <c r="D16" s="251"/>
      <c r="E16" s="235"/>
      <c r="F16" s="236"/>
      <c r="G16" s="237"/>
    </row>
    <row r="17" spans="2:7" ht="12.75" customHeight="1">
      <c r="B17" s="252">
        <v>2.1</v>
      </c>
      <c r="C17" s="253" t="s">
        <v>76</v>
      </c>
      <c r="D17" s="254" t="s">
        <v>113</v>
      </c>
      <c r="E17" s="238"/>
      <c r="F17" s="239"/>
      <c r="G17" s="240">
        <f>E17*F17</f>
        <v>0</v>
      </c>
    </row>
    <row r="18" spans="2:7" ht="12.75" customHeight="1">
      <c r="B18" s="252">
        <v>2.2000000000000002</v>
      </c>
      <c r="C18" s="253" t="s">
        <v>77</v>
      </c>
      <c r="D18" s="254"/>
      <c r="E18" s="238">
        <v>1</v>
      </c>
      <c r="F18" s="239">
        <v>53</v>
      </c>
      <c r="G18" s="240">
        <v>52</v>
      </c>
    </row>
    <row r="19" spans="2:7" ht="12.75" customHeight="1">
      <c r="B19" s="252">
        <v>2.2999999999999998</v>
      </c>
      <c r="C19" s="253" t="s">
        <v>78</v>
      </c>
      <c r="D19" s="254"/>
      <c r="E19" s="238">
        <v>1</v>
      </c>
      <c r="F19" s="239">
        <v>100</v>
      </c>
      <c r="G19" s="240">
        <v>100</v>
      </c>
    </row>
    <row r="20" spans="2:7" ht="12.75" customHeight="1" thickBot="1">
      <c r="B20" s="252">
        <v>2.4</v>
      </c>
      <c r="C20" s="253" t="s">
        <v>114</v>
      </c>
      <c r="D20" s="254"/>
      <c r="E20" s="238">
        <v>1</v>
      </c>
      <c r="F20" s="239">
        <v>50</v>
      </c>
      <c r="G20" s="240">
        <v>50</v>
      </c>
    </row>
    <row r="21" spans="2:7" ht="12.75" customHeight="1" thickBot="1">
      <c r="B21" s="322" t="s">
        <v>80</v>
      </c>
      <c r="C21" s="323"/>
      <c r="D21" s="243"/>
      <c r="E21" s="244"/>
      <c r="F21" s="245"/>
      <c r="G21" s="246">
        <f>SUM(G17:G20)</f>
        <v>202</v>
      </c>
    </row>
    <row r="22" spans="2:7" ht="12.75" customHeight="1">
      <c r="B22" s="221" t="s">
        <v>64</v>
      </c>
      <c r="C22" s="222" t="s">
        <v>65</v>
      </c>
      <c r="D22" s="255"/>
      <c r="E22" s="248"/>
      <c r="F22" s="247"/>
      <c r="G22" s="250" t="s">
        <v>68</v>
      </c>
    </row>
    <row r="23" spans="2:7" ht="12.75" customHeight="1">
      <c r="B23" s="256">
        <v>3</v>
      </c>
      <c r="C23" s="257" t="s">
        <v>81</v>
      </c>
      <c r="D23" s="258"/>
      <c r="E23" s="238"/>
      <c r="F23" s="239"/>
      <c r="G23" s="259"/>
    </row>
    <row r="24" spans="2:7" ht="12.75" customHeight="1">
      <c r="B24" s="256"/>
      <c r="C24" s="276" t="s">
        <v>115</v>
      </c>
      <c r="D24" s="258"/>
      <c r="E24" s="238">
        <v>1</v>
      </c>
      <c r="F24" s="239">
        <v>350</v>
      </c>
      <c r="G24" s="277">
        <v>350</v>
      </c>
    </row>
    <row r="25" spans="2:7" ht="12.75" customHeight="1">
      <c r="B25" s="256"/>
      <c r="C25" s="276" t="s">
        <v>116</v>
      </c>
      <c r="D25" s="258"/>
      <c r="E25" s="238">
        <v>1</v>
      </c>
      <c r="F25" s="239">
        <v>350</v>
      </c>
      <c r="G25" s="277">
        <v>350</v>
      </c>
    </row>
    <row r="26" spans="2:7" ht="12.75" customHeight="1">
      <c r="B26" s="252">
        <v>3.1</v>
      </c>
      <c r="C26" s="253" t="s">
        <v>117</v>
      </c>
      <c r="D26" s="260" t="s">
        <v>113</v>
      </c>
      <c r="E26" s="238">
        <v>0</v>
      </c>
      <c r="F26" s="239">
        <v>0</v>
      </c>
      <c r="G26" s="240">
        <v>0</v>
      </c>
    </row>
    <row r="27" spans="2:7" ht="12.75" customHeight="1">
      <c r="B27" s="252">
        <v>3.2</v>
      </c>
      <c r="C27" s="253" t="s">
        <v>83</v>
      </c>
      <c r="D27" s="254"/>
      <c r="E27" s="238">
        <v>0</v>
      </c>
      <c r="F27" s="239">
        <v>0</v>
      </c>
      <c r="G27" s="240">
        <v>1300</v>
      </c>
    </row>
    <row r="28" spans="2:7" ht="12.75" customHeight="1">
      <c r="B28" s="252">
        <v>3.3</v>
      </c>
      <c r="C28" s="253" t="s">
        <v>84</v>
      </c>
      <c r="D28" s="254"/>
      <c r="E28" s="238">
        <v>0</v>
      </c>
      <c r="F28" s="239">
        <v>0</v>
      </c>
      <c r="G28" s="240">
        <v>0</v>
      </c>
    </row>
    <row r="29" spans="2:7" ht="12.75" customHeight="1">
      <c r="B29" s="252">
        <v>3.4</v>
      </c>
      <c r="C29" s="253" t="s">
        <v>85</v>
      </c>
      <c r="D29" s="254"/>
      <c r="E29" s="238">
        <v>0</v>
      </c>
      <c r="F29" s="239">
        <v>0</v>
      </c>
      <c r="G29" s="240">
        <v>0</v>
      </c>
    </row>
    <row r="30" spans="2:7" ht="12.75" customHeight="1" thickBot="1">
      <c r="B30" s="252">
        <v>3.5</v>
      </c>
      <c r="C30" s="253" t="s">
        <v>86</v>
      </c>
      <c r="D30" s="254"/>
      <c r="E30" s="238">
        <v>0</v>
      </c>
      <c r="F30" s="239">
        <v>0</v>
      </c>
      <c r="G30" s="240">
        <v>0</v>
      </c>
    </row>
    <row r="31" spans="2:7" ht="12.75" customHeight="1" thickBot="1">
      <c r="B31" s="322" t="s">
        <v>87</v>
      </c>
      <c r="C31" s="323"/>
      <c r="D31" s="243"/>
      <c r="E31" s="244"/>
      <c r="F31" s="245"/>
      <c r="G31" s="246">
        <f>SUM(G24:G30)</f>
        <v>2000</v>
      </c>
    </row>
    <row r="32" spans="2:7" ht="12.75" customHeight="1">
      <c r="B32" s="221" t="s">
        <v>64</v>
      </c>
      <c r="C32" s="222" t="s">
        <v>65</v>
      </c>
      <c r="D32" s="255" t="s">
        <v>88</v>
      </c>
      <c r="E32" s="248"/>
      <c r="F32" s="249"/>
      <c r="G32" s="250" t="s">
        <v>68</v>
      </c>
    </row>
    <row r="33" spans="2:7" ht="12.75" customHeight="1">
      <c r="B33" s="261">
        <v>4</v>
      </c>
      <c r="C33" s="262" t="s">
        <v>89</v>
      </c>
      <c r="D33" s="263"/>
      <c r="E33" s="264"/>
      <c r="F33" s="263"/>
      <c r="G33" s="265"/>
    </row>
    <row r="34" spans="2:7" ht="12.75" customHeight="1">
      <c r="B34" s="261"/>
      <c r="C34" s="253" t="s">
        <v>118</v>
      </c>
      <c r="D34" s="263"/>
      <c r="E34" s="278">
        <v>2</v>
      </c>
      <c r="F34" s="279">
        <v>32</v>
      </c>
      <c r="G34" s="266">
        <v>64</v>
      </c>
    </row>
    <row r="35" spans="2:7" ht="12.75" customHeight="1">
      <c r="B35" s="261"/>
      <c r="C35" s="253" t="s">
        <v>119</v>
      </c>
      <c r="D35" s="263"/>
      <c r="E35" s="278">
        <v>2</v>
      </c>
      <c r="F35" s="279">
        <v>32</v>
      </c>
      <c r="G35" s="266">
        <v>64</v>
      </c>
    </row>
    <row r="36" spans="2:7" ht="12.75" customHeight="1">
      <c r="B36" s="252">
        <v>4.0999999999999996</v>
      </c>
      <c r="C36" s="253" t="s">
        <v>90</v>
      </c>
      <c r="D36" s="254"/>
      <c r="E36" s="238">
        <v>2</v>
      </c>
      <c r="F36" s="239">
        <v>32</v>
      </c>
      <c r="G36" s="240">
        <v>64</v>
      </c>
    </row>
    <row r="37" spans="2:7" ht="12.75" customHeight="1">
      <c r="B37" s="252">
        <v>4.2</v>
      </c>
      <c r="C37" s="253" t="s">
        <v>91</v>
      </c>
      <c r="D37" s="260">
        <v>25</v>
      </c>
      <c r="E37" s="238">
        <v>1</v>
      </c>
      <c r="F37" s="239">
        <v>32</v>
      </c>
      <c r="G37" s="240">
        <f>D37*E37*F37</f>
        <v>800</v>
      </c>
    </row>
    <row r="38" spans="2:7" ht="12.75" customHeight="1">
      <c r="B38" s="252"/>
      <c r="C38" s="253" t="s">
        <v>92</v>
      </c>
      <c r="D38" s="260"/>
      <c r="E38" s="238">
        <v>0</v>
      </c>
      <c r="F38" s="239">
        <v>0</v>
      </c>
      <c r="G38" s="240">
        <v>0</v>
      </c>
    </row>
    <row r="39" spans="2:7" ht="12.75" customHeight="1" thickBot="1">
      <c r="B39" s="252">
        <v>4.3</v>
      </c>
      <c r="C39" s="253" t="s">
        <v>93</v>
      </c>
      <c r="D39" s="254"/>
      <c r="E39" s="238"/>
      <c r="F39" s="239"/>
      <c r="G39" s="266"/>
    </row>
    <row r="40" spans="2:7" ht="12.75" customHeight="1" thickBot="1">
      <c r="B40" s="322" t="s">
        <v>94</v>
      </c>
      <c r="C40" s="323"/>
      <c r="D40" s="243"/>
      <c r="E40" s="244"/>
      <c r="F40" s="245"/>
      <c r="G40" s="246">
        <f>SUM(G34:G39)</f>
        <v>992</v>
      </c>
    </row>
    <row r="41" spans="2:7" ht="12.75" customHeight="1">
      <c r="B41" s="221" t="s">
        <v>64</v>
      </c>
      <c r="C41" s="222" t="s">
        <v>65</v>
      </c>
      <c r="D41" s="263"/>
      <c r="E41" s="248" t="s">
        <v>95</v>
      </c>
      <c r="F41" s="249" t="s">
        <v>96</v>
      </c>
      <c r="G41" s="250" t="s">
        <v>68</v>
      </c>
    </row>
    <row r="42" spans="2:7" ht="12.75" customHeight="1">
      <c r="B42" s="267">
        <v>7</v>
      </c>
      <c r="C42" s="262" t="s">
        <v>97</v>
      </c>
      <c r="D42" s="268"/>
      <c r="E42" s="264"/>
      <c r="F42" s="263"/>
      <c r="G42" s="265"/>
    </row>
    <row r="43" spans="2:7" ht="12.75" customHeight="1">
      <c r="B43" s="252">
        <v>7.1</v>
      </c>
      <c r="C43" s="253" t="s">
        <v>98</v>
      </c>
      <c r="D43" s="254"/>
      <c r="E43" s="238"/>
      <c r="F43" s="239"/>
      <c r="G43" s="240">
        <f>E43*F43</f>
        <v>0</v>
      </c>
    </row>
    <row r="44" spans="2:7" ht="12.75" customHeight="1">
      <c r="B44" s="252">
        <v>7.2</v>
      </c>
      <c r="C44" s="253" t="s">
        <v>99</v>
      </c>
      <c r="D44" s="254"/>
      <c r="E44" s="238"/>
      <c r="F44" s="239"/>
      <c r="G44" s="240">
        <f>E44*F44</f>
        <v>0</v>
      </c>
    </row>
    <row r="45" spans="2:7" ht="12.75" customHeight="1" thickBot="1">
      <c r="B45" s="252"/>
      <c r="C45" s="253"/>
      <c r="D45" s="254"/>
      <c r="E45" s="238"/>
      <c r="F45" s="239"/>
      <c r="G45" s="240">
        <f>E45*F45</f>
        <v>0</v>
      </c>
    </row>
    <row r="46" spans="2:7" ht="12.75" customHeight="1" thickBot="1">
      <c r="B46" s="322" t="s">
        <v>100</v>
      </c>
      <c r="C46" s="323"/>
      <c r="D46" s="243"/>
      <c r="E46" s="244"/>
      <c r="F46" s="245"/>
      <c r="G46" s="246">
        <f>SUM(G43:G45)</f>
        <v>0</v>
      </c>
    </row>
    <row r="47" spans="2:7" ht="12.75" customHeight="1" thickBot="1">
      <c r="B47" s="330" t="s">
        <v>101</v>
      </c>
      <c r="C47" s="331"/>
      <c r="D47" s="269"/>
      <c r="E47" s="270"/>
      <c r="F47" s="271"/>
      <c r="G47" s="272">
        <f>SUM(G46,G40,G31,G21,G14)</f>
        <v>3794</v>
      </c>
    </row>
  </sheetData>
  <mergeCells count="10">
    <mergeCell ref="B31:C31"/>
    <mergeCell ref="B40:C40"/>
    <mergeCell ref="B46:C46"/>
    <mergeCell ref="B47:C47"/>
    <mergeCell ref="B14:C14"/>
    <mergeCell ref="B21:C21"/>
    <mergeCell ref="D3:G3"/>
    <mergeCell ref="E4:G4"/>
    <mergeCell ref="E5:G5"/>
    <mergeCell ref="E6:G6"/>
  </mergeCells>
  <phoneticPr fontId="3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B1:G47"/>
  <sheetViews>
    <sheetView topLeftCell="A13" workbookViewId="0">
      <selection activeCell="G13" sqref="G13"/>
    </sheetView>
  </sheetViews>
  <sheetFormatPr defaultColWidth="8.85546875" defaultRowHeight="15"/>
  <cols>
    <col min="1" max="1" width="5.5703125" style="274" customWidth="1"/>
    <col min="2" max="2" width="7" style="274" customWidth="1"/>
    <col min="3" max="3" width="46.85546875" style="274" customWidth="1"/>
    <col min="4" max="4" width="20.28515625" style="274" customWidth="1"/>
    <col min="5" max="5" width="17.42578125" style="274" customWidth="1"/>
    <col min="6" max="6" width="20.42578125" style="274" customWidth="1"/>
    <col min="7" max="7" width="17.140625" style="274" customWidth="1"/>
    <col min="8" max="16384" width="8.85546875" style="274"/>
  </cols>
  <sheetData>
    <row r="1" spans="2:7" ht="18">
      <c r="C1" s="214" t="s">
        <v>59</v>
      </c>
      <c r="D1" s="275" t="s">
        <v>107</v>
      </c>
      <c r="E1" s="216"/>
      <c r="F1" s="213"/>
      <c r="G1" s="213"/>
    </row>
    <row r="2" spans="2:7" ht="15.75" thickBot="1">
      <c r="C2" s="214"/>
      <c r="D2" s="215"/>
      <c r="E2" s="217"/>
      <c r="F2" s="215"/>
      <c r="G2" s="215"/>
    </row>
    <row r="3" spans="2:7" ht="15.75" thickBot="1">
      <c r="C3" s="218" t="s">
        <v>60</v>
      </c>
      <c r="D3" s="324" t="s">
        <v>108</v>
      </c>
      <c r="E3" s="325"/>
      <c r="F3" s="325"/>
      <c r="G3" s="326"/>
    </row>
    <row r="4" spans="2:7" ht="15.75" thickBot="1">
      <c r="C4" s="219" t="s">
        <v>61</v>
      </c>
      <c r="D4" s="220" t="s">
        <v>120</v>
      </c>
      <c r="E4" s="327" t="s">
        <v>121</v>
      </c>
      <c r="F4" s="328"/>
      <c r="G4" s="329"/>
    </row>
    <row r="5" spans="2:7" ht="15.75" thickBot="1">
      <c r="C5" s="219" t="s">
        <v>111</v>
      </c>
      <c r="D5" s="220"/>
      <c r="E5" s="327"/>
      <c r="F5" s="328"/>
      <c r="G5" s="329"/>
    </row>
    <row r="6" spans="2:7" ht="15.75" thickBot="1">
      <c r="C6" s="219" t="s">
        <v>63</v>
      </c>
      <c r="D6" s="220"/>
      <c r="E6" s="327"/>
      <c r="F6" s="328"/>
      <c r="G6" s="329"/>
    </row>
    <row r="7" spans="2:7" ht="15.75" thickBot="1"/>
    <row r="8" spans="2:7" ht="12.75" customHeight="1" thickBot="1">
      <c r="B8" s="221" t="s">
        <v>64</v>
      </c>
      <c r="C8" s="222" t="s">
        <v>65</v>
      </c>
      <c r="D8" s="223"/>
      <c r="E8" s="224" t="s">
        <v>112</v>
      </c>
      <c r="F8" s="225" t="s">
        <v>67</v>
      </c>
      <c r="G8" s="226" t="s">
        <v>68</v>
      </c>
    </row>
    <row r="9" spans="2:7" ht="12.75" customHeight="1">
      <c r="B9" s="227">
        <v>1</v>
      </c>
      <c r="C9" s="228" t="s">
        <v>69</v>
      </c>
      <c r="D9" s="223"/>
      <c r="E9" s="229"/>
      <c r="F9" s="230"/>
      <c r="G9" s="231"/>
    </row>
    <row r="10" spans="2:7" ht="12.75" customHeight="1">
      <c r="B10" s="232">
        <v>1.2</v>
      </c>
      <c r="C10" s="233" t="s">
        <v>70</v>
      </c>
      <c r="D10" s="234"/>
      <c r="E10" s="235"/>
      <c r="F10" s="236"/>
      <c r="G10" s="237">
        <f>E10*F10</f>
        <v>0</v>
      </c>
    </row>
    <row r="11" spans="2:7" ht="12.75" customHeight="1">
      <c r="B11" s="232">
        <v>1.3</v>
      </c>
      <c r="C11" s="233" t="s">
        <v>71</v>
      </c>
      <c r="D11" s="234"/>
      <c r="E11" s="238"/>
      <c r="F11" s="239"/>
      <c r="G11" s="240"/>
    </row>
    <row r="12" spans="2:7" ht="12.75" customHeight="1">
      <c r="B12" s="232">
        <v>1.4</v>
      </c>
      <c r="C12" s="233" t="s">
        <v>72</v>
      </c>
      <c r="D12" s="234">
        <v>2</v>
      </c>
      <c r="E12" s="238">
        <v>1</v>
      </c>
      <c r="F12" s="239">
        <v>300</v>
      </c>
      <c r="G12" s="240">
        <f>E12*F12*D12</f>
        <v>600</v>
      </c>
    </row>
    <row r="13" spans="2:7" ht="12.75" customHeight="1" thickBot="1">
      <c r="B13" s="232">
        <v>1.5</v>
      </c>
      <c r="C13" s="233" t="s">
        <v>73</v>
      </c>
      <c r="D13" s="234"/>
      <c r="E13" s="241"/>
      <c r="F13" s="242"/>
      <c r="G13" s="240">
        <f>E13*F13</f>
        <v>0</v>
      </c>
    </row>
    <row r="14" spans="2:7" ht="12.75" customHeight="1" thickBot="1">
      <c r="B14" s="322" t="s">
        <v>74</v>
      </c>
      <c r="C14" s="323"/>
      <c r="D14" s="243"/>
      <c r="E14" s="244"/>
      <c r="F14" s="245"/>
      <c r="G14" s="246">
        <f>SUM(G10:G13)</f>
        <v>600</v>
      </c>
    </row>
    <row r="15" spans="2:7" ht="12.75" customHeight="1">
      <c r="B15" s="221" t="s">
        <v>64</v>
      </c>
      <c r="C15" s="222" t="s">
        <v>65</v>
      </c>
      <c r="D15" s="247"/>
      <c r="E15" s="248" t="s">
        <v>66</v>
      </c>
      <c r="F15" s="249" t="s">
        <v>67</v>
      </c>
      <c r="G15" s="250" t="s">
        <v>68</v>
      </c>
    </row>
    <row r="16" spans="2:7" ht="12.75" customHeight="1">
      <c r="B16" s="227">
        <v>2</v>
      </c>
      <c r="C16" s="228" t="s">
        <v>75</v>
      </c>
      <c r="D16" s="251"/>
      <c r="E16" s="235"/>
      <c r="F16" s="236"/>
      <c r="G16" s="237"/>
    </row>
    <row r="17" spans="2:7" ht="12.75" customHeight="1">
      <c r="B17" s="252">
        <v>2.1</v>
      </c>
      <c r="C17" s="253" t="s">
        <v>76</v>
      </c>
      <c r="D17" s="254" t="s">
        <v>113</v>
      </c>
      <c r="E17" s="238"/>
      <c r="F17" s="239"/>
      <c r="G17" s="240">
        <f>E17*F17</f>
        <v>0</v>
      </c>
    </row>
    <row r="18" spans="2:7" ht="12.75" customHeight="1">
      <c r="B18" s="252">
        <v>2.2000000000000002</v>
      </c>
      <c r="C18" s="253" t="s">
        <v>77</v>
      </c>
      <c r="D18" s="254"/>
      <c r="E18" s="238">
        <v>1</v>
      </c>
      <c r="F18" s="239">
        <v>53</v>
      </c>
      <c r="G18" s="240">
        <v>52</v>
      </c>
    </row>
    <row r="19" spans="2:7" ht="12.75" customHeight="1">
      <c r="B19" s="252">
        <v>2.2999999999999998</v>
      </c>
      <c r="C19" s="253" t="s">
        <v>78</v>
      </c>
      <c r="D19" s="254"/>
      <c r="E19" s="238">
        <v>1</v>
      </c>
      <c r="F19" s="239">
        <v>100</v>
      </c>
      <c r="G19" s="240">
        <v>100</v>
      </c>
    </row>
    <row r="20" spans="2:7" ht="12.75" customHeight="1" thickBot="1">
      <c r="B20" s="252">
        <v>2.4</v>
      </c>
      <c r="C20" s="253" t="s">
        <v>114</v>
      </c>
      <c r="D20" s="254"/>
      <c r="E20" s="238">
        <v>1</v>
      </c>
      <c r="F20" s="239">
        <v>50</v>
      </c>
      <c r="G20" s="240">
        <v>50</v>
      </c>
    </row>
    <row r="21" spans="2:7" ht="12.75" customHeight="1" thickBot="1">
      <c r="B21" s="322" t="s">
        <v>80</v>
      </c>
      <c r="C21" s="323"/>
      <c r="D21" s="243"/>
      <c r="E21" s="244"/>
      <c r="F21" s="245"/>
      <c r="G21" s="246">
        <f>SUM(G17:G20)</f>
        <v>202</v>
      </c>
    </row>
    <row r="22" spans="2:7" ht="12.75" customHeight="1">
      <c r="B22" s="221" t="s">
        <v>64</v>
      </c>
      <c r="C22" s="222" t="s">
        <v>65</v>
      </c>
      <c r="D22" s="255"/>
      <c r="E22" s="248"/>
      <c r="F22" s="247"/>
      <c r="G22" s="250" t="s">
        <v>68</v>
      </c>
    </row>
    <row r="23" spans="2:7" ht="12.75" customHeight="1">
      <c r="B23" s="256">
        <v>3</v>
      </c>
      <c r="C23" s="257" t="s">
        <v>81</v>
      </c>
      <c r="D23" s="258"/>
      <c r="E23" s="238"/>
      <c r="F23" s="239"/>
      <c r="G23" s="259"/>
    </row>
    <row r="24" spans="2:7" ht="12.75" customHeight="1">
      <c r="B24" s="256"/>
      <c r="C24" s="276" t="s">
        <v>115</v>
      </c>
      <c r="D24" s="258"/>
      <c r="E24" s="238">
        <v>1</v>
      </c>
      <c r="F24" s="239">
        <v>350</v>
      </c>
      <c r="G24" s="277">
        <v>350</v>
      </c>
    </row>
    <row r="25" spans="2:7" ht="12.75" customHeight="1">
      <c r="B25" s="256"/>
      <c r="C25" s="276" t="s">
        <v>116</v>
      </c>
      <c r="D25" s="258"/>
      <c r="E25" s="238">
        <v>1</v>
      </c>
      <c r="F25" s="239">
        <v>350</v>
      </c>
      <c r="G25" s="277">
        <v>350</v>
      </c>
    </row>
    <row r="26" spans="2:7" ht="12.75" customHeight="1">
      <c r="B26" s="252">
        <v>3.1</v>
      </c>
      <c r="C26" s="253" t="s">
        <v>117</v>
      </c>
      <c r="D26" s="260" t="s">
        <v>113</v>
      </c>
      <c r="E26" s="238">
        <v>0</v>
      </c>
      <c r="F26" s="239">
        <v>0</v>
      </c>
      <c r="G26" s="240">
        <v>0</v>
      </c>
    </row>
    <row r="27" spans="2:7" ht="12.75" customHeight="1">
      <c r="B27" s="252">
        <v>3.2</v>
      </c>
      <c r="C27" s="253" t="s">
        <v>83</v>
      </c>
      <c r="D27" s="254"/>
      <c r="E27" s="238">
        <v>0</v>
      </c>
      <c r="F27" s="239">
        <v>0</v>
      </c>
      <c r="G27" s="240">
        <v>1300</v>
      </c>
    </row>
    <row r="28" spans="2:7" ht="12.75" customHeight="1">
      <c r="B28" s="252">
        <v>3.3</v>
      </c>
      <c r="C28" s="253" t="s">
        <v>84</v>
      </c>
      <c r="D28" s="254"/>
      <c r="E28" s="238">
        <v>0</v>
      </c>
      <c r="F28" s="239">
        <v>0</v>
      </c>
      <c r="G28" s="240">
        <v>0</v>
      </c>
    </row>
    <row r="29" spans="2:7" ht="12.75" customHeight="1">
      <c r="B29" s="252">
        <v>3.4</v>
      </c>
      <c r="C29" s="253" t="s">
        <v>85</v>
      </c>
      <c r="D29" s="254"/>
      <c r="E29" s="238">
        <v>0</v>
      </c>
      <c r="F29" s="239">
        <v>0</v>
      </c>
      <c r="G29" s="240">
        <v>0</v>
      </c>
    </row>
    <row r="30" spans="2:7" ht="12.75" customHeight="1" thickBot="1">
      <c r="B30" s="252">
        <v>3.5</v>
      </c>
      <c r="C30" s="253" t="s">
        <v>86</v>
      </c>
      <c r="D30" s="254"/>
      <c r="E30" s="238">
        <v>0</v>
      </c>
      <c r="F30" s="239">
        <v>0</v>
      </c>
      <c r="G30" s="240">
        <v>0</v>
      </c>
    </row>
    <row r="31" spans="2:7" ht="12.75" customHeight="1" thickBot="1">
      <c r="B31" s="322" t="s">
        <v>87</v>
      </c>
      <c r="C31" s="323"/>
      <c r="D31" s="243"/>
      <c r="E31" s="244"/>
      <c r="F31" s="245"/>
      <c r="G31" s="246">
        <f>SUM(G24:G30)</f>
        <v>2000</v>
      </c>
    </row>
    <row r="32" spans="2:7" ht="12.75" customHeight="1">
      <c r="B32" s="221" t="s">
        <v>64</v>
      </c>
      <c r="C32" s="222" t="s">
        <v>65</v>
      </c>
      <c r="D32" s="255" t="s">
        <v>88</v>
      </c>
      <c r="E32" s="248"/>
      <c r="F32" s="249"/>
      <c r="G32" s="250" t="s">
        <v>68</v>
      </c>
    </row>
    <row r="33" spans="2:7" ht="12.75" customHeight="1">
      <c r="B33" s="261">
        <v>4</v>
      </c>
      <c r="C33" s="262" t="s">
        <v>89</v>
      </c>
      <c r="D33" s="263"/>
      <c r="E33" s="264"/>
      <c r="F33" s="263"/>
      <c r="G33" s="265"/>
    </row>
    <row r="34" spans="2:7" ht="12.75" customHeight="1">
      <c r="B34" s="261"/>
      <c r="C34" s="253" t="s">
        <v>118</v>
      </c>
      <c r="D34" s="263"/>
      <c r="E34" s="278">
        <v>2</v>
      </c>
      <c r="F34" s="279">
        <v>50</v>
      </c>
      <c r="G34" s="266">
        <v>100</v>
      </c>
    </row>
    <row r="35" spans="2:7" ht="12.75" customHeight="1">
      <c r="B35" s="261"/>
      <c r="C35" s="253" t="s">
        <v>119</v>
      </c>
      <c r="D35" s="263"/>
      <c r="E35" s="278">
        <v>2</v>
      </c>
      <c r="F35" s="279">
        <v>50</v>
      </c>
      <c r="G35" s="266">
        <v>100</v>
      </c>
    </row>
    <row r="36" spans="2:7" ht="12.75" customHeight="1">
      <c r="B36" s="252">
        <v>4.0999999999999996</v>
      </c>
      <c r="C36" s="253" t="s">
        <v>90</v>
      </c>
      <c r="D36" s="254"/>
      <c r="E36" s="238">
        <v>2</v>
      </c>
      <c r="F36" s="239">
        <v>50</v>
      </c>
      <c r="G36" s="240">
        <v>100</v>
      </c>
    </row>
    <row r="37" spans="2:7" ht="12.75" customHeight="1">
      <c r="B37" s="252">
        <v>4.2</v>
      </c>
      <c r="C37" s="253" t="s">
        <v>91</v>
      </c>
      <c r="D37" s="260">
        <v>25</v>
      </c>
      <c r="E37" s="238">
        <v>1</v>
      </c>
      <c r="F37" s="239">
        <v>50</v>
      </c>
      <c r="G37" s="240">
        <f>D37*E37*F37</f>
        <v>1250</v>
      </c>
    </row>
    <row r="38" spans="2:7" ht="12.75" customHeight="1">
      <c r="B38" s="252"/>
      <c r="C38" s="253" t="s">
        <v>92</v>
      </c>
      <c r="D38" s="260"/>
      <c r="E38" s="238">
        <v>0</v>
      </c>
      <c r="F38" s="239">
        <v>0</v>
      </c>
      <c r="G38" s="240">
        <v>0</v>
      </c>
    </row>
    <row r="39" spans="2:7" ht="12.75" customHeight="1" thickBot="1">
      <c r="B39" s="252">
        <v>4.3</v>
      </c>
      <c r="C39" s="253" t="s">
        <v>93</v>
      </c>
      <c r="D39" s="254"/>
      <c r="E39" s="238"/>
      <c r="F39" s="239"/>
      <c r="G39" s="266"/>
    </row>
    <row r="40" spans="2:7" ht="12.75" customHeight="1" thickBot="1">
      <c r="B40" s="322" t="s">
        <v>94</v>
      </c>
      <c r="C40" s="323"/>
      <c r="D40" s="243"/>
      <c r="E40" s="244"/>
      <c r="F40" s="245"/>
      <c r="G40" s="246">
        <f>SUM(G34:G39)</f>
        <v>1550</v>
      </c>
    </row>
    <row r="41" spans="2:7" ht="12.75" customHeight="1">
      <c r="B41" s="221" t="s">
        <v>64</v>
      </c>
      <c r="C41" s="222" t="s">
        <v>65</v>
      </c>
      <c r="D41" s="263"/>
      <c r="E41" s="248" t="s">
        <v>95</v>
      </c>
      <c r="F41" s="249" t="s">
        <v>96</v>
      </c>
      <c r="G41" s="250" t="s">
        <v>68</v>
      </c>
    </row>
    <row r="42" spans="2:7" ht="12.75" customHeight="1">
      <c r="B42" s="267">
        <v>7</v>
      </c>
      <c r="C42" s="262" t="s">
        <v>97</v>
      </c>
      <c r="D42" s="268"/>
      <c r="E42" s="264"/>
      <c r="F42" s="263"/>
      <c r="G42" s="265"/>
    </row>
    <row r="43" spans="2:7" ht="12.75" customHeight="1">
      <c r="B43" s="252">
        <v>7.1</v>
      </c>
      <c r="C43" s="253" t="s">
        <v>98</v>
      </c>
      <c r="D43" s="254"/>
      <c r="E43" s="238"/>
      <c r="F43" s="239"/>
      <c r="G43" s="240">
        <f>E43*F43</f>
        <v>0</v>
      </c>
    </row>
    <row r="44" spans="2:7" ht="12.75" customHeight="1">
      <c r="B44" s="252">
        <v>7.2</v>
      </c>
      <c r="C44" s="253" t="s">
        <v>99</v>
      </c>
      <c r="D44" s="254"/>
      <c r="E44" s="238"/>
      <c r="F44" s="239"/>
      <c r="G44" s="240">
        <f>E44*F44</f>
        <v>0</v>
      </c>
    </row>
    <row r="45" spans="2:7" ht="12.75" customHeight="1" thickBot="1">
      <c r="B45" s="252"/>
      <c r="C45" s="253"/>
      <c r="D45" s="254"/>
      <c r="E45" s="238"/>
      <c r="F45" s="239"/>
      <c r="G45" s="240">
        <f>E45*F45</f>
        <v>0</v>
      </c>
    </row>
    <row r="46" spans="2:7" ht="12.75" customHeight="1" thickBot="1">
      <c r="B46" s="322" t="s">
        <v>100</v>
      </c>
      <c r="C46" s="323"/>
      <c r="D46" s="243"/>
      <c r="E46" s="244"/>
      <c r="F46" s="245"/>
      <c r="G46" s="246">
        <f>SUM(G43:G45)</f>
        <v>0</v>
      </c>
    </row>
    <row r="47" spans="2:7" ht="12.75" customHeight="1" thickBot="1">
      <c r="B47" s="330" t="s">
        <v>101</v>
      </c>
      <c r="C47" s="331"/>
      <c r="D47" s="269"/>
      <c r="E47" s="270"/>
      <c r="F47" s="271"/>
      <c r="G47" s="272">
        <f>SUM(G46,G40,G31,G21,G14)</f>
        <v>4352</v>
      </c>
    </row>
  </sheetData>
  <mergeCells count="10">
    <mergeCell ref="B31:C31"/>
    <mergeCell ref="B40:C40"/>
    <mergeCell ref="B46:C46"/>
    <mergeCell ref="B47:C47"/>
    <mergeCell ref="B14:C14"/>
    <mergeCell ref="B21:C21"/>
    <mergeCell ref="D3:G3"/>
    <mergeCell ref="E4:G4"/>
    <mergeCell ref="E5:G5"/>
    <mergeCell ref="E6:G6"/>
  </mergeCells>
  <phoneticPr fontId="3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B1:G47"/>
  <sheetViews>
    <sheetView topLeftCell="C21" workbookViewId="0">
      <selection activeCell="G38" sqref="G38"/>
    </sheetView>
  </sheetViews>
  <sheetFormatPr defaultColWidth="8.85546875" defaultRowHeight="15"/>
  <cols>
    <col min="1" max="2" width="8.85546875" style="274"/>
    <col min="3" max="3" width="43" style="274" customWidth="1"/>
    <col min="4" max="4" width="17.140625" style="274" customWidth="1"/>
    <col min="5" max="5" width="20.7109375" style="274" customWidth="1"/>
    <col min="6" max="6" width="18.85546875" style="274" customWidth="1"/>
    <col min="7" max="7" width="19.5703125" style="274" customWidth="1"/>
    <col min="8" max="16384" width="8.85546875" style="274"/>
  </cols>
  <sheetData>
    <row r="1" spans="2:7" ht="18">
      <c r="C1" s="214" t="s">
        <v>59</v>
      </c>
      <c r="D1" s="275" t="s">
        <v>107</v>
      </c>
      <c r="E1" s="216"/>
      <c r="F1" s="213"/>
      <c r="G1" s="213"/>
    </row>
    <row r="2" spans="2:7" ht="15.75" thickBot="1">
      <c r="C2" s="214"/>
      <c r="D2" s="215"/>
      <c r="E2" s="217"/>
      <c r="F2" s="215"/>
      <c r="G2" s="215"/>
    </row>
    <row r="3" spans="2:7" ht="15.75" thickBot="1">
      <c r="C3" s="218" t="s">
        <v>60</v>
      </c>
      <c r="D3" s="324" t="s">
        <v>108</v>
      </c>
      <c r="E3" s="325"/>
      <c r="F3" s="325"/>
      <c r="G3" s="326"/>
    </row>
    <row r="4" spans="2:7" ht="15.75" thickBot="1">
      <c r="C4" s="219" t="s">
        <v>61</v>
      </c>
      <c r="D4" s="220" t="s">
        <v>122</v>
      </c>
      <c r="E4" s="327" t="s">
        <v>123</v>
      </c>
      <c r="F4" s="328"/>
      <c r="G4" s="329"/>
    </row>
    <row r="5" spans="2:7" ht="15.75" thickBot="1">
      <c r="C5" s="219" t="s">
        <v>111</v>
      </c>
      <c r="D5" s="220"/>
      <c r="E5" s="327"/>
      <c r="F5" s="328"/>
      <c r="G5" s="329"/>
    </row>
    <row r="6" spans="2:7" ht="15.75" thickBot="1">
      <c r="C6" s="219" t="s">
        <v>63</v>
      </c>
      <c r="D6" s="220"/>
      <c r="E6" s="327"/>
      <c r="F6" s="328"/>
      <c r="G6" s="329"/>
    </row>
    <row r="7" spans="2:7" ht="15.75" thickBot="1"/>
    <row r="8" spans="2:7" ht="12.75" customHeight="1" thickBot="1">
      <c r="B8" s="221" t="s">
        <v>64</v>
      </c>
      <c r="C8" s="222" t="s">
        <v>65</v>
      </c>
      <c r="D8" s="223"/>
      <c r="E8" s="224" t="s">
        <v>112</v>
      </c>
      <c r="F8" s="225" t="s">
        <v>67</v>
      </c>
      <c r="G8" s="226" t="s">
        <v>68</v>
      </c>
    </row>
    <row r="9" spans="2:7" ht="12.75" customHeight="1">
      <c r="B9" s="227">
        <v>1</v>
      </c>
      <c r="C9" s="228" t="s">
        <v>69</v>
      </c>
      <c r="D9" s="223"/>
      <c r="E9" s="229"/>
      <c r="F9" s="230"/>
      <c r="G9" s="231"/>
    </row>
    <row r="10" spans="2:7" ht="12.75" customHeight="1">
      <c r="B10" s="232">
        <v>1.2</v>
      </c>
      <c r="C10" s="233" t="s">
        <v>70</v>
      </c>
      <c r="D10" s="234"/>
      <c r="E10" s="235"/>
      <c r="F10" s="236"/>
      <c r="G10" s="237">
        <f>E10*F10</f>
        <v>0</v>
      </c>
    </row>
    <row r="11" spans="2:7" ht="12.75" customHeight="1">
      <c r="B11" s="232">
        <v>1.3</v>
      </c>
      <c r="C11" s="233" t="s">
        <v>71</v>
      </c>
      <c r="D11" s="234"/>
      <c r="E11" s="238"/>
      <c r="F11" s="239"/>
      <c r="G11" s="240"/>
    </row>
    <row r="12" spans="2:7" ht="12.75" customHeight="1">
      <c r="B12" s="232">
        <v>1.4</v>
      </c>
      <c r="C12" s="233" t="s">
        <v>72</v>
      </c>
      <c r="D12" s="234">
        <v>2</v>
      </c>
      <c r="E12" s="238">
        <v>1</v>
      </c>
      <c r="F12" s="239">
        <v>300</v>
      </c>
      <c r="G12" s="240">
        <f>E12*F12*D12</f>
        <v>600</v>
      </c>
    </row>
    <row r="13" spans="2:7" ht="12.75" customHeight="1" thickBot="1">
      <c r="B13" s="232">
        <v>1.5</v>
      </c>
      <c r="C13" s="233" t="s">
        <v>73</v>
      </c>
      <c r="D13" s="234"/>
      <c r="E13" s="241"/>
      <c r="F13" s="242"/>
      <c r="G13" s="240">
        <f>E13*F13</f>
        <v>0</v>
      </c>
    </row>
    <row r="14" spans="2:7" ht="12.75" customHeight="1" thickBot="1">
      <c r="B14" s="322" t="s">
        <v>74</v>
      </c>
      <c r="C14" s="323"/>
      <c r="D14" s="243"/>
      <c r="E14" s="244"/>
      <c r="F14" s="245"/>
      <c r="G14" s="246">
        <f>SUM(G10:G13)</f>
        <v>600</v>
      </c>
    </row>
    <row r="15" spans="2:7" ht="12.75" customHeight="1">
      <c r="B15" s="221" t="s">
        <v>64</v>
      </c>
      <c r="C15" s="222" t="s">
        <v>65</v>
      </c>
      <c r="D15" s="247"/>
      <c r="E15" s="248" t="s">
        <v>66</v>
      </c>
      <c r="F15" s="249" t="s">
        <v>67</v>
      </c>
      <c r="G15" s="250" t="s">
        <v>68</v>
      </c>
    </row>
    <row r="16" spans="2:7" ht="12.75" customHeight="1">
      <c r="B16" s="227">
        <v>2</v>
      </c>
      <c r="C16" s="228" t="s">
        <v>75</v>
      </c>
      <c r="D16" s="251"/>
      <c r="E16" s="235"/>
      <c r="F16" s="236"/>
      <c r="G16" s="237"/>
    </row>
    <row r="17" spans="2:7" ht="12.75" customHeight="1">
      <c r="B17" s="252">
        <v>2.1</v>
      </c>
      <c r="C17" s="253" t="s">
        <v>76</v>
      </c>
      <c r="D17" s="254" t="s">
        <v>113</v>
      </c>
      <c r="E17" s="238"/>
      <c r="F17" s="239"/>
      <c r="G17" s="240">
        <f>E17*F17</f>
        <v>0</v>
      </c>
    </row>
    <row r="18" spans="2:7" ht="12.75" customHeight="1">
      <c r="B18" s="252">
        <v>2.2000000000000002</v>
      </c>
      <c r="C18" s="253" t="s">
        <v>77</v>
      </c>
      <c r="D18" s="254"/>
      <c r="E18" s="238">
        <v>1</v>
      </c>
      <c r="F18" s="239">
        <v>53</v>
      </c>
      <c r="G18" s="240">
        <v>52</v>
      </c>
    </row>
    <row r="19" spans="2:7" ht="12.75" customHeight="1">
      <c r="B19" s="252">
        <v>2.2999999999999998</v>
      </c>
      <c r="C19" s="253" t="s">
        <v>78</v>
      </c>
      <c r="D19" s="254"/>
      <c r="E19" s="238">
        <v>1</v>
      </c>
      <c r="F19" s="239">
        <v>100</v>
      </c>
      <c r="G19" s="240">
        <v>100</v>
      </c>
    </row>
    <row r="20" spans="2:7" ht="12.75" customHeight="1" thickBot="1">
      <c r="B20" s="252">
        <v>2.4</v>
      </c>
      <c r="C20" s="253" t="s">
        <v>114</v>
      </c>
      <c r="D20" s="254"/>
      <c r="E20" s="238">
        <v>1</v>
      </c>
      <c r="F20" s="239">
        <v>50</v>
      </c>
      <c r="G20" s="240">
        <v>50</v>
      </c>
    </row>
    <row r="21" spans="2:7" ht="12.75" customHeight="1" thickBot="1">
      <c r="B21" s="322" t="s">
        <v>80</v>
      </c>
      <c r="C21" s="323"/>
      <c r="D21" s="243"/>
      <c r="E21" s="244"/>
      <c r="F21" s="245"/>
      <c r="G21" s="246">
        <f>SUM(G17:G20)</f>
        <v>202</v>
      </c>
    </row>
    <row r="22" spans="2:7" ht="12.75" customHeight="1">
      <c r="B22" s="221" t="s">
        <v>64</v>
      </c>
      <c r="C22" s="222" t="s">
        <v>65</v>
      </c>
      <c r="D22" s="255"/>
      <c r="E22" s="248"/>
      <c r="F22" s="247"/>
      <c r="G22" s="250" t="s">
        <v>68</v>
      </c>
    </row>
    <row r="23" spans="2:7" ht="12.75" customHeight="1">
      <c r="B23" s="256">
        <v>3</v>
      </c>
      <c r="C23" s="257" t="s">
        <v>81</v>
      </c>
      <c r="D23" s="258"/>
      <c r="E23" s="238"/>
      <c r="F23" s="239"/>
      <c r="G23" s="259"/>
    </row>
    <row r="24" spans="2:7" ht="12.75" customHeight="1">
      <c r="B24" s="256"/>
      <c r="C24" s="276" t="s">
        <v>115</v>
      </c>
      <c r="D24" s="258"/>
      <c r="E24" s="238">
        <v>1</v>
      </c>
      <c r="F24" s="239">
        <v>300</v>
      </c>
      <c r="G24" s="277">
        <v>300</v>
      </c>
    </row>
    <row r="25" spans="2:7" ht="12.75" customHeight="1">
      <c r="B25" s="256"/>
      <c r="C25" s="276" t="s">
        <v>116</v>
      </c>
      <c r="D25" s="258"/>
      <c r="E25" s="238">
        <v>1</v>
      </c>
      <c r="F25" s="239">
        <v>300</v>
      </c>
      <c r="G25" s="277">
        <v>300</v>
      </c>
    </row>
    <row r="26" spans="2:7" ht="12.75" customHeight="1">
      <c r="B26" s="252">
        <v>3.1</v>
      </c>
      <c r="C26" s="253" t="s">
        <v>117</v>
      </c>
      <c r="D26" s="260"/>
      <c r="E26" s="238">
        <v>1</v>
      </c>
      <c r="F26" s="239">
        <v>600</v>
      </c>
      <c r="G26" s="240">
        <v>600</v>
      </c>
    </row>
    <row r="27" spans="2:7" ht="12.75" customHeight="1">
      <c r="B27" s="252">
        <v>3.2</v>
      </c>
      <c r="C27" s="253" t="s">
        <v>83</v>
      </c>
      <c r="D27" s="254"/>
      <c r="E27" s="238">
        <v>0</v>
      </c>
      <c r="F27" s="239">
        <v>0</v>
      </c>
      <c r="G27" s="240">
        <v>1100</v>
      </c>
    </row>
    <row r="28" spans="2:7" ht="12.75" customHeight="1">
      <c r="B28" s="252">
        <v>3.3</v>
      </c>
      <c r="C28" s="253" t="s">
        <v>84</v>
      </c>
      <c r="D28" s="254"/>
      <c r="E28" s="238">
        <v>0</v>
      </c>
      <c r="F28" s="239">
        <v>0</v>
      </c>
      <c r="G28" s="240">
        <v>0</v>
      </c>
    </row>
    <row r="29" spans="2:7" ht="12.75" customHeight="1">
      <c r="B29" s="252">
        <v>3.4</v>
      </c>
      <c r="C29" s="253" t="s">
        <v>85</v>
      </c>
      <c r="D29" s="254"/>
      <c r="E29" s="238">
        <v>0</v>
      </c>
      <c r="F29" s="239">
        <v>0</v>
      </c>
      <c r="G29" s="240">
        <v>0</v>
      </c>
    </row>
    <row r="30" spans="2:7" ht="12.75" customHeight="1" thickBot="1">
      <c r="B30" s="252">
        <v>3.5</v>
      </c>
      <c r="C30" s="253" t="s">
        <v>86</v>
      </c>
      <c r="D30" s="254"/>
      <c r="E30" s="238">
        <v>0</v>
      </c>
      <c r="F30" s="239">
        <v>0</v>
      </c>
      <c r="G30" s="240">
        <v>0</v>
      </c>
    </row>
    <row r="31" spans="2:7" ht="12.75" customHeight="1" thickBot="1">
      <c r="B31" s="322" t="s">
        <v>87</v>
      </c>
      <c r="C31" s="323"/>
      <c r="D31" s="243"/>
      <c r="E31" s="244"/>
      <c r="F31" s="245"/>
      <c r="G31" s="246">
        <f>SUM(G24:G30)</f>
        <v>2300</v>
      </c>
    </row>
    <row r="32" spans="2:7" ht="12.75" customHeight="1">
      <c r="B32" s="221" t="s">
        <v>64</v>
      </c>
      <c r="C32" s="222" t="s">
        <v>65</v>
      </c>
      <c r="D32" s="255" t="s">
        <v>88</v>
      </c>
      <c r="E32" s="248"/>
      <c r="F32" s="249"/>
      <c r="G32" s="250" t="s">
        <v>68</v>
      </c>
    </row>
    <row r="33" spans="2:7" ht="12.75" customHeight="1">
      <c r="B33" s="261">
        <v>4</v>
      </c>
      <c r="C33" s="262" t="s">
        <v>89</v>
      </c>
      <c r="D33" s="263"/>
      <c r="E33" s="264"/>
      <c r="F33" s="263"/>
      <c r="G33" s="265"/>
    </row>
    <row r="34" spans="2:7" ht="12.75" customHeight="1">
      <c r="B34" s="261"/>
      <c r="C34" s="253" t="s">
        <v>118</v>
      </c>
      <c r="D34" s="263"/>
      <c r="E34" s="278">
        <v>2</v>
      </c>
      <c r="F34" s="279">
        <v>80</v>
      </c>
      <c r="G34" s="266">
        <v>160</v>
      </c>
    </row>
    <row r="35" spans="2:7" ht="12.75" customHeight="1">
      <c r="B35" s="261"/>
      <c r="C35" s="253" t="s">
        <v>119</v>
      </c>
      <c r="D35" s="263"/>
      <c r="E35" s="278">
        <v>2</v>
      </c>
      <c r="F35" s="279">
        <v>80</v>
      </c>
      <c r="G35" s="266">
        <v>160</v>
      </c>
    </row>
    <row r="36" spans="2:7" ht="12.75" customHeight="1">
      <c r="B36" s="252">
        <v>4.0999999999999996</v>
      </c>
      <c r="C36" s="253" t="s">
        <v>90</v>
      </c>
      <c r="D36" s="254"/>
      <c r="E36" s="238">
        <v>2</v>
      </c>
      <c r="F36" s="239">
        <v>80</v>
      </c>
      <c r="G36" s="240">
        <v>160</v>
      </c>
    </row>
    <row r="37" spans="2:7" ht="12.75" customHeight="1">
      <c r="B37" s="252">
        <v>4.2</v>
      </c>
      <c r="C37" s="253" t="s">
        <v>91</v>
      </c>
      <c r="D37" s="260">
        <v>20</v>
      </c>
      <c r="E37" s="238">
        <v>1</v>
      </c>
      <c r="F37" s="239">
        <v>80</v>
      </c>
      <c r="G37" s="240">
        <f>D37*E37*F37</f>
        <v>1600</v>
      </c>
    </row>
    <row r="38" spans="2:7" ht="12.75" customHeight="1">
      <c r="B38" s="252"/>
      <c r="C38" s="253" t="s">
        <v>92</v>
      </c>
      <c r="D38" s="260"/>
      <c r="E38" s="238">
        <v>0</v>
      </c>
      <c r="F38" s="239">
        <v>0</v>
      </c>
      <c r="G38" s="240">
        <v>0</v>
      </c>
    </row>
    <row r="39" spans="2:7" ht="12.75" customHeight="1" thickBot="1">
      <c r="B39" s="252">
        <v>4.3</v>
      </c>
      <c r="C39" s="253" t="s">
        <v>93</v>
      </c>
      <c r="D39" s="254"/>
      <c r="E39" s="238"/>
      <c r="F39" s="239"/>
      <c r="G39" s="266"/>
    </row>
    <row r="40" spans="2:7" ht="12.75" customHeight="1" thickBot="1">
      <c r="B40" s="322" t="s">
        <v>94</v>
      </c>
      <c r="C40" s="323"/>
      <c r="D40" s="243"/>
      <c r="E40" s="244"/>
      <c r="F40" s="245"/>
      <c r="G40" s="246">
        <f>SUM(G34:G39)</f>
        <v>2080</v>
      </c>
    </row>
    <row r="41" spans="2:7" ht="12.75" customHeight="1">
      <c r="B41" s="221" t="s">
        <v>64</v>
      </c>
      <c r="C41" s="222" t="s">
        <v>65</v>
      </c>
      <c r="D41" s="263"/>
      <c r="E41" s="248" t="s">
        <v>95</v>
      </c>
      <c r="F41" s="249" t="s">
        <v>96</v>
      </c>
      <c r="G41" s="250" t="s">
        <v>68</v>
      </c>
    </row>
    <row r="42" spans="2:7" ht="12.75" customHeight="1">
      <c r="B42" s="267">
        <v>7</v>
      </c>
      <c r="C42" s="262" t="s">
        <v>97</v>
      </c>
      <c r="D42" s="268"/>
      <c r="E42" s="264"/>
      <c r="F42" s="263"/>
      <c r="G42" s="265"/>
    </row>
    <row r="43" spans="2:7" ht="12.75" customHeight="1">
      <c r="B43" s="252">
        <v>7.1</v>
      </c>
      <c r="C43" s="253" t="s">
        <v>98</v>
      </c>
      <c r="D43" s="254"/>
      <c r="E43" s="238"/>
      <c r="F43" s="239"/>
      <c r="G43" s="240">
        <f>E43*F43</f>
        <v>0</v>
      </c>
    </row>
    <row r="44" spans="2:7" ht="12.75" customHeight="1">
      <c r="B44" s="252">
        <v>7.2</v>
      </c>
      <c r="C44" s="253" t="s">
        <v>99</v>
      </c>
      <c r="D44" s="254"/>
      <c r="E44" s="238"/>
      <c r="F44" s="239"/>
      <c r="G44" s="240">
        <f>E44*F44</f>
        <v>0</v>
      </c>
    </row>
    <row r="45" spans="2:7" ht="12.75" customHeight="1" thickBot="1">
      <c r="B45" s="252"/>
      <c r="C45" s="253"/>
      <c r="D45" s="254"/>
      <c r="E45" s="238"/>
      <c r="F45" s="239"/>
      <c r="G45" s="240">
        <f>E45*F45</f>
        <v>0</v>
      </c>
    </row>
    <row r="46" spans="2:7" ht="12.75" customHeight="1" thickBot="1">
      <c r="B46" s="322" t="s">
        <v>100</v>
      </c>
      <c r="C46" s="323"/>
      <c r="D46" s="243"/>
      <c r="E46" s="244"/>
      <c r="F46" s="245"/>
      <c r="G46" s="246">
        <f>SUM(G43:G45)</f>
        <v>0</v>
      </c>
    </row>
    <row r="47" spans="2:7" ht="12.75" customHeight="1" thickBot="1">
      <c r="B47" s="330" t="s">
        <v>101</v>
      </c>
      <c r="C47" s="331"/>
      <c r="D47" s="269"/>
      <c r="E47" s="270"/>
      <c r="F47" s="271"/>
      <c r="G47" s="272">
        <f>SUM(G46,G40,G31,G21,G14)</f>
        <v>5182</v>
      </c>
    </row>
  </sheetData>
  <mergeCells count="10">
    <mergeCell ref="B31:C31"/>
    <mergeCell ref="B40:C40"/>
    <mergeCell ref="B46:C46"/>
    <mergeCell ref="B47:C47"/>
    <mergeCell ref="B14:C14"/>
    <mergeCell ref="B21:C21"/>
    <mergeCell ref="D3:G3"/>
    <mergeCell ref="E4:G4"/>
    <mergeCell ref="E5:G5"/>
    <mergeCell ref="E6:G6"/>
  </mergeCells>
  <phoneticPr fontId="3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B1:G47"/>
  <sheetViews>
    <sheetView topLeftCell="C19" workbookViewId="0">
      <selection activeCell="G37" sqref="G37"/>
    </sheetView>
  </sheetViews>
  <sheetFormatPr defaultColWidth="8.85546875" defaultRowHeight="15"/>
  <cols>
    <col min="1" max="1" width="2.42578125" style="274" customWidth="1"/>
    <col min="2" max="2" width="6" style="274" customWidth="1"/>
    <col min="3" max="3" width="59.7109375" style="274" customWidth="1"/>
    <col min="4" max="4" width="18.42578125" style="274" customWidth="1"/>
    <col min="5" max="5" width="17.42578125" style="274" customWidth="1"/>
    <col min="6" max="6" width="17.7109375" style="274" customWidth="1"/>
    <col min="7" max="7" width="16.42578125" style="274" customWidth="1"/>
    <col min="8" max="16384" width="8.85546875" style="274"/>
  </cols>
  <sheetData>
    <row r="1" spans="2:7" ht="18">
      <c r="C1" s="214" t="s">
        <v>59</v>
      </c>
      <c r="D1" s="275" t="s">
        <v>107</v>
      </c>
      <c r="E1" s="216"/>
      <c r="F1" s="213"/>
      <c r="G1" s="213"/>
    </row>
    <row r="2" spans="2:7" ht="15.75" thickBot="1">
      <c r="C2" s="214"/>
      <c r="D2" s="215"/>
      <c r="E2" s="217"/>
      <c r="F2" s="215"/>
      <c r="G2" s="215"/>
    </row>
    <row r="3" spans="2:7" ht="15.75" thickBot="1">
      <c r="C3" s="218" t="s">
        <v>60</v>
      </c>
      <c r="D3" s="324" t="s">
        <v>108</v>
      </c>
      <c r="E3" s="325"/>
      <c r="F3" s="325"/>
      <c r="G3" s="326"/>
    </row>
    <row r="4" spans="2:7" ht="15.75" thickBot="1">
      <c r="C4" s="219" t="s">
        <v>61</v>
      </c>
      <c r="D4" s="220" t="s">
        <v>124</v>
      </c>
      <c r="E4" s="327" t="s">
        <v>125</v>
      </c>
      <c r="F4" s="328"/>
      <c r="G4" s="329"/>
    </row>
    <row r="5" spans="2:7" ht="15.75" thickBot="1">
      <c r="C5" s="219" t="s">
        <v>111</v>
      </c>
      <c r="D5" s="220"/>
      <c r="E5" s="327"/>
      <c r="F5" s="328"/>
      <c r="G5" s="329"/>
    </row>
    <row r="6" spans="2:7" ht="15.75" thickBot="1">
      <c r="C6" s="219" t="s">
        <v>63</v>
      </c>
      <c r="D6" s="220"/>
      <c r="E6" s="327"/>
      <c r="F6" s="328"/>
      <c r="G6" s="329"/>
    </row>
    <row r="7" spans="2:7" ht="15.75" thickBot="1"/>
    <row r="8" spans="2:7" ht="26.25" thickBot="1">
      <c r="B8" s="221" t="s">
        <v>64</v>
      </c>
      <c r="C8" s="222" t="s">
        <v>65</v>
      </c>
      <c r="D8" s="223"/>
      <c r="E8" s="224" t="s">
        <v>112</v>
      </c>
      <c r="F8" s="225" t="s">
        <v>67</v>
      </c>
      <c r="G8" s="226" t="s">
        <v>68</v>
      </c>
    </row>
    <row r="9" spans="2:7" ht="12.75" customHeight="1">
      <c r="B9" s="227">
        <v>1</v>
      </c>
      <c r="C9" s="228" t="s">
        <v>69</v>
      </c>
      <c r="D9" s="223"/>
      <c r="E9" s="229"/>
      <c r="F9" s="230"/>
      <c r="G9" s="231"/>
    </row>
    <row r="10" spans="2:7" ht="12.75" customHeight="1">
      <c r="B10" s="232">
        <v>1.2</v>
      </c>
      <c r="C10" s="233" t="s">
        <v>70</v>
      </c>
      <c r="D10" s="234"/>
      <c r="E10" s="235"/>
      <c r="F10" s="236"/>
      <c r="G10" s="237">
        <f>E10*F10</f>
        <v>0</v>
      </c>
    </row>
    <row r="11" spans="2:7">
      <c r="B11" s="232">
        <v>1.3</v>
      </c>
      <c r="C11" s="233" t="s">
        <v>71</v>
      </c>
      <c r="D11" s="234"/>
      <c r="E11" s="238"/>
      <c r="F11" s="239"/>
      <c r="G11" s="240"/>
    </row>
    <row r="12" spans="2:7">
      <c r="B12" s="232">
        <v>1.4</v>
      </c>
      <c r="C12" s="233" t="s">
        <v>72</v>
      </c>
      <c r="D12" s="234">
        <v>2</v>
      </c>
      <c r="E12" s="238">
        <v>1</v>
      </c>
      <c r="F12" s="239">
        <v>300</v>
      </c>
      <c r="G12" s="240">
        <f>E12*F12*2</f>
        <v>600</v>
      </c>
    </row>
    <row r="13" spans="2:7" ht="15.75" thickBot="1">
      <c r="B13" s="232">
        <v>1.5</v>
      </c>
      <c r="C13" s="233" t="s">
        <v>73</v>
      </c>
      <c r="D13" s="234"/>
      <c r="E13" s="241"/>
      <c r="F13" s="242"/>
      <c r="G13" s="240">
        <f>E13*F13</f>
        <v>0</v>
      </c>
    </row>
    <row r="14" spans="2:7" ht="12.75" customHeight="1" thickBot="1">
      <c r="B14" s="322" t="s">
        <v>74</v>
      </c>
      <c r="C14" s="323"/>
      <c r="D14" s="243"/>
      <c r="E14" s="244"/>
      <c r="F14" s="245"/>
      <c r="G14" s="246">
        <f>SUM(G10:G13)</f>
        <v>600</v>
      </c>
    </row>
    <row r="15" spans="2:7" ht="12.75" customHeight="1">
      <c r="B15" s="221" t="s">
        <v>64</v>
      </c>
      <c r="C15" s="222" t="s">
        <v>65</v>
      </c>
      <c r="D15" s="247"/>
      <c r="E15" s="248" t="s">
        <v>66</v>
      </c>
      <c r="F15" s="249" t="s">
        <v>67</v>
      </c>
      <c r="G15" s="250" t="s">
        <v>68</v>
      </c>
    </row>
    <row r="16" spans="2:7" ht="12.75" customHeight="1">
      <c r="B16" s="227">
        <v>2</v>
      </c>
      <c r="C16" s="228" t="s">
        <v>75</v>
      </c>
      <c r="D16" s="251"/>
      <c r="E16" s="235"/>
      <c r="F16" s="236"/>
      <c r="G16" s="237"/>
    </row>
    <row r="17" spans="2:7" ht="12.75" customHeight="1">
      <c r="B17" s="252">
        <v>2.1</v>
      </c>
      <c r="C17" s="253" t="s">
        <v>76</v>
      </c>
      <c r="D17" s="254" t="s">
        <v>113</v>
      </c>
      <c r="E17" s="238"/>
      <c r="F17" s="239"/>
      <c r="G17" s="240">
        <f>E17*F17</f>
        <v>0</v>
      </c>
    </row>
    <row r="18" spans="2:7">
      <c r="B18" s="252">
        <v>2.2000000000000002</v>
      </c>
      <c r="C18" s="253" t="s">
        <v>77</v>
      </c>
      <c r="D18" s="254"/>
      <c r="E18" s="238">
        <v>1</v>
      </c>
      <c r="F18" s="239">
        <v>53</v>
      </c>
      <c r="G18" s="240">
        <f>E18*F18</f>
        <v>53</v>
      </c>
    </row>
    <row r="19" spans="2:7">
      <c r="B19" s="252">
        <v>2.2999999999999998</v>
      </c>
      <c r="C19" s="253" t="s">
        <v>78</v>
      </c>
      <c r="D19" s="254"/>
      <c r="E19" s="238">
        <v>1</v>
      </c>
      <c r="F19" s="239">
        <v>100</v>
      </c>
      <c r="G19" s="240">
        <v>100</v>
      </c>
    </row>
    <row r="20" spans="2:7" ht="15.75" thickBot="1">
      <c r="B20" s="252">
        <v>2.4</v>
      </c>
      <c r="C20" s="253" t="s">
        <v>114</v>
      </c>
      <c r="D20" s="254"/>
      <c r="E20" s="238">
        <v>1</v>
      </c>
      <c r="F20" s="239">
        <v>50</v>
      </c>
      <c r="G20" s="240">
        <v>50</v>
      </c>
    </row>
    <row r="21" spans="2:7" ht="12.75" customHeight="1" thickBot="1">
      <c r="B21" s="322" t="s">
        <v>80</v>
      </c>
      <c r="C21" s="323"/>
      <c r="D21" s="243"/>
      <c r="E21" s="244"/>
      <c r="F21" s="245"/>
      <c r="G21" s="246">
        <f>SUM(G17:G20)</f>
        <v>203</v>
      </c>
    </row>
    <row r="22" spans="2:7" ht="12.75" customHeight="1">
      <c r="B22" s="221" t="s">
        <v>64</v>
      </c>
      <c r="C22" s="222" t="s">
        <v>65</v>
      </c>
      <c r="D22" s="255"/>
      <c r="E22" s="248"/>
      <c r="F22" s="247"/>
      <c r="G22" s="250" t="s">
        <v>68</v>
      </c>
    </row>
    <row r="23" spans="2:7" ht="12.75" customHeight="1">
      <c r="B23" s="256">
        <v>3</v>
      </c>
      <c r="C23" s="257" t="s">
        <v>81</v>
      </c>
      <c r="D23" s="258"/>
      <c r="E23" s="238"/>
      <c r="F23" s="239"/>
      <c r="G23" s="259"/>
    </row>
    <row r="24" spans="2:7" ht="12.75" customHeight="1">
      <c r="B24" s="256"/>
      <c r="C24" s="276" t="s">
        <v>115</v>
      </c>
      <c r="D24" s="258"/>
      <c r="E24" s="238">
        <v>1</v>
      </c>
      <c r="F24" s="239">
        <v>200</v>
      </c>
      <c r="G24" s="277">
        <v>200</v>
      </c>
    </row>
    <row r="25" spans="2:7" ht="12.75" customHeight="1">
      <c r="B25" s="256"/>
      <c r="C25" s="276" t="s">
        <v>116</v>
      </c>
      <c r="D25" s="258"/>
      <c r="E25" s="238">
        <v>1</v>
      </c>
      <c r="F25" s="239">
        <v>200</v>
      </c>
      <c r="G25" s="277">
        <v>200</v>
      </c>
    </row>
    <row r="26" spans="2:7" ht="12.75" customHeight="1">
      <c r="B26" s="252">
        <v>3.1</v>
      </c>
      <c r="C26" s="253" t="s">
        <v>126</v>
      </c>
      <c r="D26" s="260" t="s">
        <v>113</v>
      </c>
      <c r="E26" s="238">
        <v>0</v>
      </c>
      <c r="F26" s="239">
        <v>0</v>
      </c>
      <c r="G26" s="240">
        <v>0</v>
      </c>
    </row>
    <row r="27" spans="2:7" ht="12.75" customHeight="1">
      <c r="B27" s="252">
        <v>3.2</v>
      </c>
      <c r="C27" s="253" t="s">
        <v>83</v>
      </c>
      <c r="D27" s="254"/>
      <c r="E27" s="238">
        <v>0</v>
      </c>
      <c r="F27" s="239">
        <v>0</v>
      </c>
      <c r="G27" s="240">
        <v>1100</v>
      </c>
    </row>
    <row r="28" spans="2:7" ht="12.75" customHeight="1">
      <c r="B28" s="252">
        <v>3.3</v>
      </c>
      <c r="C28" s="253" t="s">
        <v>84</v>
      </c>
      <c r="D28" s="254"/>
      <c r="E28" s="238">
        <v>0</v>
      </c>
      <c r="F28" s="239">
        <v>0</v>
      </c>
      <c r="G28" s="240">
        <v>0</v>
      </c>
    </row>
    <row r="29" spans="2:7" ht="12.75" customHeight="1">
      <c r="B29" s="252">
        <v>3.4</v>
      </c>
      <c r="C29" s="253" t="s">
        <v>85</v>
      </c>
      <c r="D29" s="254"/>
      <c r="E29" s="238">
        <v>0</v>
      </c>
      <c r="F29" s="239">
        <v>0</v>
      </c>
      <c r="G29" s="240">
        <v>0</v>
      </c>
    </row>
    <row r="30" spans="2:7" ht="12.75" customHeight="1" thickBot="1">
      <c r="B30" s="252">
        <v>3.5</v>
      </c>
      <c r="C30" s="253" t="s">
        <v>86</v>
      </c>
      <c r="D30" s="254"/>
      <c r="E30" s="238">
        <v>0</v>
      </c>
      <c r="F30" s="239">
        <v>0</v>
      </c>
      <c r="G30" s="240">
        <v>0</v>
      </c>
    </row>
    <row r="31" spans="2:7" ht="12.75" customHeight="1" thickBot="1">
      <c r="B31" s="322" t="s">
        <v>87</v>
      </c>
      <c r="C31" s="323"/>
      <c r="D31" s="243"/>
      <c r="E31" s="244"/>
      <c r="F31" s="245"/>
      <c r="G31" s="246">
        <f>SUM(G24:G30)</f>
        <v>1500</v>
      </c>
    </row>
    <row r="32" spans="2:7" ht="12.75" customHeight="1">
      <c r="B32" s="221" t="s">
        <v>64</v>
      </c>
      <c r="C32" s="222" t="s">
        <v>65</v>
      </c>
      <c r="D32" s="255" t="s">
        <v>88</v>
      </c>
      <c r="E32" s="248"/>
      <c r="F32" s="249"/>
      <c r="G32" s="250" t="s">
        <v>68</v>
      </c>
    </row>
    <row r="33" spans="2:7" ht="12.75" customHeight="1">
      <c r="B33" s="261">
        <v>4</v>
      </c>
      <c r="C33" s="262" t="s">
        <v>89</v>
      </c>
      <c r="D33" s="263"/>
      <c r="E33" s="264"/>
      <c r="F33" s="263"/>
      <c r="G33" s="265"/>
    </row>
    <row r="34" spans="2:7" ht="12.75" customHeight="1">
      <c r="B34" s="261"/>
      <c r="C34" s="253" t="s">
        <v>118</v>
      </c>
      <c r="D34" s="263">
        <v>1</v>
      </c>
      <c r="E34" s="278">
        <v>2</v>
      </c>
      <c r="F34" s="279">
        <v>32</v>
      </c>
      <c r="G34" s="266">
        <v>64</v>
      </c>
    </row>
    <row r="35" spans="2:7" ht="12.75" customHeight="1">
      <c r="B35" s="261"/>
      <c r="C35" s="253" t="s">
        <v>119</v>
      </c>
      <c r="D35" s="263">
        <v>1</v>
      </c>
      <c r="E35" s="278">
        <v>2</v>
      </c>
      <c r="F35" s="279">
        <v>32</v>
      </c>
      <c r="G35" s="266">
        <v>64</v>
      </c>
    </row>
    <row r="36" spans="2:7" ht="12.75" customHeight="1">
      <c r="B36" s="252">
        <v>4.0999999999999996</v>
      </c>
      <c r="C36" s="253" t="s">
        <v>90</v>
      </c>
      <c r="D36" s="254">
        <v>1</v>
      </c>
      <c r="E36" s="238">
        <v>2</v>
      </c>
      <c r="F36" s="239">
        <v>32</v>
      </c>
      <c r="G36" s="240">
        <v>64</v>
      </c>
    </row>
    <row r="37" spans="2:7" ht="12.75" customHeight="1">
      <c r="B37" s="252">
        <v>4.2</v>
      </c>
      <c r="C37" s="253" t="s">
        <v>91</v>
      </c>
      <c r="D37" s="260">
        <v>20</v>
      </c>
      <c r="E37" s="238">
        <v>1</v>
      </c>
      <c r="F37" s="239">
        <v>32</v>
      </c>
      <c r="G37" s="240">
        <f>D37*E37*F37</f>
        <v>640</v>
      </c>
    </row>
    <row r="38" spans="2:7" ht="12.75" customHeight="1">
      <c r="B38" s="252"/>
      <c r="C38" s="253" t="s">
        <v>92</v>
      </c>
      <c r="D38" s="260"/>
      <c r="E38" s="238">
        <v>0</v>
      </c>
      <c r="F38" s="239">
        <v>0</v>
      </c>
      <c r="G38" s="240">
        <v>0</v>
      </c>
    </row>
    <row r="39" spans="2:7" ht="12.75" customHeight="1" thickBot="1">
      <c r="B39" s="252">
        <v>4.3</v>
      </c>
      <c r="C39" s="253" t="s">
        <v>93</v>
      </c>
      <c r="D39" s="254"/>
      <c r="E39" s="238"/>
      <c r="F39" s="239"/>
      <c r="G39" s="266"/>
    </row>
    <row r="40" spans="2:7" ht="12.75" customHeight="1" thickBot="1">
      <c r="B40" s="322" t="s">
        <v>94</v>
      </c>
      <c r="C40" s="323"/>
      <c r="D40" s="243"/>
      <c r="E40" s="244"/>
      <c r="F40" s="245"/>
      <c r="G40" s="246">
        <f>SUM(G34:G39)</f>
        <v>832</v>
      </c>
    </row>
    <row r="41" spans="2:7" ht="12.75" customHeight="1">
      <c r="B41" s="221" t="s">
        <v>64</v>
      </c>
      <c r="C41" s="222" t="s">
        <v>65</v>
      </c>
      <c r="D41" s="263"/>
      <c r="E41" s="248" t="s">
        <v>95</v>
      </c>
      <c r="F41" s="249" t="s">
        <v>96</v>
      </c>
      <c r="G41" s="250" t="s">
        <v>68</v>
      </c>
    </row>
    <row r="42" spans="2:7" ht="12.75" customHeight="1">
      <c r="B42" s="267">
        <v>7</v>
      </c>
      <c r="C42" s="262" t="s">
        <v>97</v>
      </c>
      <c r="D42" s="268"/>
      <c r="E42" s="264"/>
      <c r="F42" s="263"/>
      <c r="G42" s="265"/>
    </row>
    <row r="43" spans="2:7" ht="12.75" customHeight="1">
      <c r="B43" s="252">
        <v>7.1</v>
      </c>
      <c r="C43" s="253" t="s">
        <v>98</v>
      </c>
      <c r="D43" s="254"/>
      <c r="E43" s="238"/>
      <c r="F43" s="239"/>
      <c r="G43" s="240">
        <f>E43*F43</f>
        <v>0</v>
      </c>
    </row>
    <row r="44" spans="2:7" ht="12.75" customHeight="1">
      <c r="B44" s="252">
        <v>7.2</v>
      </c>
      <c r="C44" s="253" t="s">
        <v>99</v>
      </c>
      <c r="D44" s="254"/>
      <c r="E44" s="238"/>
      <c r="F44" s="239"/>
      <c r="G44" s="240">
        <f>E44*F44</f>
        <v>0</v>
      </c>
    </row>
    <row r="45" spans="2:7" ht="12.75" customHeight="1" thickBot="1">
      <c r="B45" s="252"/>
      <c r="C45" s="253"/>
      <c r="D45" s="254"/>
      <c r="E45" s="238"/>
      <c r="F45" s="239"/>
      <c r="G45" s="240">
        <f>E45*F45</f>
        <v>0</v>
      </c>
    </row>
    <row r="46" spans="2:7" ht="12.75" customHeight="1" thickBot="1">
      <c r="B46" s="322" t="s">
        <v>100</v>
      </c>
      <c r="C46" s="323"/>
      <c r="D46" s="243"/>
      <c r="E46" s="244"/>
      <c r="F46" s="245"/>
      <c r="G46" s="246">
        <f>SUM(G43:G45)</f>
        <v>0</v>
      </c>
    </row>
    <row r="47" spans="2:7" ht="12.75" customHeight="1" thickBot="1">
      <c r="B47" s="330" t="s">
        <v>101</v>
      </c>
      <c r="C47" s="331"/>
      <c r="D47" s="269"/>
      <c r="E47" s="270"/>
      <c r="F47" s="271"/>
      <c r="G47" s="272">
        <f>SUM(G46,G40,G31,G21,G14)</f>
        <v>3135</v>
      </c>
    </row>
  </sheetData>
  <mergeCells count="10">
    <mergeCell ref="B31:C31"/>
    <mergeCell ref="B40:C40"/>
    <mergeCell ref="B46:C46"/>
    <mergeCell ref="B47:C47"/>
    <mergeCell ref="B14:C14"/>
    <mergeCell ref="B21:C21"/>
    <mergeCell ref="D3:G3"/>
    <mergeCell ref="E4:G4"/>
    <mergeCell ref="E5:G5"/>
    <mergeCell ref="E6:G6"/>
  </mergeCells>
  <phoneticPr fontId="3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theme="7" tint="-0.499984740745262"/>
    <pageSetUpPr fitToPage="1"/>
  </sheetPr>
  <dimension ref="B1:G47"/>
  <sheetViews>
    <sheetView topLeftCell="B1" zoomScale="90" zoomScaleNormal="90" workbookViewId="0">
      <selection activeCell="D12" sqref="D12"/>
    </sheetView>
  </sheetViews>
  <sheetFormatPr defaultColWidth="11.5703125" defaultRowHeight="12.75"/>
  <cols>
    <col min="1" max="2" width="11.5703125" style="213" customWidth="1"/>
    <col min="3" max="3" width="59" style="213" bestFit="1" customWidth="1"/>
    <col min="4" max="4" width="18.5703125" style="213" customWidth="1"/>
    <col min="5" max="5" width="16.7109375" style="216" customWidth="1"/>
    <col min="6" max="6" width="15.28515625" style="213" customWidth="1"/>
    <col min="7" max="7" width="20.42578125" style="213" customWidth="1"/>
    <col min="8" max="9" width="11.42578125" style="213" customWidth="1"/>
    <col min="10" max="16384" width="11.5703125" style="213"/>
  </cols>
  <sheetData>
    <row r="1" spans="2:7" ht="18" customHeight="1">
      <c r="C1" s="214" t="s">
        <v>59</v>
      </c>
      <c r="D1" s="275" t="s">
        <v>107</v>
      </c>
    </row>
    <row r="2" spans="2:7" ht="19.5" customHeight="1" thickBot="1">
      <c r="C2" s="214"/>
      <c r="D2" s="215"/>
      <c r="E2" s="217"/>
      <c r="F2" s="215"/>
      <c r="G2" s="215"/>
    </row>
    <row r="3" spans="2:7" ht="13.5" thickBot="1">
      <c r="C3" s="218" t="s">
        <v>60</v>
      </c>
      <c r="D3" s="324" t="s">
        <v>108</v>
      </c>
      <c r="E3" s="325"/>
      <c r="F3" s="325"/>
      <c r="G3" s="326"/>
    </row>
    <row r="4" spans="2:7" ht="13.5" thickBot="1">
      <c r="C4" s="219" t="s">
        <v>61</v>
      </c>
      <c r="D4" s="220" t="s">
        <v>127</v>
      </c>
      <c r="E4" s="327" t="s">
        <v>128</v>
      </c>
      <c r="F4" s="328"/>
      <c r="G4" s="329"/>
    </row>
    <row r="5" spans="2:7" ht="13.5" thickBot="1">
      <c r="C5" s="219" t="s">
        <v>111</v>
      </c>
      <c r="D5" s="220"/>
      <c r="E5" s="327"/>
      <c r="F5" s="328"/>
      <c r="G5" s="329"/>
    </row>
    <row r="6" spans="2:7" ht="13.5" thickBot="1">
      <c r="C6" s="219" t="s">
        <v>63</v>
      </c>
      <c r="D6" s="220"/>
      <c r="E6" s="327"/>
      <c r="F6" s="328"/>
      <c r="G6" s="329"/>
    </row>
    <row r="7" spans="2:7" ht="13.5" thickBot="1">
      <c r="C7" s="215"/>
      <c r="D7" s="215"/>
      <c r="E7" s="217"/>
      <c r="F7" s="215"/>
      <c r="G7" s="215"/>
    </row>
    <row r="8" spans="2:7" ht="33" customHeight="1" thickBot="1">
      <c r="B8" s="221" t="s">
        <v>64</v>
      </c>
      <c r="C8" s="222" t="s">
        <v>65</v>
      </c>
      <c r="D8" s="223"/>
      <c r="E8" s="224" t="s">
        <v>112</v>
      </c>
      <c r="F8" s="225" t="s">
        <v>67</v>
      </c>
      <c r="G8" s="226" t="s">
        <v>68</v>
      </c>
    </row>
    <row r="9" spans="2:7">
      <c r="B9" s="227">
        <v>1</v>
      </c>
      <c r="C9" s="228" t="s">
        <v>69</v>
      </c>
      <c r="D9" s="223"/>
      <c r="E9" s="229"/>
      <c r="F9" s="230"/>
      <c r="G9" s="231"/>
    </row>
    <row r="10" spans="2:7">
      <c r="B10" s="232">
        <v>1.2</v>
      </c>
      <c r="C10" s="233" t="s">
        <v>70</v>
      </c>
      <c r="D10" s="234"/>
      <c r="E10" s="235"/>
      <c r="F10" s="236"/>
      <c r="G10" s="237">
        <f>E10*F10</f>
        <v>0</v>
      </c>
    </row>
    <row r="11" spans="2:7">
      <c r="B11" s="232">
        <v>1.3</v>
      </c>
      <c r="C11" s="233" t="s">
        <v>71</v>
      </c>
      <c r="D11" s="234"/>
      <c r="E11" s="238"/>
      <c r="F11" s="239"/>
      <c r="G11" s="240"/>
    </row>
    <row r="12" spans="2:7">
      <c r="B12" s="232">
        <v>1.4</v>
      </c>
      <c r="C12" s="233" t="s">
        <v>72</v>
      </c>
      <c r="D12" s="234">
        <v>2</v>
      </c>
      <c r="E12" s="238">
        <v>1</v>
      </c>
      <c r="F12" s="239">
        <v>373</v>
      </c>
      <c r="G12" s="240">
        <f>E12*F12*D12</f>
        <v>746</v>
      </c>
    </row>
    <row r="13" spans="2:7" ht="13.5" thickBot="1">
      <c r="B13" s="232">
        <v>1.5</v>
      </c>
      <c r="C13" s="233" t="s">
        <v>73</v>
      </c>
      <c r="D13" s="234"/>
      <c r="E13" s="241"/>
      <c r="F13" s="242"/>
      <c r="G13" s="240">
        <f>E13*F13</f>
        <v>0</v>
      </c>
    </row>
    <row r="14" spans="2:7" ht="13.5" thickBot="1">
      <c r="B14" s="322" t="s">
        <v>74</v>
      </c>
      <c r="C14" s="323"/>
      <c r="D14" s="243"/>
      <c r="E14" s="244"/>
      <c r="F14" s="245"/>
      <c r="G14" s="246">
        <f>SUM(G10:G13)</f>
        <v>746</v>
      </c>
    </row>
    <row r="15" spans="2:7">
      <c r="B15" s="221" t="s">
        <v>64</v>
      </c>
      <c r="C15" s="222" t="s">
        <v>65</v>
      </c>
      <c r="D15" s="247"/>
      <c r="E15" s="248" t="s">
        <v>66</v>
      </c>
      <c r="F15" s="249" t="s">
        <v>67</v>
      </c>
      <c r="G15" s="250" t="s">
        <v>68</v>
      </c>
    </row>
    <row r="16" spans="2:7">
      <c r="B16" s="227">
        <v>2</v>
      </c>
      <c r="C16" s="228" t="s">
        <v>75</v>
      </c>
      <c r="D16" s="251"/>
      <c r="E16" s="235"/>
      <c r="F16" s="236"/>
      <c r="G16" s="237"/>
    </row>
    <row r="17" spans="2:7">
      <c r="B17" s="252">
        <v>2.1</v>
      </c>
      <c r="C17" s="253" t="s">
        <v>76</v>
      </c>
      <c r="D17" s="254" t="s">
        <v>113</v>
      </c>
      <c r="E17" s="238"/>
      <c r="F17" s="239"/>
      <c r="G17" s="240">
        <f>E17*F17</f>
        <v>0</v>
      </c>
    </row>
    <row r="18" spans="2:7">
      <c r="B18" s="252">
        <v>2.2000000000000002</v>
      </c>
      <c r="C18" s="253" t="s">
        <v>77</v>
      </c>
      <c r="D18" s="254"/>
      <c r="E18" s="238">
        <v>1</v>
      </c>
      <c r="F18" s="239">
        <v>68</v>
      </c>
      <c r="G18" s="240">
        <v>68</v>
      </c>
    </row>
    <row r="19" spans="2:7">
      <c r="B19" s="252">
        <v>2.2999999999999998</v>
      </c>
      <c r="C19" s="253" t="s">
        <v>78</v>
      </c>
      <c r="D19" s="254"/>
      <c r="E19" s="238">
        <v>1</v>
      </c>
      <c r="F19" s="239">
        <v>119</v>
      </c>
      <c r="G19" s="240">
        <v>119</v>
      </c>
    </row>
    <row r="20" spans="2:7" ht="13.5" thickBot="1">
      <c r="B20" s="252">
        <v>2.4</v>
      </c>
      <c r="C20" s="253" t="s">
        <v>114</v>
      </c>
      <c r="D20" s="254"/>
      <c r="E20" s="238">
        <v>1</v>
      </c>
      <c r="F20" s="239">
        <v>68</v>
      </c>
      <c r="G20" s="240">
        <v>68</v>
      </c>
    </row>
    <row r="21" spans="2:7" ht="18" customHeight="1" thickBot="1">
      <c r="B21" s="322" t="s">
        <v>80</v>
      </c>
      <c r="C21" s="323"/>
      <c r="D21" s="243"/>
      <c r="E21" s="244"/>
      <c r="F21" s="245"/>
      <c r="G21" s="246">
        <f>SUM(G17:G20)</f>
        <v>255</v>
      </c>
    </row>
    <row r="22" spans="2:7">
      <c r="B22" s="221" t="s">
        <v>64</v>
      </c>
      <c r="C22" s="222" t="s">
        <v>65</v>
      </c>
      <c r="D22" s="255"/>
      <c r="E22" s="248"/>
      <c r="F22" s="247"/>
      <c r="G22" s="250" t="s">
        <v>68</v>
      </c>
    </row>
    <row r="23" spans="2:7">
      <c r="B23" s="256">
        <v>3</v>
      </c>
      <c r="C23" s="257" t="s">
        <v>81</v>
      </c>
      <c r="D23" s="258"/>
      <c r="E23" s="238"/>
      <c r="F23" s="239"/>
      <c r="G23" s="259"/>
    </row>
    <row r="24" spans="2:7">
      <c r="B24" s="256"/>
      <c r="C24" s="276" t="s">
        <v>115</v>
      </c>
      <c r="D24" s="258"/>
      <c r="E24" s="238">
        <v>1</v>
      </c>
      <c r="F24" s="239">
        <v>100</v>
      </c>
      <c r="G24" s="277">
        <v>100</v>
      </c>
    </row>
    <row r="25" spans="2:7">
      <c r="B25" s="256"/>
      <c r="C25" s="276" t="s">
        <v>116</v>
      </c>
      <c r="D25" s="258"/>
      <c r="E25" s="238">
        <v>1</v>
      </c>
      <c r="F25" s="239">
        <v>100</v>
      </c>
      <c r="G25" s="277">
        <v>100</v>
      </c>
    </row>
    <row r="26" spans="2:7">
      <c r="B26" s="252">
        <v>3.1</v>
      </c>
      <c r="C26" s="253" t="s">
        <v>126</v>
      </c>
      <c r="D26" s="260" t="s">
        <v>113</v>
      </c>
      <c r="E26" s="238">
        <v>0</v>
      </c>
      <c r="F26" s="239">
        <v>0</v>
      </c>
      <c r="G26" s="240">
        <v>0</v>
      </c>
    </row>
    <row r="27" spans="2:7">
      <c r="B27" s="252">
        <v>3.2</v>
      </c>
      <c r="C27" s="253" t="s">
        <v>83</v>
      </c>
      <c r="D27" s="254"/>
      <c r="E27" s="238">
        <v>0</v>
      </c>
      <c r="F27" s="239">
        <v>0</v>
      </c>
      <c r="G27" s="240">
        <v>1100</v>
      </c>
    </row>
    <row r="28" spans="2:7">
      <c r="B28" s="252">
        <v>3.3</v>
      </c>
      <c r="C28" s="253" t="s">
        <v>84</v>
      </c>
      <c r="D28" s="254"/>
      <c r="E28" s="238">
        <v>0</v>
      </c>
      <c r="F28" s="239">
        <v>0</v>
      </c>
      <c r="G28" s="240">
        <v>0</v>
      </c>
    </row>
    <row r="29" spans="2:7">
      <c r="B29" s="252">
        <v>3.4</v>
      </c>
      <c r="C29" s="253" t="s">
        <v>85</v>
      </c>
      <c r="D29" s="254"/>
      <c r="E29" s="238">
        <v>0</v>
      </c>
      <c r="F29" s="239">
        <v>0</v>
      </c>
      <c r="G29" s="240">
        <v>0</v>
      </c>
    </row>
    <row r="30" spans="2:7" ht="13.5" thickBot="1">
      <c r="B30" s="252">
        <v>3.5</v>
      </c>
      <c r="C30" s="253" t="s">
        <v>86</v>
      </c>
      <c r="D30" s="254"/>
      <c r="E30" s="238">
        <v>0</v>
      </c>
      <c r="F30" s="239">
        <v>0</v>
      </c>
      <c r="G30" s="240">
        <v>0</v>
      </c>
    </row>
    <row r="31" spans="2:7" ht="18" customHeight="1" thickBot="1">
      <c r="B31" s="322" t="s">
        <v>87</v>
      </c>
      <c r="C31" s="323"/>
      <c r="D31" s="243"/>
      <c r="E31" s="244"/>
      <c r="F31" s="245"/>
      <c r="G31" s="246">
        <f>SUM(G24:G30)</f>
        <v>1300</v>
      </c>
    </row>
    <row r="32" spans="2:7" ht="25.5">
      <c r="B32" s="221" t="s">
        <v>64</v>
      </c>
      <c r="C32" s="222" t="s">
        <v>65</v>
      </c>
      <c r="D32" s="255" t="s">
        <v>88</v>
      </c>
      <c r="E32" s="248"/>
      <c r="F32" s="249"/>
      <c r="G32" s="250" t="s">
        <v>68</v>
      </c>
    </row>
    <row r="33" spans="2:7">
      <c r="B33" s="261">
        <v>4</v>
      </c>
      <c r="C33" s="262" t="s">
        <v>89</v>
      </c>
      <c r="D33" s="263"/>
      <c r="E33" s="264"/>
      <c r="F33" s="263"/>
      <c r="G33" s="265"/>
    </row>
    <row r="34" spans="2:7">
      <c r="B34" s="261"/>
      <c r="C34" s="253" t="s">
        <v>118</v>
      </c>
      <c r="D34" s="263">
        <v>1</v>
      </c>
      <c r="E34" s="278">
        <v>1</v>
      </c>
      <c r="F34" s="279">
        <v>80</v>
      </c>
      <c r="G34" s="266">
        <v>80</v>
      </c>
    </row>
    <row r="35" spans="2:7">
      <c r="B35" s="261"/>
      <c r="C35" s="253" t="s">
        <v>119</v>
      </c>
      <c r="D35" s="263">
        <v>1</v>
      </c>
      <c r="E35" s="278">
        <v>1</v>
      </c>
      <c r="F35" s="279">
        <v>80</v>
      </c>
      <c r="G35" s="266">
        <v>80</v>
      </c>
    </row>
    <row r="36" spans="2:7">
      <c r="B36" s="252">
        <v>4.0999999999999996</v>
      </c>
      <c r="C36" s="253" t="s">
        <v>90</v>
      </c>
      <c r="D36" s="254">
        <v>1</v>
      </c>
      <c r="E36" s="238">
        <v>1</v>
      </c>
      <c r="F36" s="239">
        <v>80</v>
      </c>
      <c r="G36" s="240">
        <v>80</v>
      </c>
    </row>
    <row r="37" spans="2:7">
      <c r="B37" s="252">
        <v>4.2</v>
      </c>
      <c r="C37" s="253" t="s">
        <v>91</v>
      </c>
      <c r="D37" s="260">
        <v>30</v>
      </c>
      <c r="E37" s="238">
        <v>1</v>
      </c>
      <c r="F37" s="239">
        <v>80</v>
      </c>
      <c r="G37" s="240">
        <f>D37*E37*F37</f>
        <v>2400</v>
      </c>
    </row>
    <row r="38" spans="2:7">
      <c r="B38" s="252"/>
      <c r="C38" s="253" t="s">
        <v>92</v>
      </c>
      <c r="D38" s="260"/>
      <c r="E38" s="238">
        <v>0</v>
      </c>
      <c r="F38" s="239">
        <v>0</v>
      </c>
      <c r="G38" s="240">
        <v>0</v>
      </c>
    </row>
    <row r="39" spans="2:7" ht="13.5" thickBot="1">
      <c r="B39" s="252">
        <v>4.3</v>
      </c>
      <c r="C39" s="253" t="s">
        <v>93</v>
      </c>
      <c r="D39" s="254"/>
      <c r="E39" s="238"/>
      <c r="F39" s="239"/>
      <c r="G39" s="266"/>
    </row>
    <row r="40" spans="2:7" ht="18" customHeight="1" thickBot="1">
      <c r="B40" s="322" t="s">
        <v>94</v>
      </c>
      <c r="C40" s="323"/>
      <c r="D40" s="243"/>
      <c r="E40" s="244"/>
      <c r="F40" s="245"/>
      <c r="G40" s="246">
        <f>SUM(G34:G39)</f>
        <v>2640</v>
      </c>
    </row>
    <row r="41" spans="2:7">
      <c r="B41" s="221" t="s">
        <v>64</v>
      </c>
      <c r="C41" s="222" t="s">
        <v>65</v>
      </c>
      <c r="D41" s="263"/>
      <c r="E41" s="248" t="s">
        <v>95</v>
      </c>
      <c r="F41" s="249" t="s">
        <v>96</v>
      </c>
      <c r="G41" s="250" t="s">
        <v>68</v>
      </c>
    </row>
    <row r="42" spans="2:7">
      <c r="B42" s="267">
        <v>7</v>
      </c>
      <c r="C42" s="262" t="s">
        <v>97</v>
      </c>
      <c r="D42" s="268"/>
      <c r="E42" s="264"/>
      <c r="F42" s="263"/>
      <c r="G42" s="265"/>
    </row>
    <row r="43" spans="2:7">
      <c r="B43" s="252">
        <v>7.1</v>
      </c>
      <c r="C43" s="253" t="s">
        <v>98</v>
      </c>
      <c r="D43" s="254"/>
      <c r="E43" s="238"/>
      <c r="F43" s="239"/>
      <c r="G43" s="240">
        <f>E43*F43</f>
        <v>0</v>
      </c>
    </row>
    <row r="44" spans="2:7">
      <c r="B44" s="252">
        <v>7.2</v>
      </c>
      <c r="C44" s="253" t="s">
        <v>99</v>
      </c>
      <c r="D44" s="254"/>
      <c r="E44" s="238"/>
      <c r="F44" s="239"/>
      <c r="G44" s="240">
        <f>E44*F44</f>
        <v>0</v>
      </c>
    </row>
    <row r="45" spans="2:7" ht="13.5" thickBot="1">
      <c r="B45" s="252"/>
      <c r="C45" s="253"/>
      <c r="D45" s="254"/>
      <c r="E45" s="238"/>
      <c r="F45" s="239"/>
      <c r="G45" s="240">
        <f>E45*F45</f>
        <v>0</v>
      </c>
    </row>
    <row r="46" spans="2:7" ht="18" customHeight="1" thickBot="1">
      <c r="B46" s="322" t="s">
        <v>100</v>
      </c>
      <c r="C46" s="323"/>
      <c r="D46" s="243"/>
      <c r="E46" s="244"/>
      <c r="F46" s="245"/>
      <c r="G46" s="246">
        <f>SUM(G43:G45)</f>
        <v>0</v>
      </c>
    </row>
    <row r="47" spans="2:7" ht="13.5" thickBot="1">
      <c r="B47" s="330" t="s">
        <v>101</v>
      </c>
      <c r="C47" s="331"/>
      <c r="D47" s="269"/>
      <c r="E47" s="270"/>
      <c r="F47" s="271"/>
      <c r="G47" s="272">
        <f>SUM(G46,G40,G31,G21,G14)</f>
        <v>4941</v>
      </c>
    </row>
  </sheetData>
  <mergeCells count="10">
    <mergeCell ref="B31:C31"/>
    <mergeCell ref="B40:C40"/>
    <mergeCell ref="B46:C46"/>
    <mergeCell ref="B47:C47"/>
    <mergeCell ref="B14:C14"/>
    <mergeCell ref="B21:C21"/>
    <mergeCell ref="D3:G3"/>
    <mergeCell ref="E4:G4"/>
    <mergeCell ref="E5:G5"/>
    <mergeCell ref="E6:G6"/>
  </mergeCells>
  <phoneticPr fontId="3" type="noConversion"/>
  <pageMargins left="0.75" right="0.75" top="1" bottom="1" header="0" footer="0"/>
  <pageSetup paperSize="9" scale="5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theme="7" tint="-0.499984740745262"/>
    <pageSetUpPr fitToPage="1"/>
  </sheetPr>
  <dimension ref="B1:G43"/>
  <sheetViews>
    <sheetView topLeftCell="C7" zoomScale="90" zoomScaleNormal="90" workbookViewId="0">
      <selection activeCell="C10" sqref="C10"/>
    </sheetView>
  </sheetViews>
  <sheetFormatPr defaultColWidth="11.5703125" defaultRowHeight="12.75"/>
  <cols>
    <col min="1" max="2" width="11.5703125" style="213" customWidth="1"/>
    <col min="3" max="3" width="58.42578125" style="213" customWidth="1"/>
    <col min="4" max="4" width="18.5703125" style="213" customWidth="1"/>
    <col min="5" max="5" width="16.7109375" style="216" customWidth="1"/>
    <col min="6" max="6" width="15.28515625" style="213" customWidth="1"/>
    <col min="7" max="7" width="20.42578125" style="213" customWidth="1"/>
    <col min="8" max="9" width="11.42578125" style="213" customWidth="1"/>
    <col min="10" max="16384" width="11.5703125" style="213"/>
  </cols>
  <sheetData>
    <row r="1" spans="2:7" ht="18" customHeight="1">
      <c r="C1" s="214" t="s">
        <v>59</v>
      </c>
      <c r="D1" s="215"/>
    </row>
    <row r="2" spans="2:7" ht="19.5" customHeight="1" thickBot="1">
      <c r="C2" s="214"/>
      <c r="D2" s="215"/>
      <c r="E2" s="217"/>
      <c r="F2" s="215"/>
      <c r="G2" s="215"/>
    </row>
    <row r="3" spans="2:7" ht="13.5" thickBot="1">
      <c r="C3" s="218" t="s">
        <v>60</v>
      </c>
      <c r="D3" s="324"/>
      <c r="E3" s="325"/>
      <c r="F3" s="325"/>
      <c r="G3" s="326"/>
    </row>
    <row r="4" spans="2:7" ht="13.5" thickBot="1">
      <c r="C4" s="219" t="s">
        <v>61</v>
      </c>
      <c r="D4" s="220"/>
      <c r="E4" s="327"/>
      <c r="F4" s="328"/>
      <c r="G4" s="329"/>
    </row>
    <row r="5" spans="2:7" ht="13.5" thickBot="1">
      <c r="C5" s="219" t="s">
        <v>62</v>
      </c>
      <c r="D5" s="220"/>
      <c r="E5" s="327"/>
      <c r="F5" s="328"/>
      <c r="G5" s="329"/>
    </row>
    <row r="6" spans="2:7" ht="13.5" thickBot="1">
      <c r="C6" s="219" t="s">
        <v>63</v>
      </c>
      <c r="D6" s="220"/>
      <c r="E6" s="327"/>
      <c r="F6" s="328"/>
      <c r="G6" s="329"/>
    </row>
    <row r="7" spans="2:7" ht="13.5" thickBot="1">
      <c r="C7" s="215"/>
      <c r="D7" s="215"/>
      <c r="E7" s="217"/>
      <c r="F7" s="215"/>
      <c r="G7" s="215"/>
    </row>
    <row r="8" spans="2:7" ht="33" customHeight="1" thickBot="1">
      <c r="B8" s="221" t="s">
        <v>64</v>
      </c>
      <c r="C8" s="222" t="s">
        <v>65</v>
      </c>
      <c r="D8" s="223"/>
      <c r="E8" s="224" t="s">
        <v>66</v>
      </c>
      <c r="F8" s="225" t="s">
        <v>67</v>
      </c>
      <c r="G8" s="226" t="s">
        <v>68</v>
      </c>
    </row>
    <row r="9" spans="2:7">
      <c r="B9" s="227">
        <v>1</v>
      </c>
      <c r="C9" s="228" t="s">
        <v>104</v>
      </c>
      <c r="D9" s="223"/>
      <c r="E9" s="229"/>
      <c r="F9" s="230"/>
      <c r="G9" s="231"/>
    </row>
    <row r="10" spans="2:7">
      <c r="B10" s="232">
        <v>1.2</v>
      </c>
      <c r="C10" s="233" t="s">
        <v>70</v>
      </c>
      <c r="D10" s="234"/>
      <c r="E10" s="235"/>
      <c r="F10" s="236"/>
      <c r="G10" s="237">
        <f>E10*F10</f>
        <v>0</v>
      </c>
    </row>
    <row r="11" spans="2:7">
      <c r="B11" s="232">
        <v>1.3</v>
      </c>
      <c r="C11" s="233" t="s">
        <v>71</v>
      </c>
      <c r="D11" s="234"/>
      <c r="E11" s="238"/>
      <c r="F11" s="239"/>
      <c r="G11" s="240"/>
    </row>
    <row r="12" spans="2:7">
      <c r="B12" s="232">
        <v>1.4</v>
      </c>
      <c r="C12" s="233" t="s">
        <v>72</v>
      </c>
      <c r="D12" s="234"/>
      <c r="E12" s="238"/>
      <c r="F12" s="239"/>
      <c r="G12" s="240">
        <f>E12*F12</f>
        <v>0</v>
      </c>
    </row>
    <row r="13" spans="2:7" ht="13.5" thickBot="1">
      <c r="B13" s="232">
        <v>1.5</v>
      </c>
      <c r="C13" s="233" t="s">
        <v>73</v>
      </c>
      <c r="D13" s="234"/>
      <c r="E13" s="241"/>
      <c r="F13" s="242"/>
      <c r="G13" s="240">
        <f>E13*F13</f>
        <v>0</v>
      </c>
    </row>
    <row r="14" spans="2:7" ht="13.5" thickBot="1">
      <c r="B14" s="322" t="s">
        <v>74</v>
      </c>
      <c r="C14" s="323"/>
      <c r="D14" s="243"/>
      <c r="E14" s="244"/>
      <c r="F14" s="245"/>
      <c r="G14" s="246">
        <f>SUM(G10:G13)</f>
        <v>0</v>
      </c>
    </row>
    <row r="15" spans="2:7">
      <c r="B15" s="221" t="s">
        <v>64</v>
      </c>
      <c r="C15" s="222" t="s">
        <v>65</v>
      </c>
      <c r="D15" s="247"/>
      <c r="E15" s="248" t="s">
        <v>66</v>
      </c>
      <c r="F15" s="249" t="s">
        <v>67</v>
      </c>
      <c r="G15" s="250" t="s">
        <v>68</v>
      </c>
    </row>
    <row r="16" spans="2:7">
      <c r="B16" s="227">
        <v>2</v>
      </c>
      <c r="C16" s="228" t="s">
        <v>75</v>
      </c>
      <c r="D16" s="251"/>
      <c r="E16" s="235"/>
      <c r="F16" s="236"/>
      <c r="G16" s="237"/>
    </row>
    <row r="17" spans="2:7">
      <c r="B17" s="252">
        <v>2.1</v>
      </c>
      <c r="C17" s="253" t="s">
        <v>76</v>
      </c>
      <c r="D17" s="254"/>
      <c r="E17" s="238"/>
      <c r="F17" s="239"/>
      <c r="G17" s="240">
        <f>E17*F17</f>
        <v>0</v>
      </c>
    </row>
    <row r="18" spans="2:7">
      <c r="B18" s="252">
        <v>2.2000000000000002</v>
      </c>
      <c r="C18" s="253" t="s">
        <v>77</v>
      </c>
      <c r="D18" s="254"/>
      <c r="E18" s="238"/>
      <c r="F18" s="239"/>
      <c r="G18" s="240">
        <f>E18*F18</f>
        <v>0</v>
      </c>
    </row>
    <row r="19" spans="2:7">
      <c r="B19" s="252">
        <v>2.2999999999999998</v>
      </c>
      <c r="C19" s="253" t="s">
        <v>78</v>
      </c>
      <c r="D19" s="254"/>
      <c r="E19" s="238"/>
      <c r="F19" s="239"/>
      <c r="G19" s="240">
        <f>E19*F19</f>
        <v>0</v>
      </c>
    </row>
    <row r="20" spans="2:7" ht="13.5" thickBot="1">
      <c r="B20" s="252">
        <v>2.4</v>
      </c>
      <c r="C20" s="253" t="s">
        <v>79</v>
      </c>
      <c r="D20" s="254"/>
      <c r="E20" s="238"/>
      <c r="F20" s="239"/>
      <c r="G20" s="240"/>
    </row>
    <row r="21" spans="2:7" ht="18" customHeight="1" thickBot="1">
      <c r="B21" s="322" t="s">
        <v>80</v>
      </c>
      <c r="C21" s="323"/>
      <c r="D21" s="243"/>
      <c r="E21" s="244"/>
      <c r="F21" s="245"/>
      <c r="G21" s="246">
        <f>SUM(G17:G20)</f>
        <v>0</v>
      </c>
    </row>
    <row r="22" spans="2:7">
      <c r="B22" s="221" t="s">
        <v>64</v>
      </c>
      <c r="C22" s="222" t="s">
        <v>65</v>
      </c>
      <c r="D22" s="255"/>
      <c r="E22" s="248"/>
      <c r="F22" s="247"/>
      <c r="G22" s="250" t="s">
        <v>68</v>
      </c>
    </row>
    <row r="23" spans="2:7">
      <c r="B23" s="256">
        <v>3</v>
      </c>
      <c r="C23" s="257" t="s">
        <v>81</v>
      </c>
      <c r="D23" s="258"/>
      <c r="E23" s="238"/>
      <c r="F23" s="239"/>
      <c r="G23" s="259"/>
    </row>
    <row r="24" spans="2:7">
      <c r="B24" s="252">
        <v>3.1</v>
      </c>
      <c r="C24" s="253" t="s">
        <v>82</v>
      </c>
      <c r="D24" s="260"/>
      <c r="E24" s="238"/>
      <c r="F24" s="239"/>
      <c r="G24" s="240">
        <f>E24*F24</f>
        <v>0</v>
      </c>
    </row>
    <row r="25" spans="2:7">
      <c r="B25" s="252">
        <v>3.2</v>
      </c>
      <c r="C25" s="253" t="s">
        <v>83</v>
      </c>
      <c r="D25" s="254"/>
      <c r="E25" s="238"/>
      <c r="F25" s="239"/>
      <c r="G25" s="240">
        <f>E25*F25</f>
        <v>0</v>
      </c>
    </row>
    <row r="26" spans="2:7">
      <c r="B26" s="252">
        <v>3.3</v>
      </c>
      <c r="C26" s="253" t="s">
        <v>84</v>
      </c>
      <c r="D26" s="254"/>
      <c r="E26" s="238"/>
      <c r="F26" s="239"/>
      <c r="G26" s="240">
        <f>E26*F26</f>
        <v>0</v>
      </c>
    </row>
    <row r="27" spans="2:7">
      <c r="B27" s="252">
        <v>3.4</v>
      </c>
      <c r="C27" s="253" t="s">
        <v>85</v>
      </c>
      <c r="D27" s="254"/>
      <c r="E27" s="238"/>
      <c r="F27" s="239"/>
      <c r="G27" s="240">
        <f>E27*F27</f>
        <v>0</v>
      </c>
    </row>
    <row r="28" spans="2:7" ht="13.5" thickBot="1">
      <c r="B28" s="252">
        <v>3.5</v>
      </c>
      <c r="C28" s="253" t="s">
        <v>86</v>
      </c>
      <c r="D28" s="254"/>
      <c r="E28" s="238"/>
      <c r="F28" s="239"/>
      <c r="G28" s="240">
        <f>E28*F28</f>
        <v>0</v>
      </c>
    </row>
    <row r="29" spans="2:7" ht="18" customHeight="1" thickBot="1">
      <c r="B29" s="322" t="s">
        <v>87</v>
      </c>
      <c r="C29" s="323"/>
      <c r="D29" s="243"/>
      <c r="E29" s="244"/>
      <c r="F29" s="245"/>
      <c r="G29" s="246">
        <f>SUM(G24:G28)</f>
        <v>0</v>
      </c>
    </row>
    <row r="30" spans="2:7" ht="25.5">
      <c r="B30" s="221" t="s">
        <v>64</v>
      </c>
      <c r="C30" s="222" t="s">
        <v>65</v>
      </c>
      <c r="D30" s="255" t="s">
        <v>88</v>
      </c>
      <c r="E30" s="248"/>
      <c r="F30" s="249"/>
      <c r="G30" s="250" t="s">
        <v>68</v>
      </c>
    </row>
    <row r="31" spans="2:7">
      <c r="B31" s="261">
        <v>4</v>
      </c>
      <c r="C31" s="262" t="s">
        <v>89</v>
      </c>
      <c r="D31" s="263"/>
      <c r="E31" s="264"/>
      <c r="F31" s="263"/>
      <c r="G31" s="265"/>
    </row>
    <row r="32" spans="2:7">
      <c r="B32" s="252">
        <v>4.0999999999999996</v>
      </c>
      <c r="C32" s="253" t="s">
        <v>90</v>
      </c>
      <c r="D32" s="254"/>
      <c r="E32" s="238"/>
      <c r="F32" s="239"/>
      <c r="G32" s="240">
        <f>D32*E32*F32</f>
        <v>0</v>
      </c>
    </row>
    <row r="33" spans="2:7">
      <c r="B33" s="252">
        <v>4.2</v>
      </c>
      <c r="C33" s="253" t="s">
        <v>91</v>
      </c>
      <c r="D33" s="260"/>
      <c r="E33" s="238"/>
      <c r="F33" s="239"/>
      <c r="G33" s="240">
        <f>D33*E33*F33</f>
        <v>0</v>
      </c>
    </row>
    <row r="34" spans="2:7">
      <c r="B34" s="252"/>
      <c r="C34" s="253" t="s">
        <v>92</v>
      </c>
      <c r="D34" s="260"/>
      <c r="E34" s="238"/>
      <c r="F34" s="239"/>
      <c r="G34" s="240">
        <f>D34*E34*F34</f>
        <v>0</v>
      </c>
    </row>
    <row r="35" spans="2:7" ht="13.5" thickBot="1">
      <c r="B35" s="252">
        <v>4.3</v>
      </c>
      <c r="C35" s="253" t="s">
        <v>93</v>
      </c>
      <c r="D35" s="254"/>
      <c r="E35" s="238"/>
      <c r="F35" s="239"/>
      <c r="G35" s="266"/>
    </row>
    <row r="36" spans="2:7" ht="18" customHeight="1" thickBot="1">
      <c r="B36" s="322" t="s">
        <v>94</v>
      </c>
      <c r="C36" s="323"/>
      <c r="D36" s="243"/>
      <c r="E36" s="244"/>
      <c r="F36" s="245"/>
      <c r="G36" s="246">
        <f>SUM(G32:G35)</f>
        <v>0</v>
      </c>
    </row>
    <row r="37" spans="2:7">
      <c r="B37" s="221" t="s">
        <v>64</v>
      </c>
      <c r="C37" s="222" t="s">
        <v>65</v>
      </c>
      <c r="D37" s="263"/>
      <c r="E37" s="248" t="s">
        <v>95</v>
      </c>
      <c r="F37" s="249" t="s">
        <v>96</v>
      </c>
      <c r="G37" s="250" t="s">
        <v>68</v>
      </c>
    </row>
    <row r="38" spans="2:7">
      <c r="B38" s="267">
        <v>7</v>
      </c>
      <c r="C38" s="262" t="s">
        <v>97</v>
      </c>
      <c r="D38" s="268"/>
      <c r="E38" s="264"/>
      <c r="F38" s="263"/>
      <c r="G38" s="265"/>
    </row>
    <row r="39" spans="2:7">
      <c r="B39" s="252">
        <v>7.1</v>
      </c>
      <c r="C39" s="253" t="s">
        <v>98</v>
      </c>
      <c r="D39" s="254"/>
      <c r="E39" s="238"/>
      <c r="F39" s="239"/>
      <c r="G39" s="240">
        <f>E39*F39</f>
        <v>0</v>
      </c>
    </row>
    <row r="40" spans="2:7">
      <c r="B40" s="252">
        <v>7.2</v>
      </c>
      <c r="C40" s="253" t="s">
        <v>99</v>
      </c>
      <c r="D40" s="254"/>
      <c r="E40" s="238"/>
      <c r="F40" s="239"/>
      <c r="G40" s="240">
        <f>E40*F40</f>
        <v>0</v>
      </c>
    </row>
    <row r="41" spans="2:7" ht="13.5" thickBot="1">
      <c r="B41" s="252"/>
      <c r="C41" s="253"/>
      <c r="D41" s="254"/>
      <c r="E41" s="238"/>
      <c r="F41" s="239"/>
      <c r="G41" s="240">
        <f>E41*F41</f>
        <v>0</v>
      </c>
    </row>
    <row r="42" spans="2:7" ht="18" customHeight="1" thickBot="1">
      <c r="B42" s="322" t="s">
        <v>100</v>
      </c>
      <c r="C42" s="323"/>
      <c r="D42" s="243"/>
      <c r="E42" s="244"/>
      <c r="F42" s="245"/>
      <c r="G42" s="246">
        <f>SUM(G39:G41)</f>
        <v>0</v>
      </c>
    </row>
    <row r="43" spans="2:7" ht="13.5" thickBot="1">
      <c r="B43" s="330" t="s">
        <v>101</v>
      </c>
      <c r="C43" s="331"/>
      <c r="D43" s="269"/>
      <c r="E43" s="270"/>
      <c r="F43" s="271"/>
      <c r="G43" s="272">
        <f>SUM(G42,G36,G29,G21,G14)</f>
        <v>0</v>
      </c>
    </row>
  </sheetData>
  <mergeCells count="10">
    <mergeCell ref="B29:C29"/>
    <mergeCell ref="B36:C36"/>
    <mergeCell ref="B42:C42"/>
    <mergeCell ref="B43:C43"/>
    <mergeCell ref="B14:C14"/>
    <mergeCell ref="B21:C21"/>
    <mergeCell ref="D3:G3"/>
    <mergeCell ref="E4:G4"/>
    <mergeCell ref="E5:G5"/>
    <mergeCell ref="E6:G6"/>
  </mergeCells>
  <phoneticPr fontId="3" type="noConversion"/>
  <pageMargins left="0.75" right="0.75" top="1" bottom="1" header="0" footer="0"/>
  <pageSetup paperSize="9" scale="5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5</vt:i4>
      </vt:variant>
    </vt:vector>
  </HeadingPairs>
  <TitlesOfParts>
    <vt:vector size="20" baseType="lpstr">
      <vt:lpstr>summary</vt:lpstr>
      <vt:lpstr>REGIONAL PROJECT TEAM 3 years</vt:lpstr>
      <vt:lpstr>COMMUNICATIONS &amp; WSHOPS</vt:lpstr>
      <vt:lpstr>CROATIA 3 years</vt:lpstr>
      <vt:lpstr>B&amp;H 3 years</vt:lpstr>
      <vt:lpstr>SERBIA 3 years</vt:lpstr>
      <vt:lpstr>MONTENEGRO 3 years</vt:lpstr>
      <vt:lpstr>ALBANIA 3 years</vt:lpstr>
      <vt:lpstr>BP Training Serbia</vt:lpstr>
      <vt:lpstr>BP Training Albania</vt:lpstr>
      <vt:lpstr>BP Training Montenegro</vt:lpstr>
      <vt:lpstr>BP Training BiH</vt:lpstr>
      <vt:lpstr>BP Training Croatia</vt:lpstr>
      <vt:lpstr>training_budget</vt:lpstr>
      <vt:lpstr>Sheet1</vt:lpstr>
      <vt:lpstr>'BP Training Croatia'!Print_Area</vt:lpstr>
      <vt:lpstr>'COMMUNICATIONS &amp; WSHOPS'!Print_Area</vt:lpstr>
      <vt:lpstr>'REGIONAL PROJECT TEAM 3 years'!Print_Area</vt:lpstr>
      <vt:lpstr>summary!Print_Area</vt:lpstr>
      <vt:lpstr>training_budget!Print_Area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stella.satalic</cp:lastModifiedBy>
  <cp:lastPrinted>2010-07-07T09:15:05Z</cp:lastPrinted>
  <dcterms:created xsi:type="dcterms:W3CDTF">1996-11-27T10:00:04Z</dcterms:created>
  <dcterms:modified xsi:type="dcterms:W3CDTF">2010-07-15T10:46:10Z</dcterms:modified>
</cp:coreProperties>
</file>