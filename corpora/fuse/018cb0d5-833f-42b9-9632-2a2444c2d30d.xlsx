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8800" windowHeight="161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" i="1" l="1"/>
  <c r="D8" i="1"/>
  <c r="J9" i="1"/>
  <c r="G9" i="1"/>
  <c r="D9" i="1"/>
  <c r="E9" i="1"/>
  <c r="F9" i="1"/>
  <c r="I9" i="1"/>
  <c r="K9" i="1"/>
  <c r="J8" i="1"/>
  <c r="G8" i="1"/>
  <c r="E8" i="1"/>
  <c r="F8" i="1"/>
  <c r="I8" i="1"/>
  <c r="K8" i="1"/>
  <c r="J7" i="1"/>
  <c r="G7" i="1"/>
  <c r="E7" i="1"/>
  <c r="F7" i="1"/>
  <c r="I7" i="1"/>
  <c r="K7" i="1"/>
  <c r="H9" i="1"/>
  <c r="H8" i="1"/>
  <c r="H7" i="1"/>
</calcChain>
</file>

<file path=xl/sharedStrings.xml><?xml version="1.0" encoding="utf-8"?>
<sst xmlns="http://schemas.openxmlformats.org/spreadsheetml/2006/main" count="22" uniqueCount="15">
  <si>
    <t>Card Type</t>
  </si>
  <si>
    <t>Annual Fee</t>
  </si>
  <si>
    <t>Grocery</t>
  </si>
  <si>
    <t>Restaurant</t>
  </si>
  <si>
    <t>Department</t>
  </si>
  <si>
    <t>Blue Cash Preferred</t>
  </si>
  <si>
    <t>Blue Cash</t>
  </si>
  <si>
    <t>Costco</t>
  </si>
  <si>
    <t>Costco AMEX</t>
  </si>
  <si>
    <t>Travel</t>
  </si>
  <si>
    <t>Supermarkets</t>
  </si>
  <si>
    <t>Restaurants</t>
  </si>
  <si>
    <t>Gas (Costco)</t>
  </si>
  <si>
    <t>Gas (Regular)</t>
  </si>
  <si>
    <t>Blue Cash Everyday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</si>
</sst>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164" formatCode="&quot;$&quot;#,##0.00"/>
    <numFmt numFmtId="165" formatCode="&quot;$&quot;#,##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164" fontId="0" fillId="0" borderId="9" xfId="0" applyNumberFormat="1" applyBorder="1"/>
    <xf numFmtId="0" fontId="0" fillId="2" borderId="14" xfId="0" applyFill="1" applyBorder="1" applyAlignment="1">
      <alignment horizontal="center"/>
    </xf>
    <xf numFmtId="9" fontId="0" fillId="2" borderId="3" xfId="0" applyNumberForma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164" fontId="0" fillId="5" borderId="0" xfId="0" applyNumberForma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1" fillId="6" borderId="5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6" fontId="0" fillId="2" borderId="14" xfId="0" applyNumberFormat="1" applyFill="1" applyBorder="1" applyAlignment="1">
      <alignment horizontal="center"/>
    </xf>
    <xf numFmtId="6" fontId="0" fillId="3" borderId="14" xfId="0" applyNumberFormat="1" applyFill="1" applyBorder="1" applyAlignment="1">
      <alignment horizontal="center"/>
    </xf>
    <xf numFmtId="6" fontId="0" fillId="2" borderId="15" xfId="0" applyNumberFormat="1" applyFill="1" applyBorder="1" applyAlignment="1">
      <alignment horizontal="center"/>
    </xf>
    <xf numFmtId="9" fontId="0" fillId="2" borderId="14" xfId="0" applyNumberFormat="1" applyFill="1" applyBorder="1" applyAlignment="1">
      <alignment horizontal="center"/>
    </xf>
    <xf numFmtId="9" fontId="0" fillId="3" borderId="14" xfId="0" applyNumberFormat="1" applyFill="1" applyBorder="1" applyAlignment="1">
      <alignment horizontal="center"/>
    </xf>
    <xf numFmtId="9" fontId="0" fillId="2" borderId="15" xfId="0" applyNumberFormat="1" applyFill="1" applyBorder="1" applyAlignment="1">
      <alignment horizontal="center"/>
    </xf>
    <xf numFmtId="9" fontId="0" fillId="2" borderId="13" xfId="0" applyNumberFormat="1" applyFill="1" applyBorder="1" applyAlignment="1">
      <alignment horizontal="center"/>
    </xf>
    <xf numFmtId="165" fontId="0" fillId="4" borderId="13" xfId="0" applyNumberFormat="1" applyFill="1" applyBorder="1" applyAlignment="1">
      <alignment horizontal="center"/>
    </xf>
    <xf numFmtId="165" fontId="0" fillId="5" borderId="14" xfId="0" applyNumberFormat="1" applyFill="1" applyBorder="1" applyAlignment="1">
      <alignment horizontal="center"/>
    </xf>
    <xf numFmtId="165" fontId="0" fillId="4" borderId="15" xfId="0" applyNumberFormat="1" applyFill="1" applyBorder="1" applyAlignment="1">
      <alignment horizontal="center"/>
    </xf>
    <xf numFmtId="164" fontId="0" fillId="4" borderId="13" xfId="0" applyNumberFormat="1" applyFill="1" applyBorder="1" applyAlignment="1">
      <alignment horizontal="center"/>
    </xf>
    <xf numFmtId="164" fontId="0" fillId="5" borderId="14" xfId="0" applyNumberForma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0" fontId="0" fillId="0" borderId="10" xfId="0" applyFill="1" applyBorder="1"/>
    <xf numFmtId="164" fontId="0" fillId="0" borderId="11" xfId="0" applyNumberFormat="1" applyFill="1" applyBorder="1"/>
    <xf numFmtId="0" fontId="1" fillId="0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9"/>
  <sheetViews>
    <sheetView tabSelected="1" workbookViewId="0">
      <selection activeCell="E13" sqref="E13"/>
    </sheetView>
  </sheetViews>
  <sheetFormatPr baseColWidth="10" defaultRowHeight="15" x14ac:dyDescent="0"/>
  <cols>
    <col min="2" max="2" width="20.33203125" customWidth="1"/>
    <col min="3" max="3" width="12.1640625" customWidth="1"/>
    <col min="5" max="5" width="12" customWidth="1"/>
    <col min="6" max="6" width="12.33203125" customWidth="1"/>
    <col min="7" max="7" width="11.5" customWidth="1"/>
    <col min="9" max="9" width="11.5" customWidth="1"/>
  </cols>
  <sheetData>
    <row r="1" spans="2:11" ht="16" thickBot="1"/>
    <row r="2" spans="2:11" ht="16" thickBot="1">
      <c r="B2" s="20" t="s">
        <v>0</v>
      </c>
      <c r="C2" s="20" t="s">
        <v>1</v>
      </c>
      <c r="D2" s="20" t="s">
        <v>2</v>
      </c>
      <c r="E2" s="20" t="s">
        <v>3</v>
      </c>
      <c r="F2" s="20" t="s">
        <v>13</v>
      </c>
      <c r="G2" s="20" t="s">
        <v>12</v>
      </c>
      <c r="H2" s="20" t="s">
        <v>9</v>
      </c>
      <c r="I2" s="21" t="s">
        <v>4</v>
      </c>
      <c r="J2" s="37" t="s">
        <v>7</v>
      </c>
    </row>
    <row r="3" spans="2:11">
      <c r="B3" s="5" t="s">
        <v>5</v>
      </c>
      <c r="C3" s="22">
        <v>75</v>
      </c>
      <c r="D3" s="25">
        <v>0.06</v>
      </c>
      <c r="E3" s="25">
        <v>0.01</v>
      </c>
      <c r="F3" s="25">
        <v>0.03</v>
      </c>
      <c r="G3" s="28">
        <v>0.01</v>
      </c>
      <c r="H3" s="25">
        <v>0.01</v>
      </c>
      <c r="I3" s="6">
        <v>0.03</v>
      </c>
      <c r="J3" s="25">
        <v>0.01</v>
      </c>
    </row>
    <row r="4" spans="2:11">
      <c r="B4" s="7" t="s">
        <v>14</v>
      </c>
      <c r="C4" s="23">
        <v>0</v>
      </c>
      <c r="D4" s="26">
        <v>0.03</v>
      </c>
      <c r="E4" s="26">
        <v>0.01</v>
      </c>
      <c r="F4" s="26">
        <v>0.02</v>
      </c>
      <c r="G4" s="26">
        <v>0.01</v>
      </c>
      <c r="H4" s="26">
        <v>0.01</v>
      </c>
      <c r="I4" s="8">
        <v>0.02</v>
      </c>
      <c r="J4" s="26">
        <v>0.01</v>
      </c>
    </row>
    <row r="5" spans="2:11" ht="16" thickBot="1">
      <c r="B5" s="9" t="s">
        <v>8</v>
      </c>
      <c r="C5" s="24">
        <v>0</v>
      </c>
      <c r="D5" s="27">
        <v>0.01</v>
      </c>
      <c r="E5" s="27">
        <v>0.02</v>
      </c>
      <c r="F5" s="27">
        <v>0.03</v>
      </c>
      <c r="G5" s="27">
        <v>0.03</v>
      </c>
      <c r="H5" s="27">
        <v>0.02</v>
      </c>
      <c r="I5" s="10">
        <v>0.01</v>
      </c>
      <c r="J5" s="27">
        <v>0.01</v>
      </c>
    </row>
    <row r="6" spans="2:11" ht="16" thickBot="1"/>
    <row r="7" spans="2:11">
      <c r="B7" s="11" t="s">
        <v>5</v>
      </c>
      <c r="C7" s="29">
        <v>75</v>
      </c>
      <c r="D7" s="32">
        <f>IF($D$13&lt;=6000,(D3)*($D$13),(D3*6000)+(($D$13-6000)*(0.01)))</f>
        <v>0</v>
      </c>
      <c r="E7" s="32">
        <f>$D$14*E3</f>
        <v>0</v>
      </c>
      <c r="F7" s="32">
        <f>$D$15*F3</f>
        <v>0</v>
      </c>
      <c r="G7" s="32">
        <f>$D$16*G3</f>
        <v>0</v>
      </c>
      <c r="H7" s="32">
        <f>$D$17*H3</f>
        <v>0</v>
      </c>
      <c r="I7" s="12">
        <f>$D$18*I3</f>
        <v>0</v>
      </c>
      <c r="J7" s="32">
        <f>$D$19*J3</f>
        <v>0</v>
      </c>
      <c r="K7" s="13">
        <f>(SUM(D7:J7))-C7</f>
        <v>-75</v>
      </c>
    </row>
    <row r="8" spans="2:11">
      <c r="B8" s="14" t="s">
        <v>6</v>
      </c>
      <c r="C8" s="30">
        <v>0</v>
      </c>
      <c r="D8" s="33">
        <f>IF($D$13&lt;=6000,(D4)*($D$13),(D4*6000)+(($D$13-6000)*(0.01)))</f>
        <v>0</v>
      </c>
      <c r="E8" s="33">
        <f>$D$14*E4</f>
        <v>0</v>
      </c>
      <c r="F8" s="33">
        <f>$D$15*F4</f>
        <v>0</v>
      </c>
      <c r="G8" s="33">
        <f>$D$16*G4</f>
        <v>0</v>
      </c>
      <c r="H8" s="33">
        <f>$D$17*H4</f>
        <v>0</v>
      </c>
      <c r="I8" s="15">
        <f>$D$18*I4</f>
        <v>0</v>
      </c>
      <c r="J8" s="33">
        <f t="shared" ref="J8:J9" si="0">$D$19*J4</f>
        <v>0</v>
      </c>
      <c r="K8" s="16">
        <f>(SUM(D8:J8))-C8</f>
        <v>0</v>
      </c>
    </row>
    <row r="9" spans="2:11" ht="16" thickBot="1">
      <c r="B9" s="17" t="s">
        <v>8</v>
      </c>
      <c r="C9" s="31">
        <v>0</v>
      </c>
      <c r="D9" s="34">
        <f>$D$13*D5</f>
        <v>0</v>
      </c>
      <c r="E9" s="34">
        <f>$D$14*E5</f>
        <v>0</v>
      </c>
      <c r="F9" s="34">
        <f>$D$15*F5</f>
        <v>0</v>
      </c>
      <c r="G9" s="34">
        <f>$D$16*G5</f>
        <v>0</v>
      </c>
      <c r="H9" s="34">
        <f>$D$17*H5</f>
        <v>0</v>
      </c>
      <c r="I9" s="18">
        <f>$D$18*I5</f>
        <v>0</v>
      </c>
      <c r="J9" s="34">
        <f t="shared" si="0"/>
        <v>0</v>
      </c>
      <c r="K9" s="19">
        <f>(SUM(D9:J9))-C9</f>
        <v>0</v>
      </c>
    </row>
    <row r="13" spans="2:11">
      <c r="C13" s="1" t="s">
        <v>10</v>
      </c>
      <c r="D13" s="2">
        <v>0</v>
      </c>
    </row>
    <row r="14" spans="2:11">
      <c r="C14" s="3" t="s">
        <v>11</v>
      </c>
      <c r="D14" s="4">
        <v>0</v>
      </c>
    </row>
    <row r="15" spans="2:11">
      <c r="C15" s="3" t="s">
        <v>13</v>
      </c>
      <c r="D15" s="4">
        <v>0</v>
      </c>
    </row>
    <row r="16" spans="2:11">
      <c r="C16" s="3" t="s">
        <v>12</v>
      </c>
      <c r="D16" s="4">
        <v>0</v>
      </c>
    </row>
    <row r="17" spans="3:4">
      <c r="C17" s="3" t="s">
        <v>9</v>
      </c>
      <c r="D17" s="4">
        <v>0</v>
      </c>
    </row>
    <row r="18" spans="3:4">
      <c r="C18" s="3" t="s">
        <v>4</v>
      </c>
      <c r="D18" s="4">
        <v>0</v>
      </c>
    </row>
    <row r="19" spans="3:4">
      <c r="C19" s="35" t="s">
        <v>7</v>
      </c>
      <c r="D19" s="3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Stanford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Milianes</dc:creator>
  <cp:lastModifiedBy>Nick Milianes</cp:lastModifiedBy>
  <dcterms:created xsi:type="dcterms:W3CDTF">2012-04-19T02:05:24Z</dcterms:created>
  <dcterms:modified xsi:type="dcterms:W3CDTF">2013-02-13T02:43:24Z</dcterms:modified>
</cp:coreProperties>
</file>