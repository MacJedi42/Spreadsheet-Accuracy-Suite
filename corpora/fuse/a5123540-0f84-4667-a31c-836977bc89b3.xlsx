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05" windowWidth="14115" windowHeight="8055"/>
  </bookViews>
  <sheets>
    <sheet name="Change Log" sheetId="5" r:id="rId1"/>
    <sheet name="SIF Profile" sheetId="1" r:id="rId2"/>
    <sheet name="SIF Objects List" sheetId="6" r:id="rId3"/>
  </sheets>
  <definedNames>
    <definedName name="_xlnm.Print_Area" localSheetId="1">'SIF Profile'!$A$1:$F$270</definedName>
    <definedName name="_xlnm.Print_Titles" localSheetId="1">'SIF Profile'!$2:$2</definedName>
    <definedName name="StudentAcademicRecord__AcademicPerformanceHistory__TermPerformance__CreditsEarned" localSheetId="1">'SIF Profile'!#REF!</definedName>
    <definedName name="StudentAcademicRecord__CourseHistory__Term__Courses__Course__MarkingPeriods__MarkingPeriod__MarkData__Letter" localSheetId="1">'SIF Profile'!$E$222</definedName>
    <definedName name="Table61531StudentAcademicRecord" localSheetId="1">'SIF Profile'!#REF!</definedName>
  </definedNames>
  <calcPr calcId="125725"/>
</workbook>
</file>

<file path=xl/calcChain.xml><?xml version="1.0" encoding="utf-8"?>
<calcChain xmlns="http://schemas.openxmlformats.org/spreadsheetml/2006/main">
  <c r="H159" i="1"/>
  <c r="H80"/>
  <c r="H3"/>
  <c r="G202"/>
  <c r="H202"/>
  <c r="G185"/>
  <c r="H185"/>
  <c r="G59"/>
  <c r="G61"/>
  <c r="G60"/>
  <c r="G67"/>
  <c r="G69"/>
  <c r="G68"/>
  <c r="G70"/>
  <c r="G72"/>
  <c r="G71"/>
  <c r="G73"/>
  <c r="G75"/>
  <c r="G74"/>
  <c r="G76"/>
  <c r="G78"/>
  <c r="G77"/>
  <c r="H212"/>
  <c r="G212"/>
  <c r="G211"/>
  <c r="H211"/>
  <c r="H214"/>
  <c r="G214"/>
  <c r="H213"/>
  <c r="G213"/>
  <c r="H179"/>
  <c r="G179"/>
  <c r="G209"/>
  <c r="H209"/>
  <c r="G197"/>
  <c r="G205"/>
  <c r="G207"/>
  <c r="G206"/>
  <c r="G201"/>
  <c r="G200"/>
  <c r="G203"/>
  <c r="H197"/>
  <c r="H205"/>
  <c r="H207"/>
  <c r="H206"/>
  <c r="H201"/>
  <c r="H200"/>
  <c r="H203"/>
  <c r="H196"/>
  <c r="G196"/>
  <c r="H237"/>
  <c r="H236"/>
  <c r="H173"/>
  <c r="H129"/>
  <c r="H247"/>
  <c r="H243"/>
  <c r="H245"/>
  <c r="H242"/>
  <c r="H244"/>
  <c r="H241"/>
  <c r="H246"/>
  <c r="H233"/>
  <c r="H230"/>
  <c r="H240"/>
  <c r="H234"/>
  <c r="H235"/>
  <c r="H232"/>
  <c r="H231"/>
  <c r="H191"/>
  <c r="H190"/>
  <c r="H189"/>
  <c r="H155"/>
  <c r="H187"/>
  <c r="H188"/>
  <c r="H184"/>
  <c r="H183"/>
  <c r="H181"/>
  <c r="H204"/>
  <c r="H170"/>
  <c r="H169"/>
  <c r="H198"/>
  <c r="H186"/>
  <c r="H176"/>
  <c r="H199"/>
  <c r="H216"/>
  <c r="H215"/>
  <c r="H208"/>
  <c r="H194"/>
  <c r="H193"/>
  <c r="H192"/>
  <c r="H182"/>
  <c r="H166"/>
  <c r="H219"/>
  <c r="H218"/>
  <c r="H229"/>
  <c r="H210"/>
  <c r="H228"/>
  <c r="H239"/>
  <c r="H238"/>
  <c r="H225"/>
  <c r="H227"/>
  <c r="H226"/>
  <c r="H224"/>
  <c r="H223"/>
  <c r="H221"/>
  <c r="H217"/>
  <c r="H222"/>
  <c r="H220"/>
  <c r="H177"/>
  <c r="H195"/>
  <c r="H162"/>
  <c r="H180"/>
  <c r="H164"/>
  <c r="H153"/>
  <c r="H158"/>
  <c r="H168"/>
  <c r="H167"/>
  <c r="H165"/>
  <c r="H174"/>
  <c r="H172"/>
  <c r="H171"/>
  <c r="H163"/>
  <c r="H161"/>
  <c r="H160"/>
  <c r="H150"/>
  <c r="H149"/>
  <c r="H157"/>
  <c r="H178"/>
  <c r="H156"/>
  <c r="H120"/>
  <c r="H143"/>
  <c r="H140"/>
  <c r="H145"/>
  <c r="H138"/>
  <c r="H144"/>
  <c r="H141"/>
  <c r="H142"/>
  <c r="H154"/>
  <c r="H147"/>
  <c r="H152"/>
  <c r="H151"/>
  <c r="H146"/>
  <c r="H148"/>
  <c r="H139"/>
  <c r="H117"/>
  <c r="H109"/>
  <c r="H95"/>
  <c r="H94"/>
  <c r="H101"/>
  <c r="H100"/>
  <c r="H126"/>
  <c r="H125"/>
  <c r="H93"/>
  <c r="H91"/>
  <c r="H113"/>
  <c r="H102"/>
  <c r="H97"/>
  <c r="H92"/>
  <c r="H103"/>
  <c r="H114"/>
  <c r="H106"/>
  <c r="H90"/>
  <c r="H105"/>
  <c r="H104"/>
  <c r="H118"/>
  <c r="H116"/>
  <c r="H119"/>
  <c r="H88"/>
  <c r="H122"/>
  <c r="H112"/>
  <c r="H121"/>
  <c r="H99"/>
  <c r="H110"/>
  <c r="H107"/>
  <c r="H123"/>
  <c r="H115"/>
  <c r="H98"/>
  <c r="H96"/>
  <c r="H136"/>
  <c r="H124"/>
  <c r="H108"/>
  <c r="H86"/>
  <c r="H85"/>
  <c r="H87"/>
  <c r="H137"/>
  <c r="H134"/>
  <c r="H132"/>
  <c r="H82"/>
  <c r="H135"/>
  <c r="H133"/>
  <c r="H130"/>
  <c r="H84"/>
  <c r="H83"/>
  <c r="H81"/>
  <c r="H111"/>
  <c r="H79"/>
  <c r="H65"/>
  <c r="H128"/>
  <c r="H131"/>
  <c r="H127"/>
  <c r="H89"/>
  <c r="H78"/>
  <c r="H77"/>
  <c r="H76"/>
  <c r="H75"/>
  <c r="H74"/>
  <c r="H73"/>
  <c r="H72"/>
  <c r="H71"/>
  <c r="H70"/>
  <c r="H69"/>
  <c r="H68"/>
  <c r="H67"/>
  <c r="H61"/>
  <c r="H59"/>
  <c r="H60"/>
  <c r="H57"/>
  <c r="H63"/>
  <c r="H66"/>
  <c r="H64"/>
  <c r="H52"/>
  <c r="H50"/>
  <c r="H62"/>
  <c r="H58"/>
  <c r="H56"/>
  <c r="H55"/>
  <c r="H54"/>
  <c r="H53"/>
  <c r="H51"/>
  <c r="H49"/>
  <c r="H48"/>
  <c r="H47"/>
  <c r="H43"/>
  <c r="H46"/>
  <c r="H45"/>
  <c r="H44"/>
  <c r="H42"/>
  <c r="H41"/>
  <c r="H40"/>
  <c r="H38"/>
  <c r="H37"/>
  <c r="H19"/>
  <c r="H36"/>
  <c r="H34"/>
  <c r="H23"/>
  <c r="H25"/>
  <c r="H35"/>
  <c r="H28"/>
  <c r="H22"/>
  <c r="H24"/>
  <c r="H39"/>
  <c r="H29"/>
  <c r="H27"/>
  <c r="H33"/>
  <c r="H31"/>
  <c r="H32"/>
  <c r="H26"/>
  <c r="H14"/>
  <c r="H17"/>
  <c r="H8"/>
  <c r="H5"/>
  <c r="H16"/>
  <c r="H4"/>
  <c r="H7"/>
  <c r="H6"/>
  <c r="H12"/>
  <c r="H9"/>
  <c r="H21"/>
  <c r="H13"/>
  <c r="H15"/>
  <c r="H18"/>
  <c r="H10"/>
  <c r="H30"/>
  <c r="H20"/>
  <c r="H11"/>
  <c r="G247"/>
  <c r="G243"/>
  <c r="G245"/>
  <c r="G242"/>
  <c r="G244"/>
  <c r="G241"/>
  <c r="G246"/>
  <c r="G237"/>
  <c r="G236"/>
  <c r="G233"/>
  <c r="G230"/>
  <c r="G240"/>
  <c r="G234"/>
  <c r="G235"/>
  <c r="G232"/>
  <c r="G231"/>
  <c r="G191"/>
  <c r="G190"/>
  <c r="G189"/>
  <c r="G155"/>
  <c r="G187"/>
  <c r="G188"/>
  <c r="G184"/>
  <c r="G183"/>
  <c r="G181"/>
  <c r="G204"/>
  <c r="G170"/>
  <c r="G169"/>
  <c r="G198"/>
  <c r="G186"/>
  <c r="G176"/>
  <c r="G199"/>
  <c r="G216"/>
  <c r="G215"/>
  <c r="G208"/>
  <c r="G194"/>
  <c r="G193"/>
  <c r="G192"/>
  <c r="G182"/>
  <c r="G173"/>
  <c r="G166"/>
  <c r="G219"/>
  <c r="G218"/>
  <c r="G229"/>
  <c r="G210"/>
  <c r="G228"/>
  <c r="G239"/>
  <c r="G238"/>
  <c r="G225"/>
  <c r="G227"/>
  <c r="G226"/>
  <c r="G224"/>
  <c r="G223"/>
  <c r="G221"/>
  <c r="G217"/>
  <c r="G222"/>
  <c r="G220"/>
  <c r="G177"/>
  <c r="G195"/>
  <c r="G162"/>
  <c r="G180"/>
  <c r="G164"/>
  <c r="G153"/>
  <c r="G158"/>
  <c r="G168"/>
  <c r="G167"/>
  <c r="G165"/>
  <c r="G174"/>
  <c r="G172"/>
  <c r="G171"/>
  <c r="G163"/>
  <c r="G161"/>
  <c r="G160"/>
  <c r="G150"/>
  <c r="G149"/>
  <c r="G157"/>
  <c r="G178"/>
  <c r="G156"/>
  <c r="G120"/>
  <c r="G143"/>
  <c r="G140"/>
  <c r="G145"/>
  <c r="G138"/>
  <c r="G144"/>
  <c r="G141"/>
  <c r="G142"/>
  <c r="G154"/>
  <c r="G147"/>
  <c r="G152"/>
  <c r="G151"/>
  <c r="G146"/>
  <c r="G148"/>
  <c r="G139"/>
  <c r="G117"/>
  <c r="G109"/>
  <c r="G129"/>
  <c r="G95"/>
  <c r="G94"/>
  <c r="G101"/>
  <c r="G100"/>
  <c r="G126"/>
  <c r="G125"/>
  <c r="G93"/>
  <c r="G91"/>
  <c r="G113"/>
  <c r="G102"/>
  <c r="G97"/>
  <c r="G92"/>
  <c r="G103"/>
  <c r="G114"/>
  <c r="G106"/>
  <c r="G90"/>
  <c r="G105"/>
  <c r="G104"/>
  <c r="G118"/>
  <c r="G116"/>
  <c r="G119"/>
  <c r="G88"/>
  <c r="G122"/>
  <c r="G112"/>
  <c r="G121"/>
  <c r="G99"/>
  <c r="G110"/>
  <c r="G107"/>
  <c r="G123"/>
  <c r="G115"/>
  <c r="G98"/>
  <c r="G96"/>
  <c r="G136"/>
  <c r="G124"/>
  <c r="G108"/>
  <c r="G86"/>
  <c r="G85"/>
  <c r="G87"/>
  <c r="G137"/>
  <c r="G134"/>
  <c r="G132"/>
  <c r="G82"/>
  <c r="G135"/>
  <c r="G133"/>
  <c r="G130"/>
  <c r="G84"/>
  <c r="G83"/>
  <c r="G81"/>
  <c r="G111"/>
  <c r="G79"/>
  <c r="G65"/>
  <c r="G128"/>
  <c r="G131"/>
  <c r="G127"/>
  <c r="G89"/>
  <c r="G57"/>
  <c r="G63"/>
  <c r="G66"/>
  <c r="G64"/>
  <c r="G52"/>
  <c r="G50"/>
  <c r="G62"/>
  <c r="G58"/>
  <c r="G56"/>
  <c r="G55"/>
  <c r="G54"/>
  <c r="G53"/>
  <c r="G51"/>
  <c r="G49"/>
  <c r="G48"/>
  <c r="G47"/>
  <c r="G43"/>
  <c r="G46"/>
  <c r="G45"/>
  <c r="G44"/>
  <c r="G42"/>
  <c r="G41"/>
  <c r="G40"/>
  <c r="G38"/>
  <c r="G37"/>
  <c r="G36"/>
  <c r="G19"/>
  <c r="G34"/>
  <c r="G23"/>
  <c r="G25"/>
  <c r="G35"/>
  <c r="G28"/>
  <c r="G22"/>
  <c r="G24"/>
  <c r="G39"/>
  <c r="G29"/>
  <c r="G27"/>
  <c r="G33"/>
  <c r="G31"/>
  <c r="G32"/>
  <c r="G26"/>
  <c r="G14"/>
  <c r="G17"/>
  <c r="G8"/>
  <c r="G5"/>
  <c r="G16"/>
  <c r="G4"/>
  <c r="G7"/>
  <c r="G6"/>
  <c r="G12"/>
  <c r="G9"/>
  <c r="G21"/>
  <c r="G13"/>
  <c r="G15"/>
  <c r="G18"/>
  <c r="G10"/>
  <c r="G30"/>
  <c r="G20"/>
  <c r="G11"/>
</calcChain>
</file>

<file path=xl/sharedStrings.xml><?xml version="1.0" encoding="utf-8"?>
<sst xmlns="http://schemas.openxmlformats.org/spreadsheetml/2006/main" count="1849" uniqueCount="1070">
  <si>
    <t>LEA NUMBER</t>
  </si>
  <si>
    <t>This can ONLY be a State assigned and approved LEA number</t>
  </si>
  <si>
    <t>SCHOOL YEAR</t>
  </si>
  <si>
    <t>SCHOOL NUMBER</t>
  </si>
  <si>
    <t>This can ONLY be a State assigned and approved school number.</t>
  </si>
  <si>
    <t xml:space="preserve">DAYS IN SCHOOL YEAR </t>
  </si>
  <si>
    <t>The total number of days the school was in session with classroom instruction being conducted.</t>
  </si>
  <si>
    <t xml:space="preserve">LAST DAY OF SCHOOL </t>
  </si>
  <si>
    <t>The last day the school is in session (current school year)</t>
  </si>
  <si>
    <t>SCHEDULE YEAR TYPE</t>
  </si>
  <si>
    <t>The type of yearly schedule</t>
  </si>
  <si>
    <t xml:space="preserve">SCHEDULE DAY TYPE </t>
  </si>
  <si>
    <t>The type of daily schedule</t>
  </si>
  <si>
    <t>State-assigned LEA number.  Must match DI record.</t>
  </si>
  <si>
    <t xml:space="preserve">STUDENT NUMBER </t>
  </si>
  <si>
    <t>The school assigned student number</t>
  </si>
  <si>
    <t xml:space="preserve">SOC. SEC. NUMBER </t>
  </si>
  <si>
    <t>This is the student’s 9 digit Social Security Number</t>
  </si>
  <si>
    <t xml:space="preserve">LAST NAME </t>
  </si>
  <si>
    <t>Student’s last name as it appears on his/her birth certificate</t>
  </si>
  <si>
    <t xml:space="preserve">FIRST NAME </t>
  </si>
  <si>
    <t>Student’s first name as it appears on his/her birth certificate</t>
  </si>
  <si>
    <t xml:space="preserve">MIDDLE NAME </t>
  </si>
  <si>
    <t>Student’s middle name or initial as it appears on his/her birth certificate</t>
  </si>
  <si>
    <t xml:space="preserve">BIRTH DATE </t>
  </si>
  <si>
    <t>Student’s birth date</t>
  </si>
  <si>
    <t>GENDER</t>
  </si>
  <si>
    <t>Student’s gender code</t>
  </si>
  <si>
    <t>ETHNICITY</t>
  </si>
  <si>
    <t>Is this student a person of Cuban, Mexican, Puerto Rican, South or Central America, or other Spanish culture or origin</t>
  </si>
  <si>
    <t xml:space="preserve">AMER INDIAN/ALASKAN NATIVE </t>
  </si>
  <si>
    <t>Is this student a person having origins in any of the original peoples of North and South America</t>
  </si>
  <si>
    <t>ASIAN</t>
  </si>
  <si>
    <t>Is this student a person having origins in any of the original peoples of the Far East, Southeast Asia, or the Indian subcontinent</t>
  </si>
  <si>
    <t xml:space="preserve">BLACK OR AFRICAN AMER </t>
  </si>
  <si>
    <t>Is this student a person having origins in any of the black racial groups of Africa</t>
  </si>
  <si>
    <t>HAWAIIAN / PACIFIC ISL</t>
  </si>
  <si>
    <t>Is this student a person having origins in any of the original peoples of Hawaii, Guam, Samoa, Tonga, or other Pacific Island</t>
  </si>
  <si>
    <t>WHITE</t>
  </si>
  <si>
    <t>Is this student a person having origins in any of the original peoples of the Europe, the Middle East, or North Africa</t>
  </si>
  <si>
    <t xml:space="preserve">GRADE LEVEL </t>
  </si>
  <si>
    <t>Student’s current grade level</t>
  </si>
  <si>
    <t xml:space="preserve">ENTRY DATE </t>
  </si>
  <si>
    <t>Date the student entered school</t>
  </si>
  <si>
    <t xml:space="preserve">EXIT DATE </t>
  </si>
  <si>
    <t>Day following the last day of school attendance.</t>
  </si>
  <si>
    <t xml:space="preserve">EXIT CODE </t>
  </si>
  <si>
    <t>This code identifies the reason for the above exit date</t>
  </si>
  <si>
    <t xml:space="preserve">HIGH SCHL COMPL STATUS </t>
  </si>
  <si>
    <t>All students who are seniors (GRADE LEVEL = 12), the school submitted under is his/her school of record, and is NOT exited must have one of the following codes indicating the final outcome of their schooling as of July 15</t>
  </si>
  <si>
    <t xml:space="preserve">PART-TIME HOME SCHOOL </t>
  </si>
  <si>
    <t>This is for indicating the status of a student who is enrolled for only part of the school day</t>
  </si>
  <si>
    <t>CONCENTRATOR</t>
  </si>
  <si>
    <t>Concentrator Code. This is a six digit numeric field requested for students in Career and Technical Education (CTE) programs</t>
  </si>
  <si>
    <t xml:space="preserve">VOC-ACADEM DISADV </t>
  </si>
  <si>
    <t>Used to identify Vocational Academically Disadvantaged students</t>
  </si>
  <si>
    <t xml:space="preserve">TRIBAL AFFILIATION </t>
  </si>
  <si>
    <t>This code indicates the Indian tribal affiliation of students</t>
  </si>
  <si>
    <t xml:space="preserve">LIMITED ENGLISH </t>
  </si>
  <si>
    <t>This code identifies the student’s English Language Learner (ELL) status</t>
  </si>
  <si>
    <t xml:space="preserve">ECONOMIC DISADV </t>
  </si>
  <si>
    <t>This code identifies the status of students with respect to “economic disadvantage”</t>
  </si>
  <si>
    <t xml:space="preserve">RESIDENT STATUS </t>
  </si>
  <si>
    <t>This code identifies the resident status of all students</t>
  </si>
  <si>
    <t xml:space="preserve">PHONE NUMBER </t>
  </si>
  <si>
    <t>This is the 3 digit area code plus the 7 digit student home phone number</t>
  </si>
  <si>
    <t>MIGRANT</t>
  </si>
  <si>
    <t>A migrant student is a student who enrolled during the year AND has a Certificate of Eligibility (COE) form on file in the LEA</t>
  </si>
  <si>
    <t>HOMELESS</t>
  </si>
  <si>
    <t>Student’s homeless status</t>
  </si>
  <si>
    <t xml:space="preserve">FIRST ENROLL IN US </t>
  </si>
  <si>
    <t>If the student was born outside of the United States, enter the date of the student’s first enrollment in a school in the United States</t>
  </si>
  <si>
    <t xml:space="preserve">ELL NATIVE LANGUAGE </t>
  </si>
  <si>
    <t>Native or first language of student</t>
  </si>
  <si>
    <t>STUDENT NUMBER</t>
  </si>
  <si>
    <t>The LEA assigned student number</t>
  </si>
  <si>
    <t xml:space="preserve">DISABILITY TYPE </t>
  </si>
  <si>
    <t>Identifies the type of disability for which the student is receiving Special education services</t>
  </si>
  <si>
    <t>SCRAM TIME</t>
  </si>
  <si>
    <t>TIME' field renamed to 'SCRAM TIME'.  Summarizes the amount of time the student is served</t>
  </si>
  <si>
    <t xml:space="preserve">SCRAM ENTRY DATE </t>
  </si>
  <si>
    <t>This is the date the student first began receiving Special education related services</t>
  </si>
  <si>
    <t xml:space="preserve">SCRAM EXIT DATE </t>
  </si>
  <si>
    <t>This is the day following the last day the student received special education related services for a particular handicapping condition</t>
  </si>
  <si>
    <t xml:space="preserve">SCRAM EXIT REASON </t>
  </si>
  <si>
    <t>This code identifies the reason this student exited special education related services</t>
  </si>
  <si>
    <t xml:space="preserve">REGULAR PERCENT </t>
  </si>
  <si>
    <t>Summarizes the amount of time the student is in a regular education class</t>
  </si>
  <si>
    <t>ENVIRONMENT</t>
  </si>
  <si>
    <t>Identifies the type of educational setting in which the student receives special education services</t>
  </si>
  <si>
    <t>Submitting school state-assigned number.  Must match School Number in SC records.</t>
  </si>
  <si>
    <t xml:space="preserve">CUSTODY TYPE </t>
  </si>
  <si>
    <t>Identifies the type of custody under which the student is receiving services</t>
  </si>
  <si>
    <t>YIC TIME</t>
  </si>
  <si>
    <t>TIME' field renamed to 'YIC TIME'.  Summarizes the amount of time the student is served</t>
  </si>
  <si>
    <t>Identifies the type of educational setting in which the student receives youth in custody related services</t>
  </si>
  <si>
    <t xml:space="preserve">YIC ENTRY DATE </t>
  </si>
  <si>
    <t>This is the date the student first began receiving YIC related services for this CUSTODY TYPE and TIME</t>
  </si>
  <si>
    <t xml:space="preserve">YIC EXIT DATE </t>
  </si>
  <si>
    <t>This is the day following the last day the student received YIC related services for a particular CUSTODY TYPE and TIME</t>
  </si>
  <si>
    <t xml:space="preserve">YIC EXIT REASON </t>
  </si>
  <si>
    <t>This code identifies the reason this student exited YIC related services</t>
  </si>
  <si>
    <t xml:space="preserve">COURSE &amp; SECTION </t>
  </si>
  <si>
    <t>This is the unique alphanumeric course + section number that you are using to identify a class within the school</t>
  </si>
  <si>
    <t>PERIOD</t>
  </si>
  <si>
    <t>This is a two digit field indicating which period the class is being taught</t>
  </si>
  <si>
    <t xml:space="preserve">WHERE TAUGHT DIST </t>
  </si>
  <si>
    <t>This field is to designate the LEA where the class is taught used in conjunction with WHERE TAUGHT SCHL</t>
  </si>
  <si>
    <t xml:space="preserve">WHERE TAUGHT SCHL </t>
  </si>
  <si>
    <t>This field is to be used only if the class is taught at some other school</t>
  </si>
  <si>
    <t>TEACHER 1 ID</t>
  </si>
  <si>
    <t>Renamed 'TEACHER 1' to 'TEACHER 1 ID' for consistency with other Teacher Id fields.  This is the CACTUS ID of the TEACHER OF RECORD assigned to the class</t>
  </si>
  <si>
    <t xml:space="preserve">CIP CODE NUMBER </t>
  </si>
  <si>
    <t xml:space="preserve">SEMESTER LENGTH </t>
  </si>
  <si>
    <t>This is a one digit numeric code that indicates the time frame or length of a CTE class or in the case of a trimester school that the class duration is for a single trimester</t>
  </si>
  <si>
    <t xml:space="preserve">COURSE TITLE </t>
  </si>
  <si>
    <t>This is the alpha-numeric course title that your school uses to describe the course</t>
  </si>
  <si>
    <t xml:space="preserve">CORE CODE </t>
  </si>
  <si>
    <t>This is the 11 digit CORE CODE used in CACTUS</t>
  </si>
  <si>
    <t xml:space="preserve">TEACHER 2 ID </t>
  </si>
  <si>
    <t>The CACTUS ID of a second teacher assigned to this course master record</t>
  </si>
  <si>
    <t xml:space="preserve">TEACHER 3 ID </t>
  </si>
  <si>
    <t>The CACTUS ID of a third teacher assigned to this course master record</t>
  </si>
  <si>
    <t xml:space="preserve">COLLEGE GRANTING CR </t>
  </si>
  <si>
    <t>The two character “district” number of the college granting the college credit portion of the concurrent enrollment course</t>
  </si>
  <si>
    <t xml:space="preserve">WHERE TAUGHT CAMPUS </t>
  </si>
  <si>
    <t>Where the concurrent enrollment course is taught</t>
  </si>
  <si>
    <t>INSTRUCT SETTING</t>
  </si>
  <si>
    <t>The primary setting or medium of delivery for the course</t>
  </si>
  <si>
    <t xml:space="preserve">TERM </t>
  </si>
  <si>
    <t>This is the term the class is taught</t>
  </si>
  <si>
    <t>CYCLE</t>
  </si>
  <si>
    <t>A cycle is defined as a day or days that repeat the same school schedule</t>
  </si>
  <si>
    <t xml:space="preserve">COURSE NUMBER </t>
  </si>
  <si>
    <t>This is an eight digit numeric course + section number, must match COURSE SECTION on Course Master .</t>
  </si>
  <si>
    <t xml:space="preserve">COURSE ENTRY DATE </t>
  </si>
  <si>
    <t>This is the date the student first began instruction in the course</t>
  </si>
  <si>
    <t xml:space="preserve">COURSE EXIT DATE </t>
  </si>
  <si>
    <t>This is the day following the last day of instruction in the course</t>
  </si>
  <si>
    <t xml:space="preserve">CREDITS ATTEMPTED </t>
  </si>
  <si>
    <t>The amount of credit attempted for the period of time the “AM=” record represents</t>
  </si>
  <si>
    <t xml:space="preserve">GRADE EARNED </t>
  </si>
  <si>
    <t>The grade the student earned for the period of time the “AM=” record represents</t>
  </si>
  <si>
    <t xml:space="preserve">ACTUAL MEMBERSHIP </t>
  </si>
  <si>
    <t xml:space="preserve">CONCURR ENROLLED </t>
  </si>
  <si>
    <t>Indicates whether or not the student is taking this class (deemed to be a concurrent enrollment class in the AC record) as a concurrent enrollment class for college credit or taking the class for just high school credit</t>
  </si>
  <si>
    <t xml:space="preserve">CREDITS EARNED </t>
  </si>
  <si>
    <t>The amount of credit earned for the period of time the “AM” record represents</t>
  </si>
  <si>
    <t>GRADE LEVEL</t>
  </si>
  <si>
    <t xml:space="preserve">INCIDENT ID </t>
  </si>
  <si>
    <t>Numeric value from 1 to 99999 inclusive and each incident record for a school must have a unique value here</t>
  </si>
  <si>
    <t xml:space="preserve">GANG RELATED </t>
  </si>
  <si>
    <t>Indicate if incident is gang related</t>
  </si>
  <si>
    <t xml:space="preserve">INCIDENT DATE </t>
  </si>
  <si>
    <t>This is the date the incident occurred</t>
  </si>
  <si>
    <t>INCIDENT DESCRIPTION</t>
  </si>
  <si>
    <t>This is a description of the incident</t>
  </si>
  <si>
    <t>Numeric value from 1 to 99999 inclusive and each incident association record must have a matching ‘I1’ record preceding it</t>
  </si>
  <si>
    <t xml:space="preserve">CAUSED INCIDENT </t>
  </si>
  <si>
    <t>Indicate if this student was determined to have caused the incident</t>
  </si>
  <si>
    <t>INJURED</t>
  </si>
  <si>
    <t>Indicate if this student was injured in the incident</t>
  </si>
  <si>
    <t xml:space="preserve">GANG PREV PROG </t>
  </si>
  <si>
    <t>Indicate if this student was part of a gang prevention program at the time of the incident</t>
  </si>
  <si>
    <t xml:space="preserve">DISCIPLINE METHOD </t>
  </si>
  <si>
    <t>Indicate if this student was suspended or expelled</t>
  </si>
  <si>
    <t xml:space="preserve">NUMBER OF DAYS </t>
  </si>
  <si>
    <t>The number of days the DISCIPLINE METHOD was in effect</t>
  </si>
  <si>
    <t xml:space="preserve">IN SCHOOL </t>
  </si>
  <si>
    <t>Indicate if the DISCIPLINE METHOD was in school or out of school</t>
  </si>
  <si>
    <t xml:space="preserve">SERVICES OFFERED </t>
  </si>
  <si>
    <t>Indicate if services were offered to the student</t>
  </si>
  <si>
    <t xml:space="preserve">REFERRED TO POLICE </t>
  </si>
  <si>
    <t>Indicate if the incident was referred to police</t>
  </si>
  <si>
    <t xml:space="preserve">REFERRED TO COURT </t>
  </si>
  <si>
    <t>Indicate if the incident was referred to court</t>
  </si>
  <si>
    <t xml:space="preserve">REFERRED TO PROGRAM </t>
  </si>
  <si>
    <t>Indicate if the incident was referred to a program</t>
  </si>
  <si>
    <t xml:space="preserve">ALTERNATIVE PLACEMENT </t>
  </si>
  <si>
    <t>Indicate if alternative placement was provided/administered to the student for this incident</t>
  </si>
  <si>
    <t xml:space="preserve">HEARING OFFICER REMOVAL </t>
  </si>
  <si>
    <t>Indicate if removal of the student was done by a hearing officer</t>
  </si>
  <si>
    <t xml:space="preserve">PI INFRACTION TYPE </t>
  </si>
  <si>
    <t>The primary infraction type (or incident type) of the student in this incident</t>
  </si>
  <si>
    <t>PI WEAPON</t>
  </si>
  <si>
    <t>The primary weapon used in the incident</t>
  </si>
  <si>
    <t xml:space="preserve">PI ROLE </t>
  </si>
  <si>
    <t>The primary role of the student in this incident</t>
  </si>
  <si>
    <t xml:space="preserve">SI1 INFRACTION TYPE </t>
  </si>
  <si>
    <t>Indicate a secondary infraction type (or incident type) of the student in this incident</t>
  </si>
  <si>
    <t xml:space="preserve">SI1 WEAPON </t>
  </si>
  <si>
    <t>Indicate a secondary weapon used in the incident</t>
  </si>
  <si>
    <t xml:space="preserve">SI1 ROLE </t>
  </si>
  <si>
    <t>Indicate a secondary role of the student in this incident</t>
  </si>
  <si>
    <t xml:space="preserve">SI2 INFRACTION TYPE </t>
  </si>
  <si>
    <t>Indicate another secondary infraction type (or incident type) of the student in this incident</t>
  </si>
  <si>
    <t xml:space="preserve">SI2 WEAPON </t>
  </si>
  <si>
    <t>Indicate another secondary weapon used in the incident</t>
  </si>
  <si>
    <t xml:space="preserve">SI2 ROLE </t>
  </si>
  <si>
    <t>Indicate another secondary role of the student in this incident</t>
  </si>
  <si>
    <t xml:space="preserve">SI3 INFRACTION TYPE </t>
  </si>
  <si>
    <t xml:space="preserve">SI3 WEAPON </t>
  </si>
  <si>
    <t xml:space="preserve">SI3 ROLE </t>
  </si>
  <si>
    <t xml:space="preserve">SI4 INFRACTION TYPE </t>
  </si>
  <si>
    <t xml:space="preserve">SI4 WEAPON </t>
  </si>
  <si>
    <t xml:space="preserve">SI4 ROLE </t>
  </si>
  <si>
    <t>Student’s last name</t>
  </si>
  <si>
    <t>Student’s first name</t>
  </si>
  <si>
    <t xml:space="preserve">UPDATED STATUS </t>
  </si>
  <si>
    <t>The ‘changed to’ EXIT CODE or HIGH SCHOOL COMPLETION STATUS</t>
  </si>
  <si>
    <t>STATEWIDE STUDENT ID</t>
  </si>
  <si>
    <t>The number assigned to the student using the Statewide Student Identifier</t>
  </si>
  <si>
    <t>Student's locally-assigned unique ID.  Must match S1 record, follow same formatting rules.</t>
  </si>
  <si>
    <t>COURSE NUMBER</t>
  </si>
  <si>
    <t>COURSE TITLE</t>
  </si>
  <si>
    <t>Title of course, up to 20 characters.  Use course title as found in SIS.</t>
  </si>
  <si>
    <t>CORE CODE</t>
  </si>
  <si>
    <t>State Core code for Utah public school courses or if one assigned for transfer courses, otherwise blank.  This is the same type of code as the Core Code in AC records.</t>
  </si>
  <si>
    <t>CREDITS EARNED</t>
  </si>
  <si>
    <t>Credits actually earned for the course.</t>
  </si>
  <si>
    <t>CREDITS ATTEMPTED</t>
  </si>
  <si>
    <t>Credits attempted by the student (potential credits)</t>
  </si>
  <si>
    <t>School year course was taken, designated by ending year (e.g. '2011' for the 2010-2011 school year).</t>
  </si>
  <si>
    <t>School name where course was taken</t>
  </si>
  <si>
    <t>School NCES Id where course was taken</t>
  </si>
  <si>
    <t>Name of city that school was in where course was taken.</t>
  </si>
  <si>
    <t>Code for state or province that school was in where course was taken</t>
  </si>
  <si>
    <t>GRADING TERM</t>
  </si>
  <si>
    <t>Grading term as recorded in SIS (e.g. Storecode in PowerSchool).  Does not need to match term info values, grades will be listed by ordinal position.</t>
  </si>
  <si>
    <t>CREDIT EARNED</t>
  </si>
  <si>
    <t>Course credit value associated with this grade.  As recorded in SIS or portion of total course credit.</t>
  </si>
  <si>
    <t>LETTER GRADE</t>
  </si>
  <si>
    <t>As recorded in SIS, typically A, B, C…  Any value up to 5 characters is accepted if found in standard or submitted gradescale.</t>
  </si>
  <si>
    <t>Element Name</t>
  </si>
  <si>
    <t>Description</t>
  </si>
  <si>
    <t>DI</t>
  </si>
  <si>
    <t>SC</t>
  </si>
  <si>
    <t>S1</t>
  </si>
  <si>
    <t>S2</t>
  </si>
  <si>
    <t>S3</t>
  </si>
  <si>
    <t>AC</t>
  </si>
  <si>
    <t>AM</t>
  </si>
  <si>
    <t>ELL PARENT LANGUAGE</t>
  </si>
  <si>
    <t>Language which parent(s) of student prefer in communication with the school</t>
  </si>
  <si>
    <t xml:space="preserve">ELL MONITORED ENTRY DATE </t>
  </si>
  <si>
    <t>The date the ELL student was advanced to LIMITED ENGLISH code ‘F’ (Former ELL student – exited an ELL program and entered monitoring)</t>
  </si>
  <si>
    <t xml:space="preserve">STUDENT ZIP CODE </t>
  </si>
  <si>
    <t>First 5 digits of the zip code of the address at which the student resides</t>
  </si>
  <si>
    <t xml:space="preserve">MESA PROGRAM </t>
  </si>
  <si>
    <t>Identifies the degree of student involvement in the MESA (Math, Engineering, Science Achievement) program during the year</t>
  </si>
  <si>
    <t xml:space="preserve">DISTRICT OF RESIDENCE </t>
  </si>
  <si>
    <t>Intended use is for LEAs with numbers other than 01-40, 42, such as charter schools.  This is the REGULAR district number (01-40, 42) of the district in which the PERMANENT address of the student is located.</t>
  </si>
  <si>
    <t xml:space="preserve">SCHOOL OF RECORD </t>
  </si>
  <si>
    <t>The “SC” record this “S1” follows is the ONE school to which data should be attributed for the student</t>
  </si>
  <si>
    <t>GIFTED</t>
  </si>
  <si>
    <t>Indicates if the student was identified by the local education agency as being eligible for participation in a program for the gifted and talented</t>
  </si>
  <si>
    <t xml:space="preserve">504 SERVICES </t>
  </si>
  <si>
    <t>The student received services under Section 504 of the Rehabilitation Act of 1973</t>
  </si>
  <si>
    <t xml:space="preserve">ELL INSTRUCTION TYPE </t>
  </si>
  <si>
    <t>The type of ELL instruction the student receives</t>
  </si>
  <si>
    <t xml:space="preserve">NCLB SCHOOL CHOICE </t>
  </si>
  <si>
    <t>Indicates whether the student is enrolled in this school, outside of their assigned attendance area, by choice under the provisions of NCLB Title I Part A</t>
  </si>
  <si>
    <t xml:space="preserve">NCLB SUPP SERV LANG </t>
  </si>
  <si>
    <t>Indicates whether the student received supplemental services in Language Arts, funded out of the LEA's NCLB Title I Part A allocation, by identifying the approved provider of that service</t>
  </si>
  <si>
    <t xml:space="preserve">NCLB SUPP SERV MATH </t>
  </si>
  <si>
    <t>Indicates whether the student received supplemental services in Mathematics, funded out of the LEA's NCLB Title I Part A allocation, by identifying the approved provider of that service</t>
  </si>
  <si>
    <t xml:space="preserve">STATEWIDE STUDENT ID </t>
  </si>
  <si>
    <t xml:space="preserve">CUMULATIVE GPA </t>
  </si>
  <si>
    <t xml:space="preserve">SPECIAL ED EXIT DATE </t>
  </si>
  <si>
    <t>The date the student in special education has completely exited from all special education services</t>
  </si>
  <si>
    <t xml:space="preserve">KINDERGARTEN TYPE </t>
  </si>
  <si>
    <t>Identifies if Kindergarten students participated in an extended Kindergarten program (regardless of funding source), and which type of program</t>
  </si>
  <si>
    <t xml:space="preserve">MILITARY CHILD </t>
  </si>
  <si>
    <t>“Military child” means a child enrolled in kindergarten through grade 12 who is legally residing in the household of an active duty service member or whose parent or legal guardian is an active duty service member.</t>
  </si>
  <si>
    <t xml:space="preserve">REFUGEE STUDENT </t>
  </si>
  <si>
    <t>Identifies the student as having refugee status</t>
  </si>
  <si>
    <t>IMMIGRANT</t>
  </si>
  <si>
    <t>Indicate the student is an immigrant if the student meets all three of the following conditions: Age is 3-21, Not born in any State, Has not attended one or more schools in any State for more than 3 full academic years</t>
  </si>
  <si>
    <t>READ GRADE LEVEL</t>
  </si>
  <si>
    <t>For grades 1-3 indicate if the student is reading on grade level</t>
  </si>
  <si>
    <t>READING INTERVENTION</t>
  </si>
  <si>
    <t>Indicate if the student is receiving or has received reading intervention</t>
  </si>
  <si>
    <t>RACE OBSERVER ID</t>
  </si>
  <si>
    <t>Indicate if the student’s RACE was determined by observer identification</t>
  </si>
  <si>
    <t>I1</t>
  </si>
  <si>
    <t>I2</t>
  </si>
  <si>
    <t>ES</t>
  </si>
  <si>
    <t>State-assigned number for school submitting record.  Must match School Number on S1 record where school is student's school of record.</t>
  </si>
  <si>
    <t>The student's entry date into high school.</t>
  </si>
  <si>
    <t>GRADUATION DATE</t>
  </si>
  <si>
    <t>The student's graduation date, month and year only.  Blank if not yet graduated.</t>
  </si>
  <si>
    <t>EXPECTED GRADUATION DATE</t>
  </si>
  <si>
    <t>CUMULATIVE CREDITS</t>
  </si>
  <si>
    <t>TOTAL CREDITS ATTEMPTED</t>
  </si>
  <si>
    <t>The number of credits that the student has attempted to take.</t>
  </si>
  <si>
    <t>TOTAL GPA POINTS</t>
  </si>
  <si>
    <t>The weighted average total of the student's credits multiplied by the student's decimal grade equivalent values.</t>
  </si>
  <si>
    <t>CLASS RANK</t>
  </si>
  <si>
    <t>The rank order number of the student compared to other students in the grade level based on GPA.</t>
  </si>
  <si>
    <t>COHORT SIZE</t>
  </si>
  <si>
    <t>The total number of students in the grade level to compare students against.</t>
  </si>
  <si>
    <t>PERCENTILE RANK</t>
  </si>
  <si>
    <t>The student's percentile based upon student class rank and the number of students.</t>
  </si>
  <si>
    <t>GRADE 9 CREDITS EARNED</t>
  </si>
  <si>
    <t>The number of credits the student earned during the 9th grade.</t>
  </si>
  <si>
    <t>GRADE 9 GPA</t>
  </si>
  <si>
    <t>The average of the grade points the student earned during the 9th grade.</t>
  </si>
  <si>
    <t>GRADE 10 CREDITS EARNED</t>
  </si>
  <si>
    <t>The number of credits the student earned during the 10th grade.</t>
  </si>
  <si>
    <t>GRADE 10 GPA</t>
  </si>
  <si>
    <t>The average of the grade points the student earned during the 10th grade.</t>
  </si>
  <si>
    <t>GRADE 11 CREDITS EARNED</t>
  </si>
  <si>
    <t>The number of credits the student earned during the 11th grade.</t>
  </si>
  <si>
    <t>GRADE 11 GPA</t>
  </si>
  <si>
    <t>The average of the grade points the student earned during the 11th grade.</t>
  </si>
  <si>
    <t>GRADE 12 CREDITS EARNED</t>
  </si>
  <si>
    <t>The number of credits the student earned during the 12th grade.</t>
  </si>
  <si>
    <t>GRADE 12 GPA</t>
  </si>
  <si>
    <t>The average of the grade points the student earned during the 12th grade.</t>
  </si>
  <si>
    <t>ADDRESS LINE 1</t>
  </si>
  <si>
    <t>First 32 characters of Student's permanent address line 1</t>
  </si>
  <si>
    <t>ADDRESS CITY</t>
  </si>
  <si>
    <t>City of Student's permanent address</t>
  </si>
  <si>
    <t>ADDRESS COUNTRY</t>
  </si>
  <si>
    <t>Country code of Student's permanent address if not US</t>
  </si>
  <si>
    <t>UT.009</t>
  </si>
  <si>
    <t>UT.006</t>
  </si>
  <si>
    <t>UT.001</t>
  </si>
  <si>
    <t>UT.002</t>
  </si>
  <si>
    <t>UT.003</t>
  </si>
  <si>
    <t>UT.004</t>
  </si>
  <si>
    <t>UT.005</t>
  </si>
  <si>
    <t>UT.007</t>
  </si>
  <si>
    <t>UT.010</t>
  </si>
  <si>
    <t>UT.012</t>
  </si>
  <si>
    <t>UT.013</t>
  </si>
  <si>
    <t>UT.014</t>
  </si>
  <si>
    <t>UT.017</t>
  </si>
  <si>
    <t>UT.016</t>
  </si>
  <si>
    <t>UT.015</t>
  </si>
  <si>
    <t>UT.018</t>
  </si>
  <si>
    <t>UT.019</t>
  </si>
  <si>
    <t>UT.020</t>
  </si>
  <si>
    <t>UT.021</t>
  </si>
  <si>
    <t>UT.022</t>
  </si>
  <si>
    <t>UT.023</t>
  </si>
  <si>
    <t>UT.024</t>
  </si>
  <si>
    <t>UT.025</t>
  </si>
  <si>
    <t>UT.027</t>
  </si>
  <si>
    <t>UT.028</t>
  </si>
  <si>
    <t>UT.029</t>
  </si>
  <si>
    <t>UT.030</t>
  </si>
  <si>
    <t>UT.032</t>
  </si>
  <si>
    <t>UT.033</t>
  </si>
  <si>
    <t>UT.034</t>
  </si>
  <si>
    <t>UT.035</t>
  </si>
  <si>
    <t>UT.036</t>
  </si>
  <si>
    <t>UT.037</t>
  </si>
  <si>
    <t>UT.039</t>
  </si>
  <si>
    <t>UT.040</t>
  </si>
  <si>
    <t>UT.041</t>
  </si>
  <si>
    <t>UT.042</t>
  </si>
  <si>
    <t>UT.043</t>
  </si>
  <si>
    <t>UT.044</t>
  </si>
  <si>
    <t>UT.045</t>
  </si>
  <si>
    <t>UT.046</t>
  </si>
  <si>
    <t>UT.047</t>
  </si>
  <si>
    <t>UT.048</t>
  </si>
  <si>
    <t>UT.049</t>
  </si>
  <si>
    <t>UT.050</t>
  </si>
  <si>
    <t>UT.051</t>
  </si>
  <si>
    <t>UT.052</t>
  </si>
  <si>
    <t>UT.053</t>
  </si>
  <si>
    <t>UT.054</t>
  </si>
  <si>
    <t>UT.055</t>
  </si>
  <si>
    <t>UT.056</t>
  </si>
  <si>
    <t>UT.057</t>
  </si>
  <si>
    <t>UT.058</t>
  </si>
  <si>
    <t>UT.059</t>
  </si>
  <si>
    <t>UT.060</t>
  </si>
  <si>
    <t>UT.061</t>
  </si>
  <si>
    <t>UT.062</t>
  </si>
  <si>
    <t>UT.063</t>
  </si>
  <si>
    <t>UT.064</t>
  </si>
  <si>
    <t>UT.065</t>
  </si>
  <si>
    <t>UT.066</t>
  </si>
  <si>
    <t>ACCOMPANIED STUDENT</t>
  </si>
  <si>
    <t>UT.068</t>
  </si>
  <si>
    <t>UT.069</t>
  </si>
  <si>
    <t>UT.070</t>
  </si>
  <si>
    <t>UT.071</t>
  </si>
  <si>
    <t>UT.072</t>
  </si>
  <si>
    <t>UT.073</t>
  </si>
  <si>
    <t>UT.074</t>
  </si>
  <si>
    <t>UT.075</t>
  </si>
  <si>
    <t>UT.077</t>
  </si>
  <si>
    <t>UT.078</t>
  </si>
  <si>
    <t>UT.079</t>
  </si>
  <si>
    <t>UT.011</t>
  </si>
  <si>
    <t>UT.080</t>
  </si>
  <si>
    <t>UT.081</t>
  </si>
  <si>
    <t>UT.082</t>
  </si>
  <si>
    <t>UT.083</t>
  </si>
  <si>
    <t>UT.084</t>
  </si>
  <si>
    <t>UT.085</t>
  </si>
  <si>
    <t>UT.086</t>
  </si>
  <si>
    <t>UT.087</t>
  </si>
  <si>
    <t>UT.088</t>
  </si>
  <si>
    <t>UT.089</t>
  </si>
  <si>
    <t>UT.090</t>
  </si>
  <si>
    <t>UT.091</t>
  </si>
  <si>
    <t>UT.092</t>
  </si>
  <si>
    <t>UT.093</t>
  </si>
  <si>
    <t>UT.094</t>
  </si>
  <si>
    <t>UT.095</t>
  </si>
  <si>
    <t>UT.096</t>
  </si>
  <si>
    <t>UT.097</t>
  </si>
  <si>
    <t>UT.098</t>
  </si>
  <si>
    <t>UT.099</t>
  </si>
  <si>
    <t>UT.100</t>
  </si>
  <si>
    <t>UT.101</t>
  </si>
  <si>
    <t>UT.102</t>
  </si>
  <si>
    <t>UT.103</t>
  </si>
  <si>
    <t>UT.104</t>
  </si>
  <si>
    <t>UT.105</t>
  </si>
  <si>
    <t>UT.106</t>
  </si>
  <si>
    <t>UT.107</t>
  </si>
  <si>
    <t>UT.108</t>
  </si>
  <si>
    <t>UT.109</t>
  </si>
  <si>
    <t>UT.110</t>
  </si>
  <si>
    <t>UT.111</t>
  </si>
  <si>
    <t>UT.112</t>
  </si>
  <si>
    <t>UT.113</t>
  </si>
  <si>
    <t>UT.114</t>
  </si>
  <si>
    <t>UT.115</t>
  </si>
  <si>
    <t>UT.116</t>
  </si>
  <si>
    <t>UT.117</t>
  </si>
  <si>
    <t>UT.118</t>
  </si>
  <si>
    <t>UT.119</t>
  </si>
  <si>
    <t>UT.120</t>
  </si>
  <si>
    <t>UT.121</t>
  </si>
  <si>
    <t>UT.122</t>
  </si>
  <si>
    <t>UT.123</t>
  </si>
  <si>
    <t>UT.124</t>
  </si>
  <si>
    <t>UT.125</t>
  </si>
  <si>
    <t>UT.126</t>
  </si>
  <si>
    <t>UT.127</t>
  </si>
  <si>
    <t>UT.128</t>
  </si>
  <si>
    <t>UT.129</t>
  </si>
  <si>
    <t>UT.130</t>
  </si>
  <si>
    <t>UT.131</t>
  </si>
  <si>
    <t>TC</t>
  </si>
  <si>
    <t>TG</t>
  </si>
  <si>
    <t>Local course number if available.  Corresponds to first part of COURSE NUMBER in AM record.</t>
  </si>
  <si>
    <t>UT.132</t>
  </si>
  <si>
    <t>UT.133</t>
  </si>
  <si>
    <t>UT.134</t>
  </si>
  <si>
    <t>UT.135</t>
  </si>
  <si>
    <t>UT.136</t>
  </si>
  <si>
    <t>UT.137</t>
  </si>
  <si>
    <t>UT.139</t>
  </si>
  <si>
    <t>UT.140</t>
  </si>
  <si>
    <t>UT.141</t>
  </si>
  <si>
    <t>UT.143</t>
  </si>
  <si>
    <t>UT.144</t>
  </si>
  <si>
    <t>UT.145</t>
  </si>
  <si>
    <t>UT.146</t>
  </si>
  <si>
    <t>TEST NAME</t>
  </si>
  <si>
    <t>Assessment name, e.g. 'American College Test' as recorded in the SIS</t>
  </si>
  <si>
    <t>DATE</t>
  </si>
  <si>
    <t>Date the assessment was administered</t>
  </si>
  <si>
    <t>FORM</t>
  </si>
  <si>
    <t>LEVEL</t>
  </si>
  <si>
    <t>Level of the test (if applicable)</t>
  </si>
  <si>
    <t>Student's grade level when assessed</t>
  </si>
  <si>
    <t>SUBTEST</t>
  </si>
  <si>
    <t>The subtest or subject category of the assessment, e.g. 'English' or 'Composite'</t>
  </si>
  <si>
    <t>SCORE TYPE</t>
  </si>
  <si>
    <t>Type of score, using NCES 0056 values</t>
  </si>
  <si>
    <t>SCORE</t>
  </si>
  <si>
    <t>State-assigned LEA number for submitting school.  Must match DI record.</t>
  </si>
  <si>
    <t>TA</t>
  </si>
  <si>
    <t>UT.148</t>
  </si>
  <si>
    <t>UT.149</t>
  </si>
  <si>
    <t>UT.150</t>
  </si>
  <si>
    <t>UT.151</t>
  </si>
  <si>
    <t>UT.152</t>
  </si>
  <si>
    <t>UT.153</t>
  </si>
  <si>
    <t>UT.154</t>
  </si>
  <si>
    <t>UT.155</t>
  </si>
  <si>
    <t>ST</t>
  </si>
  <si>
    <t>ADDRESS STATE CODE</t>
  </si>
  <si>
    <t>State/Province code of Student's permanent address if not Utah</t>
  </si>
  <si>
    <t>UT.157</t>
  </si>
  <si>
    <t>UT.158</t>
  </si>
  <si>
    <t>UT.159</t>
  </si>
  <si>
    <t>UT.160</t>
  </si>
  <si>
    <t>UT.161</t>
  </si>
  <si>
    <t>UT.162</t>
  </si>
  <si>
    <t>UT.163</t>
  </si>
  <si>
    <t>UT.164</t>
  </si>
  <si>
    <t>UT.165</t>
  </si>
  <si>
    <t>UT.166</t>
  </si>
  <si>
    <t>UT.167</t>
  </si>
  <si>
    <t>UT.168</t>
  </si>
  <si>
    <t>UT.169</t>
  </si>
  <si>
    <t>UT.170</t>
  </si>
  <si>
    <t>UT.171</t>
  </si>
  <si>
    <t>UT.172</t>
  </si>
  <si>
    <t>UT.173</t>
  </si>
  <si>
    <t>UT.174</t>
  </si>
  <si>
    <t>UT.175</t>
  </si>
  <si>
    <t>UT.176</t>
  </si>
  <si>
    <t>UT.177</t>
  </si>
  <si>
    <t>UT.178</t>
  </si>
  <si>
    <t>UT.179</t>
  </si>
  <si>
    <t>UT.180</t>
  </si>
  <si>
    <t>UT.182</t>
  </si>
  <si>
    <t>UT.183</t>
  </si>
  <si>
    <t>UT.184</t>
  </si>
  <si>
    <t>Record Type</t>
  </si>
  <si>
    <t>SchoolInfo/StateProvinceId</t>
  </si>
  <si>
    <t>UT.142</t>
  </si>
  <si>
    <t>UT.185</t>
  </si>
  <si>
    <t>UT.186</t>
  </si>
  <si>
    <t>UT.187</t>
  </si>
  <si>
    <t>UT.188</t>
  </si>
  <si>
    <t>UT.189</t>
  </si>
  <si>
    <t>UT.190</t>
  </si>
  <si>
    <t>UT.191</t>
  </si>
  <si>
    <t>StudentAcademicRecord/AssessmentPerformanceHistory/Assessment/AdministrationDate</t>
  </si>
  <si>
    <t>StudentAcademicRecord/AssessmentPerformanceHistory/Assessment/Name</t>
  </si>
  <si>
    <t>StudentAcademicRecord/AssessmentPerformanceHistory/Assessment/SubTestCategory</t>
  </si>
  <si>
    <t>StudentAcademicRecord/AssessmentPerformanceHistory/Assessment/TestScore</t>
  </si>
  <si>
    <t>StudentAcademicRecord/AssessmentPerformanceHistory/Assessment/TestScoreType</t>
  </si>
  <si>
    <t>StudentAcademicRecord/AssessmentPerformanceHistory/Assessment/Level</t>
  </si>
  <si>
    <t>StudentAcademicRecord/AssessmentPerformanceHistory/Assessment/StudentGradeLevelWhenAssessed</t>
  </si>
  <si>
    <t>StudentAcademicRecord/AssessmentPerformanceHistory/Assessment/Form</t>
  </si>
  <si>
    <t>SIF Xpath Mapping</t>
  </si>
  <si>
    <t>SchoolCourseInfo/StateCourseCode</t>
  </si>
  <si>
    <t>SchoolCourseInfo/CourseTitle</t>
  </si>
  <si>
    <t>SectionInfo/ScheduleInfoList/ScheduleInfo/MeetingTimeList/MeetingTime/TimetableDay</t>
  </si>
  <si>
    <t>LEAInfo/StateProvinceId</t>
  </si>
  <si>
    <t>StudentSchoolEnrollment[@SchoolYear]</t>
  </si>
  <si>
    <t>StudentSchoolEnrollment[@MembershipType]</t>
  </si>
  <si>
    <t>Blank when MembershipType='Home', otherwise 'N'</t>
  </si>
  <si>
    <t>CalendarSummary/DaysInSession</t>
  </si>
  <si>
    <t>CalendarSummary/LastInstructionDate</t>
  </si>
  <si>
    <t>SchoolInfo/SessionType</t>
  </si>
  <si>
    <t>StudentPersonal/LocalId</t>
  </si>
  <si>
    <t>StudentPersonal/OtherIdList/OtherId[@Type='0004']</t>
  </si>
  <si>
    <t>StudentPersonal/Name/LastName</t>
  </si>
  <si>
    <t>StudentPersonal/Name/FirstName</t>
  </si>
  <si>
    <t>StudentPersonal/Name/MiddleName</t>
  </si>
  <si>
    <t>StudentPersonal/Demographics/Birthdate</t>
  </si>
  <si>
    <t>StudentPersonal/Demographics/Gender</t>
  </si>
  <si>
    <t>StudentPersonal/Demographics/HispanicLatino</t>
  </si>
  <si>
    <t>StudentPersonal/Demographics/RaceList</t>
  </si>
  <si>
    <t>StudentPersonal/MostRecent/GradeLevel</t>
  </si>
  <si>
    <t>StudentSchoolEnrollment/EntryDate</t>
  </si>
  <si>
    <t>StudentSchoolEnrollment/ExitDate</t>
  </si>
  <si>
    <t>StudentSchoolEnrollment/ExitType/OtherCodeList/OtherCode[@Codeset='StateProvince']</t>
  </si>
  <si>
    <t>Use CumulativeGPA value to determine</t>
  </si>
  <si>
    <t>StudentPersonal/Demographics/RaceList/Race/OtherCodeList[@CodeSet='StateProvince']</t>
  </si>
  <si>
    <t>StudentPersonal/EconomicDisadvantage</t>
  </si>
  <si>
    <t>StudentPersonal/PhoneNumberList/PhoneNumber</t>
  </si>
  <si>
    <t>StudentPersonal/Migrant</t>
  </si>
  <si>
    <t>StudentPersonal/Demographics/DwellingArrangement/OtherCodeList[@CodeSet='StateProvince']</t>
  </si>
  <si>
    <t>StudentPersonal/FirstUSEnrollment</t>
  </si>
  <si>
    <t>StudentPersonal/GiftedTalented</t>
  </si>
  <si>
    <t>StudentPersonal/Section504</t>
  </si>
  <si>
    <t>StudentPersonal/StateProvinceId</t>
  </si>
  <si>
    <t>StudentParticipation/ProgramExitDate</t>
  </si>
  <si>
    <t>StudentPersonal/Immigrant</t>
  </si>
  <si>
    <t>StudentParticipation/StudentSpecialEducationFTE</t>
  </si>
  <si>
    <t>StudentParticipation/ProgramExitReason/OtherCodeList[@CodeSet='StateProvince']</t>
  </si>
  <si>
    <t>SectionInfo/ScheduleInfoList/ScheduleInfo/MeetingTimeList/MeetingTime/TimetablePeriod</t>
  </si>
  <si>
    <t>SectionInfo/LocationOfInstruction/Code</t>
  </si>
  <si>
    <t>UT.192</t>
  </si>
  <si>
    <t>StudentSectionEnrollment/EntryDate</t>
  </si>
  <si>
    <t>StudentSectionEnrollment/ExitDate</t>
  </si>
  <si>
    <t>StudentSectionEnrollment/CreditsAttempted</t>
  </si>
  <si>
    <t>DisciplineIncident/IncidentNumber</t>
  </si>
  <si>
    <t>DisciplineIncident/IncidentDate</t>
  </si>
  <si>
    <t>DisciplineIncident/IncidentDescription</t>
  </si>
  <si>
    <t>DisciplineIncident/OffenderList/Offender/ActionList/Action/Code</t>
  </si>
  <si>
    <t>DisciplineIncident/OffenderList/Offender/ActionList/Action/Duration</t>
  </si>
  <si>
    <t>StudentAcademicRecord/AcademicPerformanceSummary/ClassRank</t>
  </si>
  <si>
    <t>StudentAcademicRecord/AcademicPerformanceSummary/ClassTotalNumber</t>
  </si>
  <si>
    <t>If the student has graduated, the graduation date; if the student is yet to graduate, the expected graduation date.</t>
  </si>
  <si>
    <t>StudentAcademicRecord/CourseHistory/Term/Courses/Course/SchoolCourseInfoData/CourseCode</t>
  </si>
  <si>
    <t>StudentAcademicRecord/CourseHistory/Term/Courses/Course/MarkingPeriods/MarkingPeriod/CourseCreditsEarned</t>
  </si>
  <si>
    <t>StudentAcademicRecord/CourseHistory/Term/TermInfoData/SchoolYear</t>
  </si>
  <si>
    <t>StudentAcademicRecord/CourseHistory/Term/Courses/Course/MarkingPeriods/MarkingPeriod/TermInfoData/TermCode</t>
  </si>
  <si>
    <t>ScheduleInfoList/ScheduleInfo[@TermInfoRefId], TermInfo/TermSpan/Code
Calculate USOE code using TermSpan Code and EndDate</t>
  </si>
  <si>
    <t>Used for manifest validations only</t>
  </si>
  <si>
    <t>StudentPersonal/Demographics/LanguageList/Language/LanguageType
AND
StudentPersonal/Demographics/LanguageList/Language/Code</t>
  </si>
  <si>
    <t>Uses Language/Code WHERE Language/LanguageType=1038</t>
  </si>
  <si>
    <t>Uses Language/Code WHERE Language/LanguageType=1037</t>
  </si>
  <si>
    <t>StudentAcademicRecord/CourseHistory/Term/Courses/Course/MarkingPeriods/MarkingPeriod/MarkData/Letter</t>
  </si>
  <si>
    <t>StudentAcademicRecord/AcademicPerformanceSummary/ProjectedGraduationDate</t>
  </si>
  <si>
    <t>StudentAcademicRecord/AcademicPerformanceSummary/TotalCreditsEarned</t>
  </si>
  <si>
    <t>StudentAcademicRecord/AcademicPerformanceSummary/CumulativeGPACreditsEarned</t>
  </si>
  <si>
    <t>StudentAcademicRecord/AcademicPerformanceSummary/CumulativeGradePoints</t>
  </si>
  <si>
    <t>SSID</t>
  </si>
  <si>
    <t>SLF</t>
  </si>
  <si>
    <t>LEGAL LAST NAME</t>
  </si>
  <si>
    <t>LEGAL FIRST NAME</t>
  </si>
  <si>
    <t>LEGAL MIDDLE NAME</t>
  </si>
  <si>
    <t>LEA SCHOOL NUMBER</t>
  </si>
  <si>
    <t>LEA STUDENT NUMBER</t>
  </si>
  <si>
    <t>School year for which this enrollment is applicable. Expressed as the four-digit-year in which the school year ends (e.g. 2011 for the 2010-11 school year</t>
  </si>
  <si>
    <t>Student First Name</t>
  </si>
  <si>
    <t>Student Middle Name</t>
  </si>
  <si>
    <t>Student Gender M/F</t>
  </si>
  <si>
    <t>State-assigned LEA number.</t>
  </si>
  <si>
    <t>Requesting schools state-assigned school number</t>
  </si>
  <si>
    <t>Students LEA assigned student number</t>
  </si>
  <si>
    <t>Students birth date</t>
  </si>
  <si>
    <t>StudentAcademicRecord/CourseHistory/Term/Courses/Course/SchoolCourseInfoData/CourseTitle</t>
  </si>
  <si>
    <t>StudentAcademicRecord/CourseHistory/Term/Courses/Course/MarkingPeriods/MarkingPeriod/CourseCreditsAttempted</t>
  </si>
  <si>
    <t>COURSE SCHOOL NAME</t>
  </si>
  <si>
    <t>COURSE SCHOOL NCES ID</t>
  </si>
  <si>
    <t>COURSE SCHOOL CITY</t>
  </si>
  <si>
    <t>COURSE SCHOOL STATE</t>
  </si>
  <si>
    <t>Student grade level when course was taken</t>
  </si>
  <si>
    <t>StudentAcademicRecord/CourseHistory/Term/Courses/Course/MarkingPeriods/MarkingPeriod/GradeLevelWhenTaken</t>
  </si>
  <si>
    <t>StudentAcademicRecord/AcademicPerformanceSummary/TotalCreditsAttempted</t>
  </si>
  <si>
    <t>StudentAcademicRecord/AcademicPerformanceHistory/TermPerformance/CreditsEarned</t>
  </si>
  <si>
    <t>StudentAcademicRecord/AcademicPerformanceHistory/TermPerformance/GPA</t>
  </si>
  <si>
    <t>StudentAcademicRecord/EnrollmentHistory/StudentSchoolEnrollmentData/EntryDate</t>
  </si>
  <si>
    <t>Test score reported</t>
  </si>
  <si>
    <t>StudentSchoolEnrollment[@SchoolInfoRefId]</t>
  </si>
  <si>
    <t>UT.193</t>
  </si>
  <si>
    <t>ExtendedElement</t>
  </si>
  <si>
    <t>Notes and References</t>
  </si>
  <si>
    <t>Where : StudentAcademicRecord/AcademicPerformanceHistory/TermPerformance/GradeLevelWhenTaken = "10"
Manifest will calculate by summing all CourseCredits earned by SchoolYear if this data is not published by the SIS</t>
  </si>
  <si>
    <t>Manifest will calculate by summing all Credit Earned for all Courses if this data is not published by the SIS</t>
  </si>
  <si>
    <t>Where : StudentAcademicRecord/AcademicPerformanceHistory/TermPerformance/GradeLevelWhenTaken = "11"
Manifest will calculate by summing all CourseCredits earned by SchoolYear if this data is not published by the SIS</t>
  </si>
  <si>
    <t>Where : StudentAcademicRecord/AcademicPerformanceHistory/TermPerformance/GradeLevelWhenTaken = "12"
Manifest will calculate by summing all CourseCredits earned by SchoolYear if this data is not published by the SIS</t>
  </si>
  <si>
    <t>Where : StudentAcademicRecord/AcademicPerformanceHistory/TermPerformance/GradeLevelWhenTaken = "9"
Manifest will calculate by summing all CourseCredits earned by SchoolYear if this data is not published by the SIS</t>
  </si>
  <si>
    <t>Manifest will calculate by summing all Credits Attempted for all Courses if this data is not published by the SIS</t>
  </si>
  <si>
    <t>KEY:</t>
  </si>
  <si>
    <t>Course Master Record</t>
  </si>
  <si>
    <t>Course Membership Record</t>
  </si>
  <si>
    <t>District Record</t>
  </si>
  <si>
    <t>Exit Status Update Record</t>
  </si>
  <si>
    <t>Incident Record</t>
  </si>
  <si>
    <t>Incident Association Record</t>
  </si>
  <si>
    <t>Student Record</t>
  </si>
  <si>
    <t>SCRAM Record</t>
  </si>
  <si>
    <t>YIC Record</t>
  </si>
  <si>
    <t>School Record</t>
  </si>
  <si>
    <t>Student Transcript Record</t>
  </si>
  <si>
    <t>Transcript Assessment Record</t>
  </si>
  <si>
    <t>Transcript Course Record</t>
  </si>
  <si>
    <t>Transcript Grade Record</t>
  </si>
  <si>
    <t>SIF Object</t>
  </si>
  <si>
    <t>UT.194</t>
  </si>
  <si>
    <t>UT.195</t>
  </si>
  <si>
    <t>UT.196</t>
  </si>
  <si>
    <t>UT.197</t>
  </si>
  <si>
    <t>UT.198</t>
  </si>
  <si>
    <t>UT.199</t>
  </si>
  <si>
    <t>UT.200</t>
  </si>
  <si>
    <t>SCHOOL NAME</t>
  </si>
  <si>
    <t>SCHOOL ADDRESS</t>
  </si>
  <si>
    <t>SCHOOL CITY</t>
  </si>
  <si>
    <t>SCHOOL STATE</t>
  </si>
  <si>
    <t>SCHOOL ZIP</t>
  </si>
  <si>
    <t>SCHOOL PHONE</t>
  </si>
  <si>
    <t>The address of the transcripting school</t>
  </si>
  <si>
    <t>The name of the school that is generating the transcript (transcripting school)</t>
  </si>
  <si>
    <t>The city of the transcripting school</t>
  </si>
  <si>
    <t>The state of the transcripting school</t>
  </si>
  <si>
    <t>The zip code of the transcripting school</t>
  </si>
  <si>
    <t>The phone number of the transcripting school</t>
  </si>
  <si>
    <t>UT.008</t>
  </si>
  <si>
    <t>The name of the District or Charter School that is generating the transcript.</t>
  </si>
  <si>
    <t>LEAInfo/LEAName</t>
  </si>
  <si>
    <t>SchoolInfo/SchoolName</t>
  </si>
  <si>
    <t>SchoolInfo/AddressList/Address[@Type='0765]/Street/Line1</t>
  </si>
  <si>
    <t>SchoolInfo/AddressList/Address[@Type='0765]/City</t>
  </si>
  <si>
    <t>SchoolInfo/AddressList/Address[@Type='0765]/StateProvince</t>
  </si>
  <si>
    <t>SchoolInfo/AddressList/Address[@Type='0765]/PostalCode</t>
  </si>
  <si>
    <t>SchoolInfo/PhoneNumberList/PhoneNumber[@Type='0096']/Number</t>
  </si>
  <si>
    <t>UT.026</t>
  </si>
  <si>
    <t>STUDENT EXIT DATE</t>
  </si>
  <si>
    <t>The students exit date from high school</t>
  </si>
  <si>
    <t>StudentPersonal/AddressList/Address[@Type='0765']/Country</t>
  </si>
  <si>
    <t>StudentPersonal/AddressList/Address[@Type='0765']/City</t>
  </si>
  <si>
    <t>StudentPersonal/AddressList/Address[@Type='0765']/PostalCode</t>
  </si>
  <si>
    <t>StudentPersonal/AddressList/Address[@Type='0765']/StateProvince</t>
  </si>
  <si>
    <t>StudentPersonal/AddressList/Address[@Type='0765']/Street/Line1</t>
  </si>
  <si>
    <t>If blank the submitting district is assumed</t>
  </si>
  <si>
    <t>DisciplineIncident/OffenderList/Offender/ActionList/Action/PoliceNotification</t>
  </si>
  <si>
    <t xml:space="preserve">DisciplineIncident/RelatedToList/RelatedTo </t>
  </si>
  <si>
    <t>StudentAcademicRecord/SchoolAttendanceHistory/SchoolAttended/SchoolInfoData/SchoolName</t>
  </si>
  <si>
    <t>StudentAcademicRecord/SchoolAttendanceHistory/SchoolAttended/SchoolInfoData/SchoolNCESId</t>
  </si>
  <si>
    <t>UT.201</t>
  </si>
  <si>
    <t>Date</t>
  </si>
  <si>
    <t>Version</t>
  </si>
  <si>
    <t>By</t>
  </si>
  <si>
    <t>Change</t>
  </si>
  <si>
    <t>Reason</t>
  </si>
  <si>
    <t>Notes</t>
  </si>
  <si>
    <t>Quint</t>
  </si>
  <si>
    <t>May be designated with a Yes/No or applicable code</t>
  </si>
  <si>
    <t>ID Num.</t>
  </si>
  <si>
    <t>Added Note and References</t>
  </si>
  <si>
    <t>Clarify the useage of Yes/No</t>
  </si>
  <si>
    <t>Changed mapping from StudentParticipation/ProgramExitDate to StudentPersonal/SpecialEdExitDate</t>
  </si>
  <si>
    <t>This is a single date related to the student and not a specific program</t>
  </si>
  <si>
    <t>Indicate if the student was accompanied by a parent/guardian for selecting the HOME STATUS field value.</t>
  </si>
  <si>
    <t>Changed description</t>
  </si>
  <si>
    <t>Normalize description with the Clearinghouse Spec.</t>
  </si>
  <si>
    <t>StudentParticipation/LeastRestrictiveEnvironment/OtherCodeList[@CodeSet='StateProvince']</t>
  </si>
  <si>
    <t>Changed mapping from an ExtendedElement to StudentParticipation/LeastRestrictiveEnvironment/OtherCodeList[@CodeSet='StateProvince']</t>
  </si>
  <si>
    <t>Improved mapping</t>
  </si>
  <si>
    <t>Fixed error in mapping</t>
  </si>
  <si>
    <t>Fixed mapping for SchoolCourseInfo/Coursecode</t>
  </si>
  <si>
    <t>Corrected mapping</t>
  </si>
  <si>
    <t>Corrected mapping. Added note</t>
  </si>
  <si>
    <t>LocationOfInstruction/Code (NCES 0171). Use code 0342 for College, code 0340 or 0341 for High School, translate to Utah codes in Manifest.</t>
  </si>
  <si>
    <t>Added translation information</t>
  </si>
  <si>
    <t>Changed mapping from using TermInfo/EndDate and TermInfo/TermSpan to using TermInfoStartDay and TermInfo/RelativeDuration</t>
  </si>
  <si>
    <t>ScheduleInfoList/ScheduleInfo[@TermInfoRefId]. Use translation to normalize to state codes</t>
  </si>
  <si>
    <t>Change mapping from SectionInfo/ExtendedElements/ExtendedElement[@Name='StateTermCode'] to TermInfo/TermCode</t>
  </si>
  <si>
    <t>Changed mapping from an extended element to DisciplineIncident/RelatedToList/RelatedTo and added a Note: 3068=GangRelated</t>
  </si>
  <si>
    <t>Improved mapping and added note</t>
  </si>
  <si>
    <t>Changed mapping from DisciplineIncident/IncidentActionList/IncidentAction/PoliceNotification to DisciplineIncident/OffenderList/Offender/ActionList/Action/PoliceNotification</t>
  </si>
  <si>
    <t>Corrected mapping.</t>
  </si>
  <si>
    <t>Removed the word "Summary" from SchoolAttendanceHistory</t>
  </si>
  <si>
    <t>Changed mapping from an extendedelement to SchoolAttendanceHistory/SchoolAttended/SchoolInfoData/AddressList/Address/City</t>
  </si>
  <si>
    <t>Changed mapping from an extendedelement to SchoolAttendanceHistory/SchoolAttended/SchoolInfoData/AddressList/Address/State</t>
  </si>
  <si>
    <t>Fixed mapping for StudentAcademicRecord/CourseHistory/Term/Courses/Course/MarkingPeriods/MarkingPeriod/CourseCreditsEarned</t>
  </si>
  <si>
    <t>This value is calculated in the manifest by totaling credits received from all marking periods for a specific course</t>
  </si>
  <si>
    <t>Corrected mapping and added Note</t>
  </si>
  <si>
    <t>Only the credit earned for this marking period for a specific course. This allows multiple marking periods to be reported for a single course</t>
  </si>
  <si>
    <t>StudentAcademicRecord/AcademicPerformanceSummary/GraduationDate</t>
  </si>
  <si>
    <t>Changed mapping from StudentPersonal/GraduationDate to StudentAcademicRecord/AcademicPerformanceSummary/GraduationDate</t>
  </si>
  <si>
    <t>Not required or needed per meeting on 3/2/2011</t>
  </si>
  <si>
    <t>Optional. Manifest will calculate if not provided</t>
  </si>
  <si>
    <t>Optional element. Manifest will calculate if not provided by SIS SIF Agent</t>
  </si>
  <si>
    <t>Changed UT.192, School of Record, to UT.201, School of Record</t>
  </si>
  <si>
    <t xml:space="preserve">This ID Num was a duplicate of Counselor Phone on the  S1 record. </t>
  </si>
  <si>
    <t>Changed mapping from using StudentSectionMarks to StudentGrades/Letter/Grade</t>
  </si>
  <si>
    <t>Improved mapping. StudentGrade is cleaner and requires less overhead</t>
  </si>
  <si>
    <t>UT.181</t>
  </si>
  <si>
    <t>ADDRESS LINE 2</t>
  </si>
  <si>
    <t>First 32 characters of Student's permanent address line 2</t>
  </si>
  <si>
    <t>StudentPersonal/AddressList/Address[@Type='0765']/Street/Line2</t>
  </si>
  <si>
    <t>Added element STUDENT ADDRESS LINE 2</t>
  </si>
  <si>
    <t xml:space="preserve">Optional element. </t>
  </si>
  <si>
    <t>Optional Element. Where : StudentAcademicRecord/EnrollmentHistory/StudentSchoolEnrollmentData/GradeLevel = "9"</t>
  </si>
  <si>
    <t>Optional Element</t>
  </si>
  <si>
    <t>UT.202</t>
  </si>
  <si>
    <t>STUDENT WEIGHTED GPA</t>
  </si>
  <si>
    <t>The weighted grade point average the student has earned up to the time the transcript was generated</t>
  </si>
  <si>
    <t>Added element "STUDENT WEIGHTED GPA"</t>
  </si>
  <si>
    <t>CUMULATIVE GPA CREDITS</t>
  </si>
  <si>
    <t>The number of credits or credit hours that the student has earned to the present time.</t>
  </si>
  <si>
    <t>The number of credits or credit hours used to calculate the GPA that the student has earned to the present time.</t>
  </si>
  <si>
    <t>Added element "STUDENT UN-WEIGHTED GPA"</t>
  </si>
  <si>
    <t>Specify an un-weighted GPA for transcripts</t>
  </si>
  <si>
    <t>UT.203</t>
  </si>
  <si>
    <t>Removed element  "CREDITS REQUIRED"</t>
  </si>
  <si>
    <t>Removed element "CREDIT BALANCE NEEDED"</t>
  </si>
  <si>
    <t>Removed element "TOTAL GPA POINTS"</t>
  </si>
  <si>
    <t>STUDENT UN-WEIGHTED GPA</t>
  </si>
  <si>
    <t>The un-weighted grade point average the student has earned up to the time the transcript was generated</t>
  </si>
  <si>
    <t>StudentAcademicRecord/AcademicPerformanceSummary/CumulativeGPA</t>
  </si>
  <si>
    <t>Removed element "SCHOOL FAX"</t>
  </si>
  <si>
    <t>Manifest will only report ACT, SAT, and AP tests</t>
  </si>
  <si>
    <t>ACT - (Composite, English, Math, Reading, Science)
SAT - (Writing, Math, Critical Reading, Science) 
AP - (Any)</t>
  </si>
  <si>
    <t>Specified which subtests are reported</t>
  </si>
  <si>
    <t>Specified which assessments are reported</t>
  </si>
  <si>
    <t>Improved mapping. Use translations  to normalize LEA termcodes to state termcodes</t>
  </si>
  <si>
    <t>More flexibility in mapping this in StudentPersonal AND StudentAcademicRecord.</t>
  </si>
  <si>
    <t>v2.0</t>
  </si>
  <si>
    <t>Specify an optional, weighted GPA for transcripts</t>
  </si>
  <si>
    <t>Optional element</t>
  </si>
  <si>
    <t>UT.204</t>
  </si>
  <si>
    <t>STUDENT PARENT/GUARDIAN FIRST NAME</t>
  </si>
  <si>
    <t>The first name of the student's parent or guardian</t>
  </si>
  <si>
    <t>StudentDemographicRecord/StudentContactSummary/ParentGuardian1/Name[@Type='04']/FirstName</t>
  </si>
  <si>
    <t>STUDENT PARENT/GUARDIAN LAST NAME</t>
  </si>
  <si>
    <t>The last name of the student's parent or guardian</t>
  </si>
  <si>
    <t>StudentDemographicRecord/StudentContactSummary/ParentGuardian1/Name[@Type='04']/LastName</t>
  </si>
  <si>
    <t>UT.205</t>
  </si>
  <si>
    <t>Added element "STUDENT PARENT/GUARDIAN FIRST NAME"</t>
  </si>
  <si>
    <t>Added element "STUDENT PARENT/GUARDIAN LAST NAME"</t>
  </si>
  <si>
    <t>No mapping existed. Optional element</t>
  </si>
  <si>
    <t>Changed element name from STUDENT START DATE TO STUDENT ENTRY DATE</t>
  </si>
  <si>
    <t>Consistency</t>
  </si>
  <si>
    <t>STUDENT ENTRY DATE</t>
  </si>
  <si>
    <t>LEA NAME</t>
  </si>
  <si>
    <t>UT.206</t>
  </si>
  <si>
    <t>DIPLOMA TYPE</t>
  </si>
  <si>
    <t>The type of diploma the student earned</t>
  </si>
  <si>
    <t>Required if graduated.
Basic, GED, Adult, or Certificate of Completion</t>
  </si>
  <si>
    <t>Added element "DIPLOMA TYPE"</t>
  </si>
  <si>
    <t>Remove element "GRADE 12 CUMULATIVE CREDITS"</t>
  </si>
  <si>
    <t>Remove element "GRADE 9 CUMULATIVE CREDITS"</t>
  </si>
  <si>
    <t>Remove element "GRADE 10 CUMULATIVE CREDITS"</t>
  </si>
  <si>
    <t>Remove element "GRADE 11 CUMULATIVE CREDITS"</t>
  </si>
  <si>
    <t>DisciplineIncident/OffenderList/Offender[@SIF_RefId], [@SIF_RefObject='StudentPersonal']
** Note…Will match either DisciplineIncident/OffenderList/Offender[@SIF_RefId] or DisciplineIncident/VictimList/Victim[@SIF_RefId], [@SIF_RefObject='StudentPersonal'] **</t>
  </si>
  <si>
    <t>DisciplineIncident/OffenderList/Offender/Injury 
or
DisciplineIncident/VictimList/Victim/Injury</t>
  </si>
  <si>
    <t>DisciplineIncident/OffenderList/Offender/ActionList/Action/Code
or
DisciplineIncident/OffenderList/Offender/ActionList/Action/AlternativeEducation</t>
  </si>
  <si>
    <t>Changed mapping to include DisciplineIncident/VictimList/Victim/Injury</t>
  </si>
  <si>
    <t>Changed mapping from DisciplineIncident/IncidentActionList/IncidentAction/CourtReferral to DisciplineIncident/OffenderList/Offender/ActionList/Action/Code</t>
  </si>
  <si>
    <t xml:space="preserve">Changed mapping to include DisciplineIncident/OffenderList/Offender/ActionList/Action/Code </t>
  </si>
  <si>
    <t>Corrected mapping and added note</t>
  </si>
  <si>
    <t>Changed mapping from DisciplineIncident/IncidentActionList/IncidentAction/HearingOfficerRemoval to DisciplineIncident/OffenderList/Offender/ActionList/Action/Code</t>
  </si>
  <si>
    <t>SectionInfo/MediumOfInstruction/OtherCodeList[@CodeSet='StateProvince']</t>
  </si>
  <si>
    <t>Change mapping from SectionInfo/ExtendedElements/ExtendedElement[@Name='InstructSetting'] to SectionInfo/MediumOfInstruction/OtherCodeList[@CodeSet='StateProvince']</t>
  </si>
  <si>
    <t>Cumulative GPA to three decimal places as you would provide it to a college when a student requests that a transcript be sent to an admissions office</t>
  </si>
  <si>
    <t>Form, version, or edition of the test (if applicable)</t>
  </si>
  <si>
    <t>StudentAcademicRecord/CourseHistory/Term/Courses/Course/SchoolCourseInfoData/StateCourseCode</t>
  </si>
  <si>
    <t>StudentParticipation/ExceptionalityCategories/ExceptionalityCategory/Code</t>
  </si>
  <si>
    <t>If blank, the submitting school is assumed</t>
  </si>
  <si>
    <t>All Extended Elements</t>
  </si>
  <si>
    <t>Improve the manner in which extendedelements are defined within an object</t>
  </si>
  <si>
    <t>Changed mapping from using StudentSectionMarks to StudentGrade/SIF_ExtendedElements/SIF_ExtendedElement[@Name='UTExtensions']/
ut:StudentGradeExtensions/ut:CreditsEarned</t>
  </si>
  <si>
    <t>StudentAcademicRecod/AcademicPerformanceSummary/GraduationDiplomaType</t>
  </si>
  <si>
    <t>GR, G1, G2, G3, GM, GC, GG, CT, RT, GP, AO, DO (see lookup values sheet)</t>
  </si>
  <si>
    <t>Changed mapping from LEAInfo/StateProvinceId to SectionInfo/SIF_ExtendedElements/SIF_ExtendedElement[@Name='WhereTaughtDist']</t>
  </si>
  <si>
    <t>Changed mapping from SchoolInfo/StateProvinceId to SectionInfo/SIF_ExtendedElements/SIF_ExtendedElement[@Name='WhereTaughtSchll']</t>
  </si>
  <si>
    <t>v2.1</t>
  </si>
  <si>
    <t>V2.1</t>
  </si>
  <si>
    <t>UT.207</t>
  </si>
  <si>
    <t>SCHOOL CODE (CEEB)</t>
  </si>
  <si>
    <t>The school CEEBACT code, maintained by the College Board</t>
  </si>
  <si>
    <t>Optional</t>
  </si>
  <si>
    <t>Added SchoolInfo ExtendedElement for School Code (CEEB)</t>
  </si>
  <si>
    <t>Differentiated between StateProvinceId and the CEEBACT code. Optional Element</t>
  </si>
  <si>
    <t>StudentParticipation/ProgramPlacementDate</t>
  </si>
  <si>
    <t>Changed mapping from StudentParticipation/StudentParticipantionAsOfDate to StudentParticipation/ProgramPlacementDate</t>
  </si>
  <si>
    <t>Object</t>
  </si>
  <si>
    <t>Provide</t>
  </si>
  <si>
    <t>Subscribe</t>
  </si>
  <si>
    <t>Events</t>
  </si>
  <si>
    <t>Clearinghouse</t>
  </si>
  <si>
    <t>eTranscripts</t>
  </si>
  <si>
    <t>CalendarSummary</t>
  </si>
  <si>
    <t>x</t>
  </si>
  <si>
    <t>LEAInfo</t>
  </si>
  <si>
    <t>SchoolCourseInfo</t>
  </si>
  <si>
    <t>SchoolInfo</t>
  </si>
  <si>
    <t>SectionInfo</t>
  </si>
  <si>
    <t>StaffPersonal</t>
  </si>
  <si>
    <t>StudentAcademicRecord</t>
  </si>
  <si>
    <t>StudentAttendanceSummary</t>
  </si>
  <si>
    <t>o</t>
  </si>
  <si>
    <t>StudentParticipation</t>
  </si>
  <si>
    <t>StudentPersonal</t>
  </si>
  <si>
    <t>StudentSchoolEnrollment</t>
  </si>
  <si>
    <t>StudentSectionEnrollment</t>
  </si>
  <si>
    <t>TermInfo</t>
  </si>
  <si>
    <t>Added Worksheet for SIF Objects List</t>
  </si>
  <si>
    <t>Provide a summary of which SIF Objects are required for the collection, eTrans and SLF. Also contains required provisioning</t>
  </si>
  <si>
    <t>n/a</t>
  </si>
  <si>
    <t>Added Alternative Mapping SectionInfo/SIF_ExtendedElements/SectionInfo/SIF_ExtendedElements/SIF_ExtendedElement[@Name='UTExtensions']/
ut:SectionInfoExtensions/ut:Teacher1ID</t>
  </si>
  <si>
    <t>Added Alternative Mapping SectionInfo/SIF_ExtendedElements/SectionInfo/SIF_ExtendedElements/SIF_ExtendedElement[@Name='UTExtensions']/
ut:SectionInfoExtensions/ut:Teacher2ID</t>
  </si>
  <si>
    <t>Added Alternative Mapping SectionInfo/SIF_ExtendedElements/SectionInfo/SIF_ExtendedElements/SIF_ExtendedElement[@Name='UTExtensions']/
ut:SectionInfoExtensions/ut:Teacher3ID</t>
  </si>
  <si>
    <t>Provide an alternative mapping that does not require StaffPersonal Object</t>
  </si>
  <si>
    <t>Added Alternative Mapping SchoolCourseInfo/SIF_ExtendedElements/SIF_ExtendedElement[@Name='UTExtensions']/ut:SchoolCourseInfoExtensions/ut:SemesterLength</t>
  </si>
  <si>
    <t>Provide an alternative mapping that does not require TermInfo Object</t>
  </si>
  <si>
    <t>Added Alternative Mapping SchoolCourseInfo/SIF_ExtendedElements/SIF_ExtendedElement[@Name='UTExtensions']/ut:SchoolCourseInfoExtensions/ut:TermCode</t>
  </si>
  <si>
    <t>Added Alternative Mapping StudentSectionEnrollment/SIF_ExtendedElements/SIF_ExtendedElement[@Name='UTExtensions']/ut:StudentSectionEnrollmentExtensions/ut:CreditsEarned</t>
  </si>
  <si>
    <t>Added Alternative Mapping StudentSectionEnrollment/SIF_ExtendedElements/SIF_ExtendedElement[@Name='UTExtensions']/ut:StudentSectionEnrollmentExtensions/ut:GradeEarned</t>
  </si>
  <si>
    <t>Provide an alternative mapping that does not require StudentGrade Object</t>
  </si>
  <si>
    <t>Changed the format of the extended elements to a single extend edelement for each object with a complex structure below that element. See document "Utah SIF ExtendedElements" for a complete explanation</t>
  </si>
  <si>
    <t>StudentLocatorFramework (SLF)</t>
  </si>
  <si>
    <t>DisciplineIncident</t>
  </si>
  <si>
    <t>StudentAcademicRecord/SchoolAttendanceHistory/SchoolAttended/SchoolInfoData/AddressList/Address/City</t>
  </si>
  <si>
    <t>StudentAcademicRecord/SchoolAttendanceHistory/SchoolAttended/SchoolInfoData/AddressList/Address/State</t>
  </si>
  <si>
    <t>StudentDemographicRecord</t>
  </si>
  <si>
    <t>StudentGrade</t>
  </si>
  <si>
    <t>DisciplineIncident/SIF_ExtendedElements/SIF_ExtendedElement[@Name='UTExtensions']/
DisciplineIncidentExtensions/StudentParticipantList/StudentParticipant/CausedIncident</t>
  </si>
  <si>
    <t>DisciplineIncident/SIF_ExtendedElements/SIF_ExtendedElement[@Name='UTExtensions']/
DisciplineIncidentExtensions/StudentParticipantList/StudentParticipant/GangPrevProg</t>
  </si>
  <si>
    <t>DisciplineIncident/SIF_ExtendedElements/SIF_ExtendedElement[@Name='UTExtensions']/
DisciplineIncidentExtensions/StudentParticipantList/StudentParticipant/
IncidentInvolvementList/IncidentInvolvement/InfractionType
and
IncidentInvolvementList/IncidentInvolvement/InvolvementType</t>
  </si>
  <si>
    <t>Where sibling element /IncidentInvolvement/InvolvementType = 'Primary'</t>
  </si>
  <si>
    <t>DisciplineIncident/SIF_ExtendedElements/SIF_ExtendedElement[@Name='UTExtensions']/
DisciplineIncidentExtensions/StudentParticipantList/StudentParticipant/
IncidentInvolvementList/IncidentInvolvement/Role</t>
  </si>
  <si>
    <t>DisciplineIncident/SIF_ExtendedElements/SIF_ExtendedElement[@Name='UTExtensions']/
DisciplineIncidentExtensions/StudentParticipantList/StudentParticipant/
IncidentInvolvementList/IncidentInvolvement/WeaponType</t>
  </si>
  <si>
    <t>DisciplineIncident/SIF_ExtendedElements/SIF_ExtendedElement[@Name='UTExtensions']/
DisciplineIncidentExtensions/StudentParticipantList/StudentParticipant/ReferredToProgram</t>
  </si>
  <si>
    <t>DisciplineIncident/SIF_ExtendedElements/SIF_ExtendedElement[@Name='UTExtensions']/
DisciplineIncidentExtensions/StudentParticipantList/StudentParticipant/
IncidentInvolvementList/IncidentInvolvement/InfractionType</t>
  </si>
  <si>
    <t>SchoolCourseInfo/SIF_ExtendedElements/SIF_ExtendedElement[@Name='UTExtensions']/
SchoolCourseInfoExtensions/CIPCodeNumber</t>
  </si>
  <si>
    <t>SchoolInfo/SIF_ExtendedElements/SIF_ExtendedElement[@Name='UTExtensions']/
SchoolInfoExtensions/ScheduleDayType</t>
  </si>
  <si>
    <t>SchoolInfo/SIF_ExtendedElements/SIF_ExtendedElement[@Name='UTExtensions']/SchoolInfoExtensions/CEEBCode</t>
  </si>
  <si>
    <t>SectionInfo/SIF_ExtendedElements/SIF_ExtendedElement[@Name='UTExtensions']/
SectionInfoExtensions/CollegeGranting</t>
  </si>
  <si>
    <t>StaffPersonal/StateProvinceId
*** ALTERNATIVE MAPPING ***
SectionInfo/SIF_ExtendedElements/SIF_ExtendedElement[@Name='UTExtensions']/
SectionInfoExtensions/Teacher1ID</t>
  </si>
  <si>
    <t>StaffPersonal/StateProvinceId
*** ALTERNATIVE MAPPING ***
SectionInfo/SIF_ExtendedElements/SIF_ExtendedElement[@Name='UTExtensions']/
SectionInfoExtensions/Teacher2ID</t>
  </si>
  <si>
    <t>StaffPersonal/StateProvinceId
*** ALTERNATIVE MAPPING ***
SectionInfo/SIF_ExtendedElements/SIF_ExtendedElement[@Name='UTExtensions']/
SectionInfoExtensions/Teacher3ID</t>
  </si>
  <si>
    <t>StudentAcademicRecord/SIF_ExtendedElements/SIF_ExtendedElement[@Name='UTExtensions']/
StudentAcademicRecordExtensions/PercentileRank</t>
  </si>
  <si>
    <t>StudentAcademicRecord/SIF_ExtendedElements/SIF_ExtendedElement[@Name='UTExtensions']/
StudentAcademicRecordExtensions/WeightedGPA</t>
  </si>
  <si>
    <t>StudentGrade/SIF_ExtendedElements/SIF_ExtendedElement[@Name='UTExtensions']/StudentGradeExtensions/CreditsEarned
*** ALTERNATIVE MAPPING  ***
StudentSectionEnrollment/SIF_ExtendedElements/SIF_ExtendedElement[@Name='UTExtensions']/StudentSectionEnrollmentExtensions/CreditsEarned</t>
  </si>
  <si>
    <t>StudentGrade/Grade/Letter
*** ALTERNATIVE MAPPING ***
StudentSectionEnrollment/SIF_ExtendedElements/SIF_ExtendedElement[@Name='UTExtensions']/StudentSectionEnrollmentExtensions/GradeEarned</t>
  </si>
  <si>
    <t>StudentPersonal/SIF_ExtendedElements/SIF_ExtendedElement[@Name='UTExtensions']/
StudentPersonalExtensions/AccompaniedStudent</t>
  </si>
  <si>
    <t>StudentPersonal/SIF_ExtendedElements/SIF_ExtendedElement[@Name='UTExtensions']/
StudentPersonalExtensions/CTEProgramArea</t>
  </si>
  <si>
    <t>StudentPersonal/SIF_ExtendedElements/SIF_ExtendedElement[@Name='UTExtensions']/
StudentPersonalExtensions/CumulativeGPA</t>
  </si>
  <si>
    <t>StudentPersonal/SIF_ExtendedElements/SIF_ExtendedElement[@Name='UTExtensions']/
StudentPersonalExtensions/DistrictOfResidence</t>
  </si>
  <si>
    <t>StudentPersonal/SIF_ExtendedElements/SIF_ExtendedElement[@Name='UTExtensions']/
StudentPersonalExtensions/ELLInstructionType</t>
  </si>
  <si>
    <t>StudentPersonal/SIF_ExtendedElements/SIF_ExtendedElement[@Name='UTExtensions']/
StudentPersonalExtensions/ELLMonitoredDate</t>
  </si>
  <si>
    <t>StudentPersonal/SIF_ExtendedElements/SIF_ExtendedElement[@Name='UTExtensions']/
StudentPersonalExtensions/HighSchlComplStatus</t>
  </si>
  <si>
    <t>StudentPersonal/SIF_ExtendedElements/SIF_ExtendedElement[@Name='UTExtensions']/
StudentPersonalExtensions/LimitedEnglish</t>
  </si>
  <si>
    <t>StudentPersonal/SIF_ExtendedElements/SIF_ExtendedElement[@Name='UTExtensions']/
StudentPersonalExtensions/MESAProgram</t>
  </si>
  <si>
    <t>StudentPersonal/SIF_ExtendedElements/SIF_ExtendedElement[@Name='UTExtensions']/
StudentPersonalExtensions/MilitaryChild</t>
  </si>
  <si>
    <t>StudentPersonal/SIF_ExtendedElements/SIF_ExtendedElement[@Name='UTExtensions']/
StudentPersonalExtensions/NCLBSuppServLang</t>
  </si>
  <si>
    <t>StudentPersonal/SIF_ExtendedElements/SIF_ExtendedElement[@Name='UTExtensions']/
StudentPersonalExtensions/NCLSSuppServMath</t>
  </si>
  <si>
    <t>StudentPersonal/SIF_ExtendedElements/SIF_ExtendedElement[@Name='UTExtensions']/
StudentPersonalExtensions/RaceObserved</t>
  </si>
  <si>
    <t>StudentPersonal/SIF_ExtendedElements/SIF_ExtendedElement[@Name='UTExtensions']/
StudentPersonalExtensions/ReadGradeLevel</t>
  </si>
  <si>
    <t>StudentPersonal/SIF_ExtendedElements/SIF_ExtendedElement[@Name='UTExtensions']/
StudentPersonalExtensions/ReadingIntervention</t>
  </si>
  <si>
    <t>StudentPersonal/SIF_ExtendedElements/SIF_ExtendedElement[@Name='UTExtensions']/
StudentPersonalExtensions/RefugeeStudent</t>
  </si>
  <si>
    <t>StudentPersonal/SIF_ExtendedElements/SIF_ExtendedElement[@Name='UTExtensions']/
StudentPersonalExtensions/ResidentStatus</t>
  </si>
  <si>
    <t>StudentPersonal/SIF_ExtendedElements/SIF_ExtendedElement[@Name='UTExtensions']/
StudentPersonalExtensions/SpecialEdExitDate</t>
  </si>
  <si>
    <t>StudentPersonal/SIF_ExtendedElements/SIF_ExtendedElement[@Name='UTExtensions']/
StudentPersonalExtensions/HighSchoolExitDate</t>
  </si>
  <si>
    <t>StudentPersonal/LocalId
where StudentPersonalRefId =
DisciplineIncident/SIF_ExtendedElements/SIF_ExtendedElement[@Name='UTExtensions']/
DisciplineIncidentExtensions/StudentParticipantList/StudentParticipant/StudentPersonalRefId</t>
  </si>
  <si>
    <t>StudentPersonal/SIF_ExtendedElements/SIF_ExtendedElement[@Name='UTExtensions']/
StudentPersonalExtensions/UpdatedStatus</t>
  </si>
  <si>
    <t>StudentSectionEnrollment/SIF_ExtendedElements/SIF_ExtendedElement[@Name='UTExtensions']/
StudentSectionEnrollmentExtensions/ConcurrEnrolled</t>
  </si>
  <si>
    <t>TermInfo/TermSpan
TermInfo/EndDate
*** ALTERNATIVE MAPPING ***
SchoolCourseInfo/SIF_ExtendedElements/SIF_ExtendedElement[@Name='UTExtensions']/SchoolCourseInfoExtensions/SemesterLength</t>
  </si>
  <si>
    <t>TermInfo/TermCode
*** ALTERNATIVE MAPPING ***
SchoolCourseInfo/SIF_ExtendedElements/SIF_ExtendedElement[@Name='UTExtensions']/SchoolCourseInfoExtensions/TermCode</t>
  </si>
  <si>
    <t>This USOE SIF Profile is based upon the SIF Specification 2.4 and IS NOT inclusive of all the data elements that are required according to this specification.  Other data elements that are required by the SIF Specification will also need to be provided with an appropriate mapping or default value.</t>
  </si>
  <si>
    <t>V2.2</t>
  </si>
  <si>
    <t>Jim</t>
  </si>
  <si>
    <t>Removed namespace reference 'ut:' from extended element xpaths.</t>
  </si>
  <si>
    <t>Namespace not supported yet, format incorrect for when it becomes so.</t>
  </si>
  <si>
    <t>UT.112, 
UT.115</t>
  </si>
  <si>
    <t>Copy-paste error.  Element mapping uses standard NCES codes.</t>
  </si>
  <si>
    <t>3068=GangRelated (NCES 1048)</t>
  </si>
  <si>
    <t>If value=3063, 3064, 3579, then 'Y'; if 3065 or null, then 'N' (NCES 1046)</t>
  </si>
  <si>
    <t>If value is 3086 or 3087 then 'E'; if 3099-3102 then 'S'; otherwise blank (NCES 1054)</t>
  </si>
  <si>
    <t>If value is 3099 or 3100 then 'Y', otherwise 'N' (NCES 1054)</t>
  </si>
  <si>
    <t>If value is 3158 then 'Y', otherwise 'N' (NCES 1054)</t>
  </si>
  <si>
    <t>If value is 3088 or 3089 then 'Y', otherwise 'N' (NCES 1054)</t>
  </si>
  <si>
    <t>If value = 3072-3075 (NCES 1054) or AlternativeEducation = 'Yes' then 'Y', otherwise 'N'</t>
  </si>
  <si>
    <t>Changed OtherCodeList/OtherCode  to Code.  Also added NCES code identifiers to Discipline mappings.</t>
  </si>
  <si>
    <t xml:space="preserve">SectionInfo/SIF_ExtendedElements/SIF_ExtendedElement[@Name='UTExtensions']/
SectionInfoExtensions/WhereTaughtDist
** ALTERNATIVE MAPPING **
SchoolCourseInfo/SIF_ExtendedElements/SIF_ExtendedElement[@Name='UTExtensions']/
SchoolCourseInfoExtensions/WhereTaughtDist
</t>
  </si>
  <si>
    <t>SectionInfo/SIF_ExtendedElements/SIF_ExtendedElement[@Name='UTExtensions']/
SectionInfoExtensions/WhereTaughtSchl
** ALTERNATIVE MAPPING **
SchoolCourseInfo/SIF_ExtendedElements/SIF_ExtendedElement[@Name='UTExtensions']/
SchoolCourseInfoExtensions/WhereTaughtSchl</t>
  </si>
  <si>
    <t>v2.3</t>
  </si>
  <si>
    <t>UT.079, UT080</t>
  </si>
  <si>
    <t>Changed CourseMembership ('AM') WhereTaughtDist and WhereTaughtSchl mapping from SchoolCourseInfo to SectionInfo extended elements.</t>
  </si>
  <si>
    <t>SectionInfo had been intended (see 4/27/2011 entries), SchoolCourseInfo entered inadvertantly.</t>
  </si>
  <si>
    <t>Left SchoolCourseInfo as alternative mapping.  Manifest modifed to use either, SectionInfo has priority.</t>
  </si>
  <si>
    <t>First record where sibling element /IncidentInvolvement/InvolvementType = 'Secondary1'</t>
  </si>
  <si>
    <t>Second record where sibling element /IncidentInvolvement/InvolvementType = 'Secondary2'</t>
  </si>
  <si>
    <t>Third record where sibling element /IncidentInvolvement/InvolvementType = 'Secondary3'</t>
  </si>
  <si>
    <t>Fourth record where sibling element /IncidentInvolvement/InvolvementType = 'Secondary4'</t>
  </si>
  <si>
    <t>UT.119 - UT.130</t>
  </si>
  <si>
    <t>Facilate populating Incident Association ('I2') table in Manifest.</t>
  </si>
  <si>
    <t>Changed DisciplineIncident secondary InvolvementType extended elements from all 'Secondary' to 'Secondary1', 'Secondary2', 'Secondary3', 'Secondary4'.</t>
  </si>
  <si>
    <t>UT.097, UT.190, UT.191</t>
  </si>
  <si>
    <t>Former alternative mapping was preferred method.</t>
  </si>
  <si>
    <t>Alternative mapping uses CalendarDate, also BellSchedule for UT.097.</t>
  </si>
  <si>
    <t>Made alternative mapping (using SIF_ExtendedElements) the primary one.</t>
  </si>
  <si>
    <t>StudentSchoolEnrollment/SIF_ExtendedElements/SIF_ExtendedElement[@Name='UTExtensions']/
StudentSchoolEnrollmentExtensions/NCLBSchoolChoice</t>
  </si>
  <si>
    <t>StudentParticipation/SIF_ExtendedElements/SIF_ExtendedElement[@Name='UTExtensions']/
StudentParticipationExtensions/CustodyType</t>
  </si>
  <si>
    <t>StudentParticipation/SIF_ExtendedElements/SIF_ExtendedElement[@Name='UTExtensions']/
StudentParticipationExtensions/TimeCode</t>
  </si>
  <si>
    <t>StudentSchoolEnrollment/SIF_ExtendedElements/SIF_ExtendedElement[@Name='UTExtensions']/
StudentSchoolEnrollmentExtensions/KindergartenType</t>
  </si>
  <si>
    <t>StudentSchoolEnrollment/SIF_ExtendedElements/SIF_ExtendedElement[@Name='UTExtensions']/
StudentSchoolEnrollmentExtensions/PartTimeHomeSchool</t>
  </si>
  <si>
    <t>Extended Elements</t>
  </si>
  <si>
    <t>Typo had been copied to several extended elements.</t>
  </si>
  <si>
    <t>Corrected typo: changed 'Extenstions' to 'Extensions'.</t>
  </si>
  <si>
    <t>UT.188, UT.189</t>
  </si>
  <si>
    <t>UT.190, UT.191</t>
  </si>
  <si>
    <t>Removed 'Actual' suffix from element names, added note that SIF value should be Equivalent Days, prorated for FTE.</t>
  </si>
  <si>
    <t>SIS2000 and PowerSchool both return Equivalent Day value through agent.  'Actual' suffix misleading.</t>
  </si>
  <si>
    <t>Data spec modified accordingly.</t>
  </si>
  <si>
    <t>SCRAM MEMBERSHIP</t>
  </si>
  <si>
    <t>YIC MEMBERSHIP</t>
  </si>
  <si>
    <t>DAYS ATTENDED</t>
  </si>
  <si>
    <t>SCHOOL MEMBERSHIP</t>
  </si>
  <si>
    <t>Regular student aggregated school membership, using 180-equivalent days.</t>
  </si>
  <si>
    <t>This represents the sum of days attended by the student in both regular (S1) and self-contained special education and youth-in-custody  (some S2 &amp; S3) settings and should be reported in 180 day equivalent days.</t>
  </si>
  <si>
    <t>SCRAM aggregated membership, equivalent days.</t>
  </si>
  <si>
    <t>Actual course membership, only required for CTE courses.</t>
  </si>
  <si>
    <t>YIC aggregated membership, equivalent days.</t>
  </si>
  <si>
    <t>Removed 'Actual' suffix from element names, added note that extended element value should be Equivalent Days, prorated for FTE.</t>
  </si>
  <si>
    <t>Data spec modified accordingly.
Also added note about FTE prorating and equivalent day conversion if value is calculated from entry/exit dates.</t>
  </si>
  <si>
    <t>Changed mapping to: If value is 3086 or 3101 then 'Y' otherwise 'N' (NECS 1054).
Was: If value is 3087 or 3102 then 'N' otherwise 'Y'.</t>
  </si>
  <si>
    <t>Prior mapping not consistent with SIS2000 flat-file output.</t>
  </si>
  <si>
    <t>Previous mapping had 'Y' unless services explicitly excluded.  New mapping has 'N' unless services explicitly included.</t>
  </si>
  <si>
    <t>If value is 3086 or 3101 then 'Y' otherwise 'N' (NECS 1054).</t>
  </si>
  <si>
    <t>v2.4</t>
  </si>
  <si>
    <t>Removed alternate mapping.  Agent must provide value in extended element (primary mapping).</t>
  </si>
  <si>
    <t>Existing agents use extended element, any future agent should use existing flat-file algorithm.</t>
  </si>
  <si>
    <t>StudentParticipation/SIF_ExtendedElements/SIF_ExtendedElement[@Name='UTExtensions']/
StudentParticipationExtensions/DaysInMembership</t>
  </si>
  <si>
    <t>StudentSectionEnrollment/SIF_ExtendedElements/SIF_ExtendedElement[@Name='UTExtensions']/
StudentSectionEnrollmentExtensions/CourseMembership</t>
  </si>
  <si>
    <t>Manifest will create a unique ID using these two fields,
or will use agent-provided combined value if alternative mapping used.</t>
  </si>
  <si>
    <t>Added alternative mappings where agent provides combined unique Id.</t>
  </si>
  <si>
    <t>Alternative mappings already in use by SIS2000 and PowerSchool.</t>
  </si>
  <si>
    <t>SchoolCourseInfo/CourseCode
AND
SectionInfo/CourseSectionCode
** ALTERNATE MAPPING **
Agent provides combined value in either:
SectionInfo/SectionCode 
or
SchoolCourseInfo/CourseCode (SectionInfo/CourseSectionCode must be blank).</t>
  </si>
  <si>
    <t>Also removed CalendarDate and BellSchedule from SIF Objects List</t>
  </si>
  <si>
    <t>N/A</t>
  </si>
  <si>
    <t>Flag that record should be excluded from State Reporting</t>
  </si>
  <si>
    <t>SchoolCourseInfo/SIF_ExtendedElements/SIF_ExtendedElement[@Name='UTExtensions']/
SchoolCourseInfoExtensions/ExcludeFromStateReporting
SectionInfo/SIF_ExtendedElements/SIF_ExtendedElement[@Name='UTExtensions']/
SectionInfoExtensions/ExcludeFromStateReporting</t>
  </si>
  <si>
    <t>Added ExcludeFromStateReporting extended element on SchoolCourseInfo and SectionInfo.</t>
  </si>
  <si>
    <t>Metadata to determine excluded records, not a reported element.</t>
  </si>
  <si>
    <t>All</t>
  </si>
  <si>
    <t>Sorted alphabetically by record type and record name.</t>
  </si>
  <si>
    <t>Had become disorganized.</t>
  </si>
  <si>
    <t>** METADATA **
EXCLUDE FROM STATE REPORTING</t>
  </si>
  <si>
    <t>Used only for records to be excluded.  Will also exclude associated AM records.
* PREFERRED METHOD *
Agent doesn't publish records flagged for exclusion from state reporting.</t>
  </si>
  <si>
    <t>AC records</t>
  </si>
  <si>
    <t>SC &amp; S1 records</t>
  </si>
  <si>
    <t>Manifest also excludes associated AM records.</t>
  </si>
  <si>
    <t>Manifest also excludes associated records.
SchoolInfo: SC, S1, AC, AM
StudentPersonal: S1, S2, S3, AM
StudentSchoolEnrollment:  AM</t>
  </si>
  <si>
    <t>SchoolInfo/SIF_ExtendedElements/SIF_ExtendedElement[@Name='UTExtensions']/
SchoolInfoExtensions/ExcludeFromStateReporting
StudentPersonal/SIF_ExtendedElements/SIF_ExtendedElement[@Name='UTExtensions']/
StudentPersonalExtensions/ExcludeFromStateReporting
StudentSchoolEnrollment/SIF_ExtendedElements/SIF_ExtendedElement[@Name='UTExtensions']/
StudentSchoolEnrollmentExtensions/ExcludeFromStateReporting</t>
  </si>
  <si>
    <t>Used only for records to be excluded.  Will also exclude associated records.
SchoolInfo: SC, S1, AC, AM
StudentPersonal: S1, S2, S3, AM
StudentSchoolEnrollment:  AM
* PREFERRED METHOD *
Agent doesn't publish records flagged for exclusion from state reporting.</t>
  </si>
  <si>
    <t>SchoolInfo/SIF_ExtendedElements/SIF_ExtendedElement[@Name='UTExtensions']/
SchoolInfoExtensions/ExcludeFromStateReporting</t>
  </si>
  <si>
    <t>Used only for records to be excluded.  Will also exclude associated S1, AC, and AM records.
* PREFERRED METHOD *
Agent doesn't publish records flagged for exclusion from state reporting.</t>
  </si>
  <si>
    <t>Update to match data spec and code, inadvertantly left in SIF profile.</t>
  </si>
  <si>
    <t>Had been proposed but removed during USOE Trascript discussions Jan 2011.</t>
  </si>
  <si>
    <t>ExtendedElement value is Equivalent Days, prorated for FTE.
If self-contained program membership days are included in School Membership, set VRF environment variable Vrf.Property.SubtractSIFProgramDays = true.</t>
  </si>
  <si>
    <t>VRF Environment Variable Notes</t>
  </si>
  <si>
    <t>See VRF Environment Variable Notes</t>
  </si>
  <si>
    <t>Vrf.Target.usesStaffPersonal</t>
  </si>
  <si>
    <t>Vrf.Target.usesStudentGrade</t>
  </si>
  <si>
    <t>Vrf.Property.SubtractSIFProgramDays</t>
  </si>
  <si>
    <t>Vrf.Target.usesSREGradeLevelSIFQuery</t>
  </si>
  <si>
    <t>Vrf.Target.skipsSREGradeLevelSIFQuery</t>
  </si>
  <si>
    <t xml:space="preserve">     Usage: set value 'true' for PowerSchool or any other SIS that uses StudentGrade for Course Membership credits earned and grade earned, rather than extended element</t>
  </si>
  <si>
    <t xml:space="preserve">     Usage: set value 'true' for PowerSchool or any other SIS that uses StaffPersonal for Course Master teacher IDs, rather than extended element</t>
  </si>
  <si>
    <t xml:space="preserve">     Purpose: indicates if manifest needs to subtract S2 and S3 self-contained program days from School Membership days</t>
  </si>
  <si>
    <t xml:space="preserve">     Default value: 'false' (SIS2000)</t>
  </si>
  <si>
    <t xml:space="preserve">     Usage: set value 'true' for PowerSchool or any other SIS that includes self-contained program days in the published School Membership value</t>
  </si>
  <si>
    <t xml:space="preserve">     Purpose: Used in tandem to indicate if collection SIF_Query should use or skip grade level constraints on SRE (transcript) objects</t>
  </si>
  <si>
    <t xml:space="preserve">     Default values: uses = false, skips = 'true' (SIS2000)</t>
  </si>
  <si>
    <t xml:space="preserve">     Notes</t>
  </si>
  <si>
    <t xml:space="preserve">          Default settings should work for any SIS, but may be slower where SIS agent supports SIF_Query grade level constraint (e.g. PowerSchool)</t>
  </si>
  <si>
    <t xml:space="preserve">          If either default value is overridden, both must be – one must always be false and the other must be true</t>
  </si>
  <si>
    <t xml:space="preserve">          StudentDemographicRecord must also support constraining record selection by grade level (in StudentAcademicRecord)</t>
  </si>
  <si>
    <t>SIF Objects List</t>
  </si>
  <si>
    <t>Removed element (Transcript Decimal Grade).</t>
  </si>
  <si>
    <t>Added ExcludeFromStateReporting extended element on SchoolInfo, StudentPersonal, and StudentSchoolEnrollment.</t>
  </si>
  <si>
    <t>Previously not in document.</t>
  </si>
  <si>
    <t>Added three new environment variables in manifest.</t>
  </si>
  <si>
    <t xml:space="preserve">          In the future, if only the 'uses' variable becomes necessary, the 'skips' variable (though no longer necessary) will not require deletion</t>
  </si>
  <si>
    <t>SectionInfo/ScheduleInfoList/ScheduleInfo/TeacherList[1][@StaffPersonalRefId]
If StaffPersonal used, set VRF environment variableVrf.Target.usesStaffPersonal = true.</t>
  </si>
  <si>
    <t>SectionInfo/ScheduleInfoList/ScheduleInfo/TeacherList/@StaffPersonalRefId
If StaffPersonal used, set VRF environment variable Vrf.Target.usesStaffPersonal = true.</t>
  </si>
  <si>
    <t>If StudentGrade used, set VRF Environment Variable Vrf.Target.usesStudentGrade = 'true'</t>
  </si>
  <si>
    <t>If SIF agent supports SIF_Query grade level constraint on SRE objects, set VRF Environment Variables Vrf.Target.usesSREGradeLevelSIFQuery = 'true' and Vrf.Target.skipsSREGradeLevelSIFQuery = 'false'.</t>
  </si>
  <si>
    <t>ST, TA, TC, TG</t>
  </si>
  <si>
    <t>*** METADATA NOTE ***</t>
  </si>
  <si>
    <t>Added section on VRF Environment Variable usage to SIF Objects tab and corresponding notes in Profile.</t>
  </si>
  <si>
    <t xml:space="preserve">     Object: StaffPersonal</t>
  </si>
  <si>
    <t xml:space="preserve">     Object: StudentGrade</t>
  </si>
  <si>
    <t xml:space="preserve">     Purpose: indicates if StaffPersonal required - i.e. if manifest uses StaffPersonal for Course Master teacher IDs</t>
  </si>
  <si>
    <t xml:space="preserve">     Purpose: indicates if StudentGrade required - i.e. if manifest uses StudentGrade for Course Membership credits earned and grade earned</t>
  </si>
  <si>
    <t xml:space="preserve">     Object: StudentAcademicRecord, StudentDemographicRecord</t>
  </si>
  <si>
    <t>Vrf.Property.ProrateMembershipDays</t>
  </si>
  <si>
    <t xml:space="preserve">     Object: StudentAttendanceSummary (manifest SQL flag, does not affect SIF collection)</t>
  </si>
  <si>
    <t xml:space="preserve">     Object: StudentParticipation (manifest SQL flag, does not affect SIF collection)</t>
  </si>
  <si>
    <t xml:space="preserve">     Purpose: indicates if manifest needs to prorate StudentAttendanceSummary data between multiple enrollments at same school</t>
  </si>
  <si>
    <t xml:space="preserve">     Default value: 'false' (PowerSchool)</t>
  </si>
  <si>
    <t xml:space="preserve">     Usage: set value 'true' for SIS2000 or any other SIS that does not create a separate StudentAttendanceSummary record for each StudentSchoolEnrollment record</t>
  </si>
  <si>
    <t>StudentAttendanceSummary/DaysInMembership
If StudentAttendanceSummary record is associated with a specific StudentSchoolEnrollment, then StudentAttendanceSummary/StudentSchoolEnrollmentRefId must be populated.</t>
  </si>
  <si>
    <t>Value is Equivalent Days prorated for FTE.
See VRF Environment Variable Notes on SIF Objects List tab: Vrf.Property.ProrateMembershipDays, Vrf.Property.SubtractSIFProgramDays.</t>
  </si>
  <si>
    <t>StudentAttendanceSummary/DaysAttended
If StudentAttendanceSummary record is associated with a specific StudentSchoolEnrollment, then StudentAttendanceSummary/StudentSchoolEnrollmentRefId must be populated.</t>
  </si>
  <si>
    <t>Value is Equivalent Days prorated for FTE.
See VRF Environment Variable Notes on SIF Objects List tab: Vrf.Property.ProrateMembershipDays</t>
  </si>
  <si>
    <t xml:space="preserve">          Notes: Should be set true for any SIS agent that does not populate StudentAttendanceSummary/StudentSchoolEnrollmentRefId</t>
  </si>
  <si>
    <t xml:space="preserve">     Usage: set Vrf.Target.usesSREGradeLevelSIFQuery = ‘true’ and Vrf.Target.skipsSREGradeLevelSIFQuery = ‘false’ for PowerSchool or any other SIS that supports SIF_Query</t>
  </si>
  <si>
    <t xml:space="preserve">          for constraining grade level in SRE requests </t>
  </si>
  <si>
    <t>See VRF Environment Variable Notes: Vrf.Property.ProrateMembershipDays</t>
  </si>
  <si>
    <t>See VRF Environment Variable Notes: Vrf.Property.SubtractSIFProgramDays</t>
  </si>
  <si>
    <t>Not needed if alternative mapping used (UT.096, UT.099)
See VRF Environment Variable Notes: Vrf.Target.usesStudentGrade</t>
  </si>
  <si>
    <t>Not needed if alternative mapping used (UT.081, UT.086, UT.087)
See VRF Environment Variable Notes: Vrf.Target.usesStaffPersonal</t>
  </si>
  <si>
    <t>Changed page orientation to landscape.</t>
  </si>
  <si>
    <t>Added Vrf.Property.ProrateMembershipDays to VRF Environment Variable Notes and corresponding elements in Profile.</t>
  </si>
  <si>
    <t>New environment variable, required for SIS2000.</t>
  </si>
</sst>
</file>

<file path=xl/styles.xml><?xml version="1.0" encoding="utf-8"?>
<styleSheet xmlns="http://schemas.openxmlformats.org/spreadsheetml/2006/main">
  <fonts count="14">
    <font>
      <sz val="11"/>
      <color theme="1"/>
      <name val="Calibri"/>
      <family val="2"/>
      <scheme val="minor"/>
    </font>
    <font>
      <sz val="10"/>
      <name val="Arial"/>
      <family val="2"/>
    </font>
    <font>
      <sz val="9"/>
      <name val="Arial"/>
      <family val="2"/>
    </font>
    <font>
      <sz val="9"/>
      <color theme="1"/>
      <name val="Arial"/>
      <family val="2"/>
    </font>
    <font>
      <b/>
      <sz val="11"/>
      <name val="Arial"/>
      <family val="2"/>
    </font>
    <font>
      <sz val="11"/>
      <color theme="1"/>
      <name val="Arial"/>
      <family val="2"/>
    </font>
    <font>
      <b/>
      <sz val="9"/>
      <color theme="1"/>
      <name val="Verdana"/>
      <family val="2"/>
    </font>
    <font>
      <sz val="9"/>
      <color theme="1"/>
      <name val="Verdana"/>
      <family val="2"/>
    </font>
    <font>
      <sz val="9"/>
      <name val="Verdana"/>
      <family val="2"/>
    </font>
    <font>
      <sz val="10"/>
      <name val="Verdana"/>
      <family val="2"/>
    </font>
    <font>
      <sz val="9"/>
      <color indexed="8"/>
      <name val="Verdana"/>
      <family val="2"/>
    </font>
    <font>
      <sz val="9"/>
      <color rgb="FFFF0000"/>
      <name val="Verdana"/>
      <family val="2"/>
    </font>
    <font>
      <b/>
      <sz val="10"/>
      <color theme="1"/>
      <name val="Verdana"/>
      <family val="2"/>
    </font>
    <font>
      <b/>
      <sz val="12"/>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diagonal/>
    </border>
    <border>
      <left style="thin">
        <color indexed="55"/>
      </left>
      <right style="thin">
        <color indexed="55"/>
      </right>
      <top style="thin">
        <color indexed="64"/>
      </top>
      <bottom/>
      <diagonal/>
    </border>
    <border>
      <left style="thin">
        <color indexed="55"/>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s>
  <cellStyleXfs count="4">
    <xf numFmtId="0" fontId="0" fillId="0" borderId="0"/>
    <xf numFmtId="0" fontId="1" fillId="0" borderId="0"/>
    <xf numFmtId="0" fontId="1" fillId="0" borderId="0"/>
    <xf numFmtId="0" fontId="1" fillId="0" borderId="0"/>
  </cellStyleXfs>
  <cellXfs count="72">
    <xf numFmtId="0" fontId="0" fillId="0" borderId="0" xfId="0"/>
    <xf numFmtId="0" fontId="2" fillId="0" borderId="0" xfId="0" applyFont="1" applyFill="1" applyAlignment="1">
      <alignment wrapText="1"/>
    </xf>
    <xf numFmtId="14" fontId="3" fillId="0" borderId="0" xfId="0" applyNumberFormat="1" applyFont="1" applyBorder="1" applyAlignment="1">
      <alignment horizontal="center" wrapText="1"/>
    </xf>
    <xf numFmtId="0" fontId="3" fillId="0" borderId="0" xfId="0" applyNumberFormat="1" applyFont="1" applyBorder="1" applyAlignment="1">
      <alignment horizontal="center" wrapText="1"/>
    </xf>
    <xf numFmtId="0" fontId="3" fillId="0" borderId="0" xfId="0" applyFont="1" applyBorder="1" applyAlignment="1">
      <alignment horizontal="center" wrapText="1"/>
    </xf>
    <xf numFmtId="0" fontId="3" fillId="0" borderId="0" xfId="0" applyNumberFormat="1" applyFont="1" applyBorder="1" applyAlignment="1">
      <alignment wrapText="1"/>
    </xf>
    <xf numFmtId="0" fontId="3" fillId="0" borderId="0" xfId="0" applyFont="1"/>
    <xf numFmtId="0" fontId="3" fillId="0" borderId="0" xfId="0" applyFont="1" applyFill="1" applyBorder="1" applyAlignment="1">
      <alignment horizontal="center" wrapText="1"/>
    </xf>
    <xf numFmtId="0" fontId="3" fillId="0" borderId="0" xfId="0" applyNumberFormat="1" applyFont="1" applyFill="1" applyBorder="1" applyAlignment="1">
      <alignment wrapText="1"/>
    </xf>
    <xf numFmtId="0" fontId="3" fillId="0" borderId="0" xfId="0" applyNumberFormat="1" applyFont="1"/>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5" fillId="0" borderId="0" xfId="0" applyFont="1" applyBorder="1"/>
    <xf numFmtId="0" fontId="3" fillId="0" borderId="0" xfId="0" applyFont="1" applyAlignment="1">
      <alignment horizontal="center"/>
    </xf>
    <xf numFmtId="0" fontId="3" fillId="0" borderId="0" xfId="0" applyFont="1" applyAlignment="1">
      <alignment wrapText="1"/>
    </xf>
    <xf numFmtId="14" fontId="3" fillId="0" borderId="0" xfId="0" applyNumberFormat="1" applyFont="1" applyBorder="1" applyAlignment="1">
      <alignment horizontal="left" wrapText="1"/>
    </xf>
    <xf numFmtId="0" fontId="6" fillId="0" borderId="0" xfId="0" applyFont="1" applyFill="1" applyAlignment="1">
      <alignment wrapText="1"/>
    </xf>
    <xf numFmtId="0" fontId="7" fillId="0" borderId="0" xfId="0" applyFont="1" applyFill="1" applyAlignment="1">
      <alignment wrapText="1"/>
    </xf>
    <xf numFmtId="0" fontId="7" fillId="0" borderId="0" xfId="0" applyFont="1" applyFill="1"/>
    <xf numFmtId="0" fontId="7" fillId="0" borderId="0" xfId="0" applyFont="1" applyFill="1" applyAlignment="1">
      <alignment horizontal="center"/>
    </xf>
    <xf numFmtId="0" fontId="8" fillId="0" borderId="0" xfId="0" applyFont="1" applyFill="1"/>
    <xf numFmtId="0" fontId="8" fillId="0" borderId="0" xfId="0" applyFont="1" applyFill="1" applyAlignment="1">
      <alignment wrapText="1"/>
    </xf>
    <xf numFmtId="0" fontId="8" fillId="0" borderId="0" xfId="0" applyFont="1" applyFill="1" applyBorder="1"/>
    <xf numFmtId="0" fontId="8" fillId="0" borderId="0" xfId="0" applyFont="1" applyFill="1" applyBorder="1" applyAlignment="1">
      <alignment wrapText="1"/>
    </xf>
    <xf numFmtId="0" fontId="9" fillId="0" borderId="0" xfId="0" applyFont="1" applyFill="1" applyAlignment="1">
      <alignment wrapText="1"/>
    </xf>
    <xf numFmtId="0" fontId="8" fillId="0" borderId="0" xfId="2" applyFont="1" applyFill="1" applyBorder="1" applyAlignment="1">
      <alignment wrapText="1"/>
    </xf>
    <xf numFmtId="0" fontId="7" fillId="0" borderId="13" xfId="0" applyFont="1" applyFill="1" applyBorder="1" applyAlignment="1">
      <alignment wrapText="1"/>
    </xf>
    <xf numFmtId="0" fontId="8" fillId="0" borderId="0" xfId="0" quotePrefix="1" applyFont="1" applyFill="1" applyAlignment="1">
      <alignment wrapText="1"/>
    </xf>
    <xf numFmtId="0" fontId="7" fillId="0" borderId="0" xfId="0" applyFont="1" applyFill="1" applyAlignment="1"/>
    <xf numFmtId="0" fontId="8" fillId="0" borderId="0" xfId="0" applyFont="1" applyFill="1" applyAlignment="1"/>
    <xf numFmtId="0" fontId="7" fillId="0" borderId="0" xfId="0" applyFont="1" applyFill="1" applyBorder="1" applyAlignment="1">
      <alignment wrapText="1"/>
    </xf>
    <xf numFmtId="0" fontId="7" fillId="0" borderId="0" xfId="0" applyFont="1" applyFill="1" applyBorder="1"/>
    <xf numFmtId="0" fontId="7" fillId="0" borderId="0" xfId="0" applyFont="1" applyFill="1" applyBorder="1" applyAlignment="1">
      <alignment horizontal="center"/>
    </xf>
    <xf numFmtId="0" fontId="10" fillId="0" borderId="0" xfId="0" applyFont="1" applyFill="1" applyAlignment="1">
      <alignment wrapText="1"/>
    </xf>
    <xf numFmtId="0" fontId="7" fillId="0" borderId="0" xfId="0" applyNumberFormat="1" applyFont="1" applyBorder="1" applyAlignment="1">
      <alignment wrapText="1"/>
    </xf>
    <xf numFmtId="0" fontId="8" fillId="0" borderId="0" xfId="0" applyFont="1" applyAlignment="1">
      <alignment wrapText="1"/>
    </xf>
    <xf numFmtId="0" fontId="11" fillId="0" borderId="0" xfId="0" applyFont="1" applyFill="1" applyAlignment="1">
      <alignment wrapText="1"/>
    </xf>
    <xf numFmtId="0" fontId="7" fillId="0" borderId="0" xfId="0" applyFont="1" applyFill="1" applyAlignment="1">
      <alignment horizontal="center" wrapText="1"/>
    </xf>
    <xf numFmtId="0" fontId="8" fillId="0" borderId="1" xfId="0" applyFont="1" applyFill="1" applyBorder="1" applyAlignment="1">
      <alignment wrapText="1"/>
    </xf>
    <xf numFmtId="0" fontId="6" fillId="0" borderId="3" xfId="0" applyFont="1" applyFill="1" applyBorder="1"/>
    <xf numFmtId="0" fontId="7" fillId="0" borderId="4" xfId="0" applyFont="1" applyFill="1" applyBorder="1" applyAlignment="1">
      <alignment horizontal="center"/>
    </xf>
    <xf numFmtId="0" fontId="7" fillId="0" borderId="5" xfId="0" applyFont="1" applyFill="1" applyBorder="1"/>
    <xf numFmtId="0" fontId="7" fillId="0" borderId="6" xfId="0" applyFont="1" applyFill="1" applyBorder="1"/>
    <xf numFmtId="0" fontId="7" fillId="0" borderId="7" xfId="0" applyFont="1" applyFill="1" applyBorder="1"/>
    <xf numFmtId="0" fontId="7" fillId="0" borderId="0" xfId="0" applyFont="1" applyFill="1" applyBorder="1" applyAlignment="1">
      <alignment horizontal="left"/>
    </xf>
    <xf numFmtId="0" fontId="7" fillId="0" borderId="7" xfId="0" applyFont="1" applyFill="1" applyBorder="1" applyAlignment="1">
      <alignment horizontal="center"/>
    </xf>
    <xf numFmtId="0" fontId="7" fillId="0" borderId="8" xfId="0" applyFont="1" applyFill="1" applyBorder="1"/>
    <xf numFmtId="0" fontId="7" fillId="0" borderId="2" xfId="0" applyFont="1" applyFill="1" applyBorder="1" applyAlignment="1">
      <alignment horizontal="left"/>
    </xf>
    <xf numFmtId="0" fontId="7" fillId="0" borderId="9" xfId="0" applyFont="1" applyFill="1" applyBorder="1" applyAlignment="1">
      <alignment horizontal="center"/>
    </xf>
    <xf numFmtId="0" fontId="12" fillId="2" borderId="2" xfId="0" applyFont="1" applyFill="1" applyBorder="1" applyAlignment="1">
      <alignment wrapText="1"/>
    </xf>
    <xf numFmtId="0" fontId="12" fillId="2" borderId="2" xfId="0" applyFont="1" applyFill="1" applyBorder="1" applyAlignment="1">
      <alignment horizontal="center" wrapText="1"/>
    </xf>
    <xf numFmtId="0" fontId="12" fillId="2" borderId="2" xfId="0" applyFont="1" applyFill="1" applyBorder="1"/>
    <xf numFmtId="0" fontId="9" fillId="0" borderId="0" xfId="0" applyFont="1" applyAlignment="1">
      <alignment wrapText="1"/>
    </xf>
    <xf numFmtId="0" fontId="13" fillId="0" borderId="14" xfId="0" applyFont="1" applyBorder="1"/>
    <xf numFmtId="0" fontId="13" fillId="0" borderId="14" xfId="0" applyFont="1" applyBorder="1" applyAlignment="1">
      <alignment horizontal="center" textRotation="255"/>
    </xf>
    <xf numFmtId="0" fontId="0" fillId="4" borderId="14" xfId="0" applyFill="1" applyBorder="1" applyAlignment="1">
      <alignment textRotation="255"/>
    </xf>
    <xf numFmtId="0" fontId="0" fillId="0" borderId="0" xfId="0" applyAlignment="1">
      <alignment horizontal="center"/>
    </xf>
    <xf numFmtId="0" fontId="0" fillId="4" borderId="0" xfId="0" applyFill="1"/>
    <xf numFmtId="14" fontId="3" fillId="0" borderId="0" xfId="0" applyNumberFormat="1" applyFont="1" applyAlignment="1">
      <alignment horizontal="center"/>
    </xf>
    <xf numFmtId="0" fontId="3" fillId="0" borderId="0" xfId="0" applyFont="1" applyAlignment="1">
      <alignment horizontal="center" wrapText="1"/>
    </xf>
    <xf numFmtId="0" fontId="7" fillId="0" borderId="0" xfId="0" applyFont="1" applyFill="1" applyAlignment="1">
      <alignment wrapText="1"/>
    </xf>
    <xf numFmtId="0" fontId="7" fillId="0" borderId="0" xfId="0" applyFont="1" applyFill="1" applyAlignment="1">
      <alignment wrapText="1"/>
    </xf>
    <xf numFmtId="0" fontId="8" fillId="0" borderId="13" xfId="0" applyFont="1" applyFill="1" applyBorder="1" applyAlignment="1">
      <alignment wrapText="1"/>
    </xf>
    <xf numFmtId="0" fontId="7" fillId="0" borderId="0" xfId="0" applyFont="1" applyFill="1" applyAlignment="1">
      <alignment wrapText="1"/>
    </xf>
    <xf numFmtId="0" fontId="7" fillId="0" borderId="0" xfId="0" applyFont="1" applyFill="1" applyAlignment="1">
      <alignment wrapText="1"/>
    </xf>
    <xf numFmtId="0" fontId="13" fillId="0" borderId="0" xfId="0" applyFont="1"/>
    <xf numFmtId="0" fontId="7" fillId="0" borderId="0" xfId="0" applyFont="1" applyFill="1" applyAlignment="1">
      <alignment wrapText="1"/>
    </xf>
    <xf numFmtId="0" fontId="0" fillId="0" borderId="0" xfId="0" applyAlignment="1"/>
    <xf numFmtId="0" fontId="7" fillId="0" borderId="0" xfId="0" quotePrefix="1" applyFont="1" applyFill="1" applyBorder="1" applyAlignment="1">
      <alignment wrapText="1"/>
    </xf>
    <xf numFmtId="0" fontId="7" fillId="0" borderId="0" xfId="0" applyFont="1" applyFill="1" applyAlignment="1">
      <alignment wrapText="1"/>
    </xf>
    <xf numFmtId="0" fontId="0" fillId="0" borderId="0" xfId="0" applyAlignment="1">
      <alignment wrapText="1"/>
    </xf>
  </cellXfs>
  <cellStyles count="4">
    <cellStyle name="Normal" xfId="0" builtinId="0"/>
    <cellStyle name="Normal 2" xfId="1"/>
    <cellStyle name="Normal 2 2" xfId="2"/>
    <cellStyle name="Normal 3"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G81"/>
  <sheetViews>
    <sheetView tabSelected="1" workbookViewId="0">
      <pane xSplit="3" ySplit="1" topLeftCell="D70" activePane="bottomRight" state="frozen"/>
      <selection pane="topRight" activeCell="D1" sqref="D1"/>
      <selection pane="bottomLeft" activeCell="A2" sqref="A2"/>
      <selection pane="bottomRight" activeCell="A77" sqref="A77"/>
    </sheetView>
  </sheetViews>
  <sheetFormatPr defaultRowHeight="12"/>
  <cols>
    <col min="1" max="2" width="10.28515625" style="6" customWidth="1"/>
    <col min="3" max="3" width="13.42578125" style="6" customWidth="1"/>
    <col min="4" max="4" width="10.85546875" style="6" customWidth="1"/>
    <col min="5" max="5" width="36" style="6" customWidth="1"/>
    <col min="6" max="6" width="33.7109375" style="6" customWidth="1"/>
    <col min="7" max="7" width="35.140625" style="6" customWidth="1"/>
    <col min="8" max="16384" width="9.140625" style="6"/>
  </cols>
  <sheetData>
    <row r="1" spans="1:7" s="13" customFormat="1" ht="18" customHeight="1">
      <c r="A1" s="10" t="s">
        <v>700</v>
      </c>
      <c r="B1" s="11" t="s">
        <v>701</v>
      </c>
      <c r="C1" s="11" t="s">
        <v>702</v>
      </c>
      <c r="D1" s="11" t="s">
        <v>708</v>
      </c>
      <c r="E1" s="11" t="s">
        <v>703</v>
      </c>
      <c r="F1" s="11" t="s">
        <v>704</v>
      </c>
      <c r="G1" s="12" t="s">
        <v>705</v>
      </c>
    </row>
    <row r="2" spans="1:7" ht="72">
      <c r="A2" s="2">
        <v>40641</v>
      </c>
      <c r="B2" s="3" t="s">
        <v>779</v>
      </c>
      <c r="C2" s="4" t="s">
        <v>706</v>
      </c>
      <c r="D2" s="4" t="s">
        <v>821</v>
      </c>
      <c r="E2" s="5" t="s">
        <v>872</v>
      </c>
      <c r="F2" s="5" t="s">
        <v>822</v>
      </c>
      <c r="G2" s="5"/>
    </row>
    <row r="3" spans="1:7">
      <c r="A3" s="2">
        <v>40641</v>
      </c>
      <c r="B3" s="3" t="s">
        <v>779</v>
      </c>
      <c r="C3" s="4" t="s">
        <v>706</v>
      </c>
      <c r="D3" s="4" t="s">
        <v>354</v>
      </c>
      <c r="E3" s="5" t="s">
        <v>709</v>
      </c>
      <c r="F3" s="5" t="s">
        <v>710</v>
      </c>
      <c r="G3" s="5"/>
    </row>
    <row r="4" spans="1:7" ht="36">
      <c r="A4" s="2">
        <v>40641</v>
      </c>
      <c r="B4" s="3" t="s">
        <v>779</v>
      </c>
      <c r="C4" s="4" t="s">
        <v>706</v>
      </c>
      <c r="D4" s="4" t="s">
        <v>372</v>
      </c>
      <c r="E4" s="5" t="s">
        <v>711</v>
      </c>
      <c r="F4" s="5" t="s">
        <v>712</v>
      </c>
      <c r="G4" s="5"/>
    </row>
    <row r="5" spans="1:7" ht="24">
      <c r="A5" s="2">
        <v>40641</v>
      </c>
      <c r="B5" s="3" t="s">
        <v>779</v>
      </c>
      <c r="C5" s="4" t="s">
        <v>706</v>
      </c>
      <c r="D5" s="4" t="s">
        <v>380</v>
      </c>
      <c r="E5" s="5" t="s">
        <v>714</v>
      </c>
      <c r="F5" s="5" t="s">
        <v>715</v>
      </c>
      <c r="G5" s="5"/>
    </row>
    <row r="6" spans="1:7" ht="60">
      <c r="A6" s="2">
        <v>40641</v>
      </c>
      <c r="B6" s="3" t="s">
        <v>779</v>
      </c>
      <c r="C6" s="4" t="s">
        <v>706</v>
      </c>
      <c r="D6" s="4" t="s">
        <v>388</v>
      </c>
      <c r="E6" s="1" t="s">
        <v>717</v>
      </c>
      <c r="F6" s="5" t="s">
        <v>718</v>
      </c>
      <c r="G6" s="5"/>
    </row>
    <row r="7" spans="1:7" ht="60">
      <c r="A7" s="2">
        <v>40641</v>
      </c>
      <c r="B7" s="3" t="s">
        <v>779</v>
      </c>
      <c r="C7" s="4" t="s">
        <v>706</v>
      </c>
      <c r="D7" s="4" t="s">
        <v>391</v>
      </c>
      <c r="E7" s="1" t="s">
        <v>717</v>
      </c>
      <c r="F7" s="5" t="s">
        <v>718</v>
      </c>
      <c r="G7" s="5"/>
    </row>
    <row r="8" spans="1:7" ht="24">
      <c r="A8" s="2">
        <v>40641</v>
      </c>
      <c r="B8" s="3" t="s">
        <v>779</v>
      </c>
      <c r="C8" s="4" t="s">
        <v>706</v>
      </c>
      <c r="D8" s="4" t="s">
        <v>395</v>
      </c>
      <c r="E8" s="5" t="s">
        <v>720</v>
      </c>
      <c r="F8" s="5" t="s">
        <v>719</v>
      </c>
      <c r="G8" s="5"/>
    </row>
    <row r="9" spans="1:7" ht="48">
      <c r="A9" s="2">
        <v>40641</v>
      </c>
      <c r="B9" s="3" t="s">
        <v>779</v>
      </c>
      <c r="C9" s="4" t="s">
        <v>706</v>
      </c>
      <c r="D9" s="4" t="s">
        <v>402</v>
      </c>
      <c r="E9" s="5" t="s">
        <v>725</v>
      </c>
      <c r="F9" s="5" t="s">
        <v>718</v>
      </c>
      <c r="G9" s="5"/>
    </row>
    <row r="10" spans="1:7">
      <c r="A10" s="2">
        <v>40641</v>
      </c>
      <c r="B10" s="3" t="s">
        <v>779</v>
      </c>
      <c r="C10" s="4" t="s">
        <v>706</v>
      </c>
      <c r="D10" s="4" t="s">
        <v>408</v>
      </c>
      <c r="E10" s="5" t="s">
        <v>709</v>
      </c>
      <c r="F10" s="5" t="s">
        <v>724</v>
      </c>
      <c r="G10" s="5"/>
    </row>
    <row r="11" spans="1:7" ht="60">
      <c r="A11" s="2">
        <v>40641</v>
      </c>
      <c r="B11" s="3" t="s">
        <v>779</v>
      </c>
      <c r="C11" s="4" t="s">
        <v>706</v>
      </c>
      <c r="D11" s="4" t="s">
        <v>409</v>
      </c>
      <c r="E11" s="5" t="s">
        <v>815</v>
      </c>
      <c r="F11" s="5" t="s">
        <v>718</v>
      </c>
      <c r="G11" s="5"/>
    </row>
    <row r="12" spans="1:7" ht="48">
      <c r="A12" s="2">
        <v>40641</v>
      </c>
      <c r="B12" s="3" t="s">
        <v>779</v>
      </c>
      <c r="C12" s="4" t="s">
        <v>706</v>
      </c>
      <c r="D12" s="4" t="s">
        <v>410</v>
      </c>
      <c r="E12" s="5" t="s">
        <v>727</v>
      </c>
      <c r="F12" s="5" t="s">
        <v>777</v>
      </c>
      <c r="G12" s="5"/>
    </row>
    <row r="13" spans="1:7" ht="36">
      <c r="A13" s="2">
        <v>40641</v>
      </c>
      <c r="B13" s="3" t="s">
        <v>779</v>
      </c>
      <c r="C13" s="4" t="s">
        <v>706</v>
      </c>
      <c r="D13" s="4" t="s">
        <v>415</v>
      </c>
      <c r="E13" s="5" t="s">
        <v>746</v>
      </c>
      <c r="F13" s="16" t="s">
        <v>747</v>
      </c>
      <c r="G13" s="5"/>
    </row>
    <row r="14" spans="1:7" ht="60.75" customHeight="1">
      <c r="A14" s="2">
        <v>40641</v>
      </c>
      <c r="B14" s="3" t="s">
        <v>779</v>
      </c>
      <c r="C14" s="4" t="s">
        <v>706</v>
      </c>
      <c r="D14" s="4" t="s">
        <v>418</v>
      </c>
      <c r="E14" s="5" t="s">
        <v>823</v>
      </c>
      <c r="F14" s="16" t="s">
        <v>747</v>
      </c>
      <c r="G14" s="5"/>
    </row>
    <row r="15" spans="1:7" ht="48">
      <c r="A15" s="2">
        <v>40641</v>
      </c>
      <c r="B15" s="3" t="s">
        <v>779</v>
      </c>
      <c r="C15" s="4" t="s">
        <v>706</v>
      </c>
      <c r="D15" s="4" t="s">
        <v>420</v>
      </c>
      <c r="E15" s="5" t="s">
        <v>728</v>
      </c>
      <c r="F15" s="5" t="s">
        <v>729</v>
      </c>
      <c r="G15" s="5"/>
    </row>
    <row r="16" spans="1:7" ht="24">
      <c r="A16" s="2">
        <v>40641</v>
      </c>
      <c r="B16" s="3" t="s">
        <v>779</v>
      </c>
      <c r="C16" s="4" t="s">
        <v>706</v>
      </c>
      <c r="D16" s="4" t="s">
        <v>424</v>
      </c>
      <c r="E16" s="5" t="s">
        <v>809</v>
      </c>
      <c r="F16" s="5" t="s">
        <v>718</v>
      </c>
      <c r="G16" s="5"/>
    </row>
    <row r="17" spans="1:7" ht="60">
      <c r="A17" s="2">
        <v>40641</v>
      </c>
      <c r="B17" s="3" t="s">
        <v>779</v>
      </c>
      <c r="C17" s="4" t="s">
        <v>706</v>
      </c>
      <c r="D17" s="4" t="s">
        <v>430</v>
      </c>
      <c r="E17" s="5" t="s">
        <v>730</v>
      </c>
      <c r="F17" s="5" t="s">
        <v>731</v>
      </c>
      <c r="G17" s="5"/>
    </row>
    <row r="18" spans="1:7" ht="60">
      <c r="A18" s="2">
        <v>40641</v>
      </c>
      <c r="B18" s="3" t="s">
        <v>779</v>
      </c>
      <c r="C18" s="4" t="s">
        <v>706</v>
      </c>
      <c r="D18" s="4" t="s">
        <v>431</v>
      </c>
      <c r="E18" s="5" t="s">
        <v>810</v>
      </c>
      <c r="F18" s="5" t="s">
        <v>812</v>
      </c>
      <c r="G18" s="5"/>
    </row>
    <row r="19" spans="1:7" ht="36">
      <c r="A19" s="2">
        <v>40641</v>
      </c>
      <c r="B19" s="3" t="s">
        <v>779</v>
      </c>
      <c r="C19" s="4" t="s">
        <v>706</v>
      </c>
      <c r="D19" s="4" t="s">
        <v>433</v>
      </c>
      <c r="E19" s="5" t="s">
        <v>811</v>
      </c>
      <c r="F19" s="5" t="s">
        <v>729</v>
      </c>
      <c r="G19" s="5"/>
    </row>
    <row r="20" spans="1:7" ht="60">
      <c r="A20" s="2">
        <v>40641</v>
      </c>
      <c r="B20" s="3" t="s">
        <v>779</v>
      </c>
      <c r="C20" s="4" t="s">
        <v>706</v>
      </c>
      <c r="D20" s="4" t="s">
        <v>434</v>
      </c>
      <c r="E20" s="5" t="s">
        <v>813</v>
      </c>
      <c r="F20" s="5" t="s">
        <v>812</v>
      </c>
      <c r="G20" s="5"/>
    </row>
    <row r="21" spans="1:7" ht="36">
      <c r="A21" s="2">
        <v>40641</v>
      </c>
      <c r="B21" s="3" t="s">
        <v>779</v>
      </c>
      <c r="C21" s="4" t="s">
        <v>706</v>
      </c>
      <c r="D21" s="7" t="s">
        <v>457</v>
      </c>
      <c r="E21" s="8" t="s">
        <v>709</v>
      </c>
      <c r="F21" s="5" t="s">
        <v>736</v>
      </c>
    </row>
    <row r="22" spans="1:7" ht="24">
      <c r="A22" s="2">
        <v>40641</v>
      </c>
      <c r="B22" s="3" t="s">
        <v>779</v>
      </c>
      <c r="C22" s="4" t="s">
        <v>706</v>
      </c>
      <c r="D22" s="7" t="s">
        <v>460</v>
      </c>
      <c r="E22" s="8" t="s">
        <v>732</v>
      </c>
      <c r="F22" s="8" t="s">
        <v>721</v>
      </c>
      <c r="G22" s="8"/>
    </row>
    <row r="23" spans="1:7" ht="24">
      <c r="A23" s="2">
        <v>40641</v>
      </c>
      <c r="B23" s="3" t="s">
        <v>779</v>
      </c>
      <c r="C23" s="4" t="s">
        <v>706</v>
      </c>
      <c r="D23" s="14" t="s">
        <v>461</v>
      </c>
      <c r="E23" s="8" t="s">
        <v>732</v>
      </c>
      <c r="F23" s="8" t="s">
        <v>721</v>
      </c>
      <c r="G23" s="9"/>
    </row>
    <row r="24" spans="1:7" ht="48">
      <c r="A24" s="2">
        <v>40641</v>
      </c>
      <c r="B24" s="3" t="s">
        <v>779</v>
      </c>
      <c r="C24" s="4" t="s">
        <v>706</v>
      </c>
      <c r="D24" s="14" t="s">
        <v>462</v>
      </c>
      <c r="E24" s="8" t="s">
        <v>733</v>
      </c>
      <c r="F24" s="8" t="s">
        <v>721</v>
      </c>
      <c r="G24" s="9"/>
    </row>
    <row r="25" spans="1:7" ht="48">
      <c r="A25" s="2">
        <v>40641</v>
      </c>
      <c r="B25" s="3" t="s">
        <v>779</v>
      </c>
      <c r="C25" s="4" t="s">
        <v>706</v>
      </c>
      <c r="D25" s="14" t="s">
        <v>522</v>
      </c>
      <c r="E25" s="8" t="s">
        <v>734</v>
      </c>
      <c r="F25" s="8" t="s">
        <v>721</v>
      </c>
    </row>
    <row r="26" spans="1:7" ht="48">
      <c r="A26" s="2">
        <v>40641</v>
      </c>
      <c r="B26" s="3" t="s">
        <v>779</v>
      </c>
      <c r="C26" s="4" t="s">
        <v>706</v>
      </c>
      <c r="D26" s="14" t="s">
        <v>464</v>
      </c>
      <c r="E26" s="8" t="s">
        <v>735</v>
      </c>
      <c r="F26" s="6" t="s">
        <v>737</v>
      </c>
    </row>
    <row r="27" spans="1:7" ht="24">
      <c r="A27" s="2">
        <v>40641</v>
      </c>
      <c r="B27" s="3" t="s">
        <v>779</v>
      </c>
      <c r="C27" s="4" t="s">
        <v>706</v>
      </c>
      <c r="D27" s="14" t="s">
        <v>482</v>
      </c>
      <c r="E27" s="8" t="s">
        <v>709</v>
      </c>
      <c r="F27" s="15" t="s">
        <v>776</v>
      </c>
    </row>
    <row r="28" spans="1:7">
      <c r="A28" s="2">
        <v>40641</v>
      </c>
      <c r="B28" s="3" t="s">
        <v>779</v>
      </c>
      <c r="C28" s="4" t="s">
        <v>706</v>
      </c>
      <c r="D28" s="14" t="s">
        <v>487</v>
      </c>
      <c r="E28" s="8" t="s">
        <v>709</v>
      </c>
      <c r="F28" s="15" t="s">
        <v>775</v>
      </c>
    </row>
    <row r="29" spans="1:7" ht="48">
      <c r="A29" s="2">
        <v>40641</v>
      </c>
      <c r="B29" s="3" t="s">
        <v>779</v>
      </c>
      <c r="C29" s="4" t="s">
        <v>706</v>
      </c>
      <c r="D29" s="14" t="s">
        <v>493</v>
      </c>
      <c r="E29" s="8" t="s">
        <v>740</v>
      </c>
      <c r="F29" s="15" t="s">
        <v>778</v>
      </c>
    </row>
    <row r="30" spans="1:7" ht="24">
      <c r="A30" s="2">
        <v>40641</v>
      </c>
      <c r="B30" s="3" t="s">
        <v>779</v>
      </c>
      <c r="C30" s="4" t="s">
        <v>706</v>
      </c>
      <c r="D30" s="14" t="s">
        <v>494</v>
      </c>
      <c r="E30" s="8" t="s">
        <v>793</v>
      </c>
      <c r="F30" s="15" t="s">
        <v>794</v>
      </c>
    </row>
    <row r="31" spans="1:7" ht="24">
      <c r="A31" s="2">
        <v>40641</v>
      </c>
      <c r="B31" s="3" t="s">
        <v>779</v>
      </c>
      <c r="C31" s="4" t="s">
        <v>706</v>
      </c>
      <c r="D31" s="14" t="s">
        <v>498</v>
      </c>
      <c r="E31" s="8" t="s">
        <v>766</v>
      </c>
      <c r="F31" s="15" t="s">
        <v>741</v>
      </c>
    </row>
    <row r="32" spans="1:7" ht="24">
      <c r="A32" s="2">
        <v>40641</v>
      </c>
      <c r="B32" s="3" t="s">
        <v>779</v>
      </c>
      <c r="C32" s="4" t="s">
        <v>706</v>
      </c>
      <c r="D32" s="14" t="s">
        <v>499</v>
      </c>
      <c r="E32" s="8" t="s">
        <v>767</v>
      </c>
      <c r="F32" s="15" t="s">
        <v>741</v>
      </c>
    </row>
    <row r="33" spans="1:7" ht="24">
      <c r="A33" s="2">
        <v>40641</v>
      </c>
      <c r="B33" s="3" t="s">
        <v>779</v>
      </c>
      <c r="C33" s="4" t="s">
        <v>706</v>
      </c>
      <c r="D33" s="14" t="s">
        <v>500</v>
      </c>
      <c r="E33" s="8" t="s">
        <v>768</v>
      </c>
      <c r="F33" s="15" t="s">
        <v>741</v>
      </c>
    </row>
    <row r="34" spans="1:7" ht="24">
      <c r="A34" s="2">
        <v>40641</v>
      </c>
      <c r="B34" s="3" t="s">
        <v>779</v>
      </c>
      <c r="C34" s="4" t="s">
        <v>706</v>
      </c>
      <c r="D34" s="14" t="s">
        <v>503</v>
      </c>
      <c r="E34" s="8" t="s">
        <v>709</v>
      </c>
      <c r="F34" s="15" t="s">
        <v>743</v>
      </c>
    </row>
    <row r="35" spans="1:7" ht="24">
      <c r="A35" s="2">
        <v>40641</v>
      </c>
      <c r="B35" s="3" t="s">
        <v>779</v>
      </c>
      <c r="C35" s="4" t="s">
        <v>706</v>
      </c>
      <c r="D35" s="14" t="s">
        <v>506</v>
      </c>
      <c r="E35" s="15" t="s">
        <v>803</v>
      </c>
      <c r="F35" s="15" t="s">
        <v>741</v>
      </c>
    </row>
    <row r="36" spans="1:7" ht="24">
      <c r="A36" s="2">
        <v>40641</v>
      </c>
      <c r="B36" s="3" t="s">
        <v>779</v>
      </c>
      <c r="C36" s="4" t="s">
        <v>706</v>
      </c>
      <c r="D36" s="14" t="s">
        <v>509</v>
      </c>
      <c r="E36" s="15" t="s">
        <v>804</v>
      </c>
      <c r="F36" s="15" t="s">
        <v>741</v>
      </c>
    </row>
    <row r="37" spans="1:7" ht="24">
      <c r="A37" s="2">
        <v>40641</v>
      </c>
      <c r="B37" s="3" t="s">
        <v>779</v>
      </c>
      <c r="C37" s="4" t="s">
        <v>706</v>
      </c>
      <c r="D37" s="14" t="s">
        <v>512</v>
      </c>
      <c r="E37" s="15" t="s">
        <v>805</v>
      </c>
      <c r="F37" s="15" t="s">
        <v>741</v>
      </c>
    </row>
    <row r="38" spans="1:7" ht="24">
      <c r="A38" s="2">
        <v>40641</v>
      </c>
      <c r="B38" s="3" t="s">
        <v>779</v>
      </c>
      <c r="C38" s="4" t="s">
        <v>706</v>
      </c>
      <c r="D38" s="14" t="s">
        <v>515</v>
      </c>
      <c r="E38" s="15" t="s">
        <v>802</v>
      </c>
      <c r="F38" s="15" t="s">
        <v>741</v>
      </c>
    </row>
    <row r="39" spans="1:7" ht="24">
      <c r="A39" s="2">
        <v>40641</v>
      </c>
      <c r="B39" s="3" t="s">
        <v>779</v>
      </c>
      <c r="C39" s="4" t="s">
        <v>706</v>
      </c>
      <c r="D39" s="14" t="s">
        <v>748</v>
      </c>
      <c r="E39" s="8" t="s">
        <v>752</v>
      </c>
      <c r="F39" s="15" t="s">
        <v>753</v>
      </c>
    </row>
    <row r="40" spans="1:7" ht="24">
      <c r="A40" s="2">
        <v>40641</v>
      </c>
      <c r="B40" s="3" t="s">
        <v>779</v>
      </c>
      <c r="C40" s="4" t="s">
        <v>706</v>
      </c>
      <c r="D40" s="14" t="s">
        <v>578</v>
      </c>
      <c r="E40" s="8" t="s">
        <v>744</v>
      </c>
      <c r="F40" s="15" t="s">
        <v>745</v>
      </c>
    </row>
    <row r="41" spans="1:7" ht="24">
      <c r="A41" s="2">
        <v>40641</v>
      </c>
      <c r="B41" s="3" t="s">
        <v>779</v>
      </c>
      <c r="C41" s="4" t="s">
        <v>706</v>
      </c>
      <c r="D41" s="14" t="s">
        <v>664</v>
      </c>
      <c r="E41" s="8" t="s">
        <v>772</v>
      </c>
      <c r="F41" s="15" t="s">
        <v>741</v>
      </c>
    </row>
    <row r="42" spans="1:7" ht="24">
      <c r="A42" s="2">
        <v>40641</v>
      </c>
      <c r="B42" s="3" t="s">
        <v>779</v>
      </c>
      <c r="C42" s="4" t="s">
        <v>706</v>
      </c>
      <c r="D42" s="14" t="s">
        <v>699</v>
      </c>
      <c r="E42" s="8" t="s">
        <v>744</v>
      </c>
      <c r="F42" s="15" t="s">
        <v>745</v>
      </c>
    </row>
    <row r="43" spans="1:7" ht="24">
      <c r="A43" s="2">
        <v>40641</v>
      </c>
      <c r="B43" s="3" t="s">
        <v>779</v>
      </c>
      <c r="C43" s="4" t="s">
        <v>706</v>
      </c>
      <c r="D43" s="14" t="s">
        <v>756</v>
      </c>
      <c r="E43" s="8" t="s">
        <v>763</v>
      </c>
      <c r="F43" s="15" t="s">
        <v>764</v>
      </c>
    </row>
    <row r="44" spans="1:7" ht="24">
      <c r="A44" s="2">
        <v>40641</v>
      </c>
      <c r="B44" s="3" t="s">
        <v>779</v>
      </c>
      <c r="C44" s="4" t="s">
        <v>706</v>
      </c>
      <c r="D44" s="14" t="s">
        <v>765</v>
      </c>
      <c r="E44" s="8" t="s">
        <v>759</v>
      </c>
      <c r="F44" s="15" t="s">
        <v>780</v>
      </c>
    </row>
    <row r="45" spans="1:7" ht="24">
      <c r="A45" s="2">
        <v>40641</v>
      </c>
      <c r="B45" s="3" t="s">
        <v>779</v>
      </c>
      <c r="C45" s="4" t="s">
        <v>706</v>
      </c>
      <c r="D45" s="14" t="s">
        <v>782</v>
      </c>
      <c r="E45" s="8" t="s">
        <v>790</v>
      </c>
      <c r="F45" s="15" t="s">
        <v>792</v>
      </c>
    </row>
    <row r="46" spans="1:7" ht="24">
      <c r="A46" s="2">
        <v>40641</v>
      </c>
      <c r="B46" s="3" t="s">
        <v>779</v>
      </c>
      <c r="C46" s="4" t="s">
        <v>706</v>
      </c>
      <c r="D46" s="14" t="s">
        <v>789</v>
      </c>
      <c r="E46" s="8" t="s">
        <v>791</v>
      </c>
      <c r="F46" s="15" t="s">
        <v>792</v>
      </c>
    </row>
    <row r="47" spans="1:7">
      <c r="A47" s="2">
        <v>40641</v>
      </c>
      <c r="B47" s="3" t="s">
        <v>779</v>
      </c>
      <c r="C47" s="4" t="s">
        <v>706</v>
      </c>
      <c r="D47" s="14" t="s">
        <v>797</v>
      </c>
      <c r="E47" s="8" t="s">
        <v>801</v>
      </c>
      <c r="F47" s="15" t="s">
        <v>792</v>
      </c>
    </row>
    <row r="48" spans="1:7" ht="60">
      <c r="A48" s="2">
        <v>40660</v>
      </c>
      <c r="B48" s="3" t="s">
        <v>828</v>
      </c>
      <c r="C48" s="4" t="s">
        <v>706</v>
      </c>
      <c r="D48" s="4" t="s">
        <v>383</v>
      </c>
      <c r="E48" s="5" t="s">
        <v>837</v>
      </c>
      <c r="F48" s="5" t="s">
        <v>718</v>
      </c>
      <c r="G48" s="5"/>
    </row>
    <row r="49" spans="1:7" ht="60">
      <c r="A49" s="2">
        <v>40660</v>
      </c>
      <c r="B49" s="3" t="s">
        <v>828</v>
      </c>
      <c r="C49" s="4" t="s">
        <v>706</v>
      </c>
      <c r="D49" s="4" t="s">
        <v>392</v>
      </c>
      <c r="E49" s="5" t="s">
        <v>837</v>
      </c>
      <c r="F49" s="5" t="s">
        <v>718</v>
      </c>
      <c r="G49" s="5"/>
    </row>
    <row r="50" spans="1:7" ht="60">
      <c r="A50" s="2">
        <v>40660</v>
      </c>
      <c r="B50" s="3" t="s">
        <v>828</v>
      </c>
      <c r="C50" s="4" t="s">
        <v>706</v>
      </c>
      <c r="D50" s="4" t="s">
        <v>397</v>
      </c>
      <c r="E50" s="5" t="s">
        <v>826</v>
      </c>
      <c r="F50" s="5" t="s">
        <v>722</v>
      </c>
      <c r="G50" s="5"/>
    </row>
    <row r="51" spans="1:7" ht="60">
      <c r="A51" s="2">
        <v>40660</v>
      </c>
      <c r="B51" s="3" t="s">
        <v>828</v>
      </c>
      <c r="C51" s="4" t="s">
        <v>706</v>
      </c>
      <c r="D51" s="4" t="s">
        <v>399</v>
      </c>
      <c r="E51" s="5" t="s">
        <v>827</v>
      </c>
      <c r="F51" s="5" t="s">
        <v>722</v>
      </c>
      <c r="G51" s="5"/>
    </row>
    <row r="52" spans="1:7" ht="36">
      <c r="A52" s="2">
        <v>40680</v>
      </c>
      <c r="B52" s="14" t="s">
        <v>829</v>
      </c>
      <c r="C52" s="14" t="s">
        <v>706</v>
      </c>
      <c r="D52" s="14" t="s">
        <v>830</v>
      </c>
      <c r="E52" s="5" t="s">
        <v>834</v>
      </c>
      <c r="F52" s="5" t="s">
        <v>835</v>
      </c>
    </row>
    <row r="53" spans="1:7" ht="48">
      <c r="A53" s="2">
        <v>40681</v>
      </c>
      <c r="B53" s="14" t="s">
        <v>829</v>
      </c>
      <c r="C53" s="14" t="s">
        <v>706</v>
      </c>
      <c r="D53" s="14" t="s">
        <v>861</v>
      </c>
      <c r="E53" s="5" t="s">
        <v>859</v>
      </c>
      <c r="F53" s="5" t="s">
        <v>860</v>
      </c>
    </row>
    <row r="54" spans="1:7" ht="60">
      <c r="A54" s="2">
        <v>40683</v>
      </c>
      <c r="B54" s="14" t="s">
        <v>829</v>
      </c>
      <c r="C54" s="14" t="s">
        <v>706</v>
      </c>
      <c r="D54" s="14" t="s">
        <v>400</v>
      </c>
      <c r="E54" s="5" t="s">
        <v>862</v>
      </c>
      <c r="F54" s="5" t="s">
        <v>865</v>
      </c>
    </row>
    <row r="55" spans="1:7" ht="60">
      <c r="A55" s="2">
        <v>40683</v>
      </c>
      <c r="B55" s="14" t="s">
        <v>829</v>
      </c>
      <c r="C55" s="14" t="s">
        <v>706</v>
      </c>
      <c r="D55" s="14" t="s">
        <v>402</v>
      </c>
      <c r="E55" s="5" t="s">
        <v>866</v>
      </c>
      <c r="F55" s="5" t="s">
        <v>867</v>
      </c>
    </row>
    <row r="56" spans="1:7" ht="60">
      <c r="A56" s="2">
        <v>40683</v>
      </c>
      <c r="B56" s="14" t="s">
        <v>829</v>
      </c>
      <c r="C56" s="14" t="s">
        <v>706</v>
      </c>
      <c r="D56" s="14" t="s">
        <v>405</v>
      </c>
      <c r="E56" s="5" t="s">
        <v>863</v>
      </c>
      <c r="F56" s="5" t="s">
        <v>865</v>
      </c>
    </row>
    <row r="57" spans="1:7" ht="60">
      <c r="A57" s="2">
        <v>40683</v>
      </c>
      <c r="B57" s="14" t="s">
        <v>829</v>
      </c>
      <c r="C57" s="14" t="s">
        <v>706</v>
      </c>
      <c r="D57" s="14" t="s">
        <v>406</v>
      </c>
      <c r="E57" s="5" t="s">
        <v>864</v>
      </c>
      <c r="F57" s="5" t="s">
        <v>865</v>
      </c>
    </row>
    <row r="58" spans="1:7" ht="60">
      <c r="A58" s="2">
        <v>40683</v>
      </c>
      <c r="B58" s="14" t="s">
        <v>829</v>
      </c>
      <c r="C58" s="14" t="s">
        <v>706</v>
      </c>
      <c r="D58" s="14" t="s">
        <v>410</v>
      </c>
      <c r="E58" s="5" t="s">
        <v>868</v>
      </c>
      <c r="F58" s="5" t="s">
        <v>867</v>
      </c>
    </row>
    <row r="59" spans="1:7" ht="60">
      <c r="A59" s="2">
        <v>40683</v>
      </c>
      <c r="B59" s="14" t="s">
        <v>829</v>
      </c>
      <c r="C59" s="14" t="s">
        <v>706</v>
      </c>
      <c r="D59" s="14" t="s">
        <v>415</v>
      </c>
      <c r="E59" s="5" t="s">
        <v>870</v>
      </c>
      <c r="F59" s="5" t="s">
        <v>871</v>
      </c>
    </row>
    <row r="60" spans="1:7" ht="60">
      <c r="A60" s="2">
        <v>40683</v>
      </c>
      <c r="B60" s="14" t="s">
        <v>829</v>
      </c>
      <c r="C60" s="14" t="s">
        <v>706</v>
      </c>
      <c r="D60" s="14" t="s">
        <v>418</v>
      </c>
      <c r="E60" s="5" t="s">
        <v>869</v>
      </c>
      <c r="F60" s="5" t="s">
        <v>871</v>
      </c>
    </row>
    <row r="61" spans="1:7" ht="24">
      <c r="A61" s="59">
        <v>40730</v>
      </c>
      <c r="B61" s="14" t="s">
        <v>923</v>
      </c>
      <c r="C61" s="14" t="s">
        <v>924</v>
      </c>
      <c r="D61" s="4" t="s">
        <v>821</v>
      </c>
      <c r="E61" s="15" t="s">
        <v>925</v>
      </c>
      <c r="F61" s="15" t="s">
        <v>926</v>
      </c>
    </row>
    <row r="62" spans="1:7" ht="36">
      <c r="A62" s="59">
        <v>40760</v>
      </c>
      <c r="B62" s="14" t="s">
        <v>923</v>
      </c>
      <c r="C62" s="14" t="s">
        <v>924</v>
      </c>
      <c r="D62" s="60" t="s">
        <v>927</v>
      </c>
      <c r="E62" s="15" t="s">
        <v>936</v>
      </c>
      <c r="F62" s="15" t="s">
        <v>928</v>
      </c>
    </row>
    <row r="63" spans="1:7" ht="48">
      <c r="A63" s="59">
        <v>40800</v>
      </c>
      <c r="B63" s="14" t="s">
        <v>939</v>
      </c>
      <c r="C63" s="14" t="s">
        <v>924</v>
      </c>
      <c r="D63" s="60" t="s">
        <v>940</v>
      </c>
      <c r="E63" s="15" t="s">
        <v>941</v>
      </c>
      <c r="F63" s="15" t="s">
        <v>942</v>
      </c>
      <c r="G63" s="15" t="s">
        <v>943</v>
      </c>
    </row>
    <row r="64" spans="1:7" ht="48">
      <c r="A64" s="59">
        <v>40800</v>
      </c>
      <c r="B64" s="14" t="s">
        <v>939</v>
      </c>
      <c r="C64" s="14" t="s">
        <v>924</v>
      </c>
      <c r="D64" s="60" t="s">
        <v>948</v>
      </c>
      <c r="E64" s="15" t="s">
        <v>950</v>
      </c>
      <c r="F64" s="15" t="s">
        <v>949</v>
      </c>
      <c r="G64" s="15"/>
    </row>
    <row r="65" spans="1:7" ht="36">
      <c r="A65" s="59">
        <v>40800</v>
      </c>
      <c r="B65" s="14" t="s">
        <v>939</v>
      </c>
      <c r="C65" s="14" t="s">
        <v>924</v>
      </c>
      <c r="D65" s="60" t="s">
        <v>951</v>
      </c>
      <c r="E65" s="15" t="s">
        <v>954</v>
      </c>
      <c r="F65" s="15" t="s">
        <v>952</v>
      </c>
      <c r="G65" s="15" t="s">
        <v>953</v>
      </c>
    </row>
    <row r="66" spans="1:7" ht="24">
      <c r="A66" s="59">
        <v>40806</v>
      </c>
      <c r="B66" s="14" t="s">
        <v>939</v>
      </c>
      <c r="C66" s="14" t="s">
        <v>924</v>
      </c>
      <c r="D66" s="60" t="s">
        <v>960</v>
      </c>
      <c r="E66" s="15" t="s">
        <v>962</v>
      </c>
      <c r="F66" s="15" t="s">
        <v>961</v>
      </c>
      <c r="G66" s="15"/>
    </row>
    <row r="67" spans="1:7" ht="36">
      <c r="A67" s="59">
        <v>40806</v>
      </c>
      <c r="B67" s="14" t="s">
        <v>939</v>
      </c>
      <c r="C67" s="14" t="s">
        <v>924</v>
      </c>
      <c r="D67" s="60" t="s">
        <v>963</v>
      </c>
      <c r="E67" s="15" t="s">
        <v>965</v>
      </c>
      <c r="F67" s="15" t="s">
        <v>966</v>
      </c>
      <c r="G67" s="15" t="s">
        <v>967</v>
      </c>
    </row>
    <row r="68" spans="1:7" ht="48">
      <c r="A68" s="59">
        <v>40806</v>
      </c>
      <c r="B68" s="14" t="s">
        <v>939</v>
      </c>
      <c r="C68" s="14" t="s">
        <v>924</v>
      </c>
      <c r="D68" s="60" t="s">
        <v>964</v>
      </c>
      <c r="E68" s="15" t="s">
        <v>977</v>
      </c>
      <c r="F68" s="15" t="s">
        <v>966</v>
      </c>
      <c r="G68" s="15" t="s">
        <v>978</v>
      </c>
    </row>
    <row r="69" spans="1:7" ht="48">
      <c r="A69" s="59">
        <v>40821</v>
      </c>
      <c r="B69" s="14" t="s">
        <v>939</v>
      </c>
      <c r="C69" s="14" t="s">
        <v>924</v>
      </c>
      <c r="D69" s="60" t="s">
        <v>429</v>
      </c>
      <c r="E69" s="15" t="s">
        <v>979</v>
      </c>
      <c r="F69" s="15" t="s">
        <v>980</v>
      </c>
      <c r="G69" s="15" t="s">
        <v>981</v>
      </c>
    </row>
    <row r="70" spans="1:7" ht="36">
      <c r="A70" s="59">
        <v>40926</v>
      </c>
      <c r="B70" s="14" t="s">
        <v>983</v>
      </c>
      <c r="C70" s="14" t="s">
        <v>924</v>
      </c>
      <c r="D70" s="60" t="s">
        <v>951</v>
      </c>
      <c r="E70" s="15" t="s">
        <v>984</v>
      </c>
      <c r="F70" s="15" t="s">
        <v>985</v>
      </c>
      <c r="G70" s="15" t="s">
        <v>992</v>
      </c>
    </row>
    <row r="71" spans="1:7" ht="24">
      <c r="A71" s="59">
        <v>40926</v>
      </c>
      <c r="B71" s="14" t="s">
        <v>983</v>
      </c>
      <c r="C71" s="14" t="s">
        <v>924</v>
      </c>
      <c r="D71" s="60" t="s">
        <v>395</v>
      </c>
      <c r="E71" s="15" t="s">
        <v>989</v>
      </c>
      <c r="F71" s="15" t="s">
        <v>990</v>
      </c>
      <c r="G71" s="15"/>
    </row>
    <row r="72" spans="1:7" ht="24">
      <c r="A72" s="59">
        <v>40928</v>
      </c>
      <c r="B72" s="14" t="s">
        <v>983</v>
      </c>
      <c r="C72" s="14" t="s">
        <v>924</v>
      </c>
      <c r="D72" s="60" t="s">
        <v>998</v>
      </c>
      <c r="E72" s="15" t="s">
        <v>999</v>
      </c>
      <c r="F72" s="15" t="s">
        <v>1000</v>
      </c>
      <c r="G72" s="15"/>
    </row>
    <row r="73" spans="1:7" ht="36">
      <c r="A73" s="59">
        <v>40928</v>
      </c>
      <c r="B73" s="14" t="s">
        <v>983</v>
      </c>
      <c r="C73" s="14" t="s">
        <v>924</v>
      </c>
      <c r="D73" s="60" t="s">
        <v>1003</v>
      </c>
      <c r="E73" s="15" t="s">
        <v>996</v>
      </c>
      <c r="F73" s="15" t="s">
        <v>997</v>
      </c>
      <c r="G73" s="15" t="s">
        <v>1005</v>
      </c>
    </row>
    <row r="74" spans="1:7" ht="60">
      <c r="A74" s="59">
        <v>40954</v>
      </c>
      <c r="B74" s="14" t="s">
        <v>983</v>
      </c>
      <c r="C74" s="14" t="s">
        <v>924</v>
      </c>
      <c r="D74" s="60" t="s">
        <v>1004</v>
      </c>
      <c r="E74" s="15" t="s">
        <v>1034</v>
      </c>
      <c r="F74" s="15" t="s">
        <v>997</v>
      </c>
      <c r="G74" s="15" t="s">
        <v>1006</v>
      </c>
    </row>
    <row r="75" spans="1:7" ht="24">
      <c r="A75" s="59">
        <v>40956</v>
      </c>
      <c r="B75" s="14" t="s">
        <v>983</v>
      </c>
      <c r="C75" s="14" t="s">
        <v>924</v>
      </c>
      <c r="D75" s="60" t="s">
        <v>466</v>
      </c>
      <c r="E75" s="15" t="s">
        <v>1033</v>
      </c>
      <c r="F75" s="15" t="s">
        <v>1011</v>
      </c>
      <c r="G75" s="15" t="s">
        <v>1012</v>
      </c>
    </row>
    <row r="76" spans="1:7" ht="36">
      <c r="A76" s="59">
        <v>40960</v>
      </c>
      <c r="B76" s="14" t="s">
        <v>983</v>
      </c>
      <c r="C76" s="14" t="s">
        <v>924</v>
      </c>
      <c r="D76" s="60" t="s">
        <v>1032</v>
      </c>
      <c r="E76" s="15" t="s">
        <v>1044</v>
      </c>
      <c r="F76" s="15" t="s">
        <v>1035</v>
      </c>
      <c r="G76" s="15" t="s">
        <v>1036</v>
      </c>
    </row>
    <row r="77" spans="1:7" ht="48">
      <c r="A77" s="59">
        <v>40967</v>
      </c>
      <c r="B77" s="14" t="s">
        <v>983</v>
      </c>
      <c r="C77" s="14" t="s">
        <v>924</v>
      </c>
      <c r="D77" s="60" t="s">
        <v>1032</v>
      </c>
      <c r="E77" s="15" t="s">
        <v>1068</v>
      </c>
      <c r="F77" s="15" t="s">
        <v>1069</v>
      </c>
      <c r="G77" s="15" t="s">
        <v>1067</v>
      </c>
    </row>
    <row r="78" spans="1:7">
      <c r="D78" s="15"/>
      <c r="E78" s="15"/>
      <c r="F78" s="15"/>
      <c r="G78" s="15"/>
    </row>
    <row r="79" spans="1:7">
      <c r="D79" s="15"/>
      <c r="E79" s="15"/>
      <c r="F79" s="15"/>
      <c r="G79" s="15"/>
    </row>
    <row r="80" spans="1:7">
      <c r="D80" s="15"/>
      <c r="E80" s="15"/>
      <c r="F80" s="15"/>
      <c r="G80" s="15"/>
    </row>
    <row r="81" spans="4:7">
      <c r="D81" s="15"/>
      <c r="E81" s="15"/>
      <c r="F81" s="15"/>
      <c r="G81" s="15"/>
    </row>
  </sheetData>
  <sortState ref="A2:G60">
    <sortCondition ref="A2:A60"/>
    <sortCondition ref="D2:D60"/>
  </sortState>
  <pageMargins left="0.7" right="0.7" top="0.75" bottom="0.75" header="0.3" footer="0.3"/>
  <pageSetup scale="81" fitToHeight="5" orientation="landscape" r:id="rId1"/>
</worksheet>
</file>

<file path=xl/worksheets/sheet2.xml><?xml version="1.0" encoding="utf-8"?>
<worksheet xmlns="http://schemas.openxmlformats.org/spreadsheetml/2006/main" xmlns:r="http://schemas.openxmlformats.org/officeDocument/2006/relationships">
  <dimension ref="A1:I269"/>
  <sheetViews>
    <sheetView zoomScaleNormal="100" workbookViewId="0">
      <pane ySplit="2" topLeftCell="A3" activePane="bottomLeft" state="frozen"/>
      <selection pane="bottomLeft" activeCell="A3" sqref="A3"/>
    </sheetView>
  </sheetViews>
  <sheetFormatPr defaultRowHeight="11.25"/>
  <cols>
    <col min="1" max="1" width="7.28515625" style="19" customWidth="1"/>
    <col min="2" max="2" width="8.5703125" style="20" customWidth="1"/>
    <col min="3" max="3" width="27.140625" style="19" customWidth="1"/>
    <col min="4" max="4" width="26.140625" style="18" customWidth="1"/>
    <col min="5" max="5" width="37.28515625" style="18" customWidth="1"/>
    <col min="6" max="6" width="22.7109375" style="18" customWidth="1"/>
    <col min="7" max="7" width="10.7109375" style="19" customWidth="1"/>
    <col min="8" max="8" width="23.28515625" style="19" customWidth="1"/>
    <col min="9" max="9" width="9.140625" style="18" customWidth="1"/>
    <col min="10" max="16384" width="9.140625" style="19"/>
  </cols>
  <sheetData>
    <row r="1" spans="1:9" s="29" customFormat="1" ht="32.25" customHeight="1">
      <c r="A1" s="70" t="s">
        <v>922</v>
      </c>
      <c r="B1" s="70"/>
      <c r="C1" s="70"/>
      <c r="D1" s="70"/>
      <c r="E1" s="70"/>
      <c r="F1" s="70"/>
    </row>
    <row r="2" spans="1:9" ht="29.25" customHeight="1" thickBot="1">
      <c r="A2" s="50" t="s">
        <v>708</v>
      </c>
      <c r="B2" s="51" t="s">
        <v>520</v>
      </c>
      <c r="C2" s="52" t="s">
        <v>233</v>
      </c>
      <c r="D2" s="50" t="s">
        <v>234</v>
      </c>
      <c r="E2" s="50" t="s">
        <v>538</v>
      </c>
      <c r="F2" s="50" t="s">
        <v>635</v>
      </c>
      <c r="G2" s="17" t="s">
        <v>634</v>
      </c>
      <c r="H2" s="17" t="s">
        <v>657</v>
      </c>
    </row>
    <row r="3" spans="1:9" ht="135">
      <c r="A3" s="32" t="s">
        <v>993</v>
      </c>
      <c r="B3" s="33" t="s">
        <v>240</v>
      </c>
      <c r="C3" s="24" t="s">
        <v>1001</v>
      </c>
      <c r="D3" s="24" t="s">
        <v>994</v>
      </c>
      <c r="E3" s="24" t="s">
        <v>995</v>
      </c>
      <c r="F3" s="31" t="s">
        <v>1002</v>
      </c>
      <c r="H3" s="19" t="str">
        <f t="shared" ref="H3:H35" si="0">LEFT(E3,(+SEARCH("/",E3)-1))</f>
        <v>SchoolCourseInfo</v>
      </c>
      <c r="I3" s="62"/>
    </row>
    <row r="4" spans="1:9" ht="56.25">
      <c r="A4" s="32" t="s">
        <v>401</v>
      </c>
      <c r="B4" s="33" t="s">
        <v>240</v>
      </c>
      <c r="C4" s="23" t="s">
        <v>112</v>
      </c>
      <c r="D4" s="24" t="s">
        <v>126</v>
      </c>
      <c r="E4" s="24" t="s">
        <v>887</v>
      </c>
      <c r="F4" s="31"/>
      <c r="G4" s="19">
        <f t="shared" ref="G4:G67" si="1">IF(+IFERROR(+FIND("Extended",E4,1),0)&gt;0,1,0)</f>
        <v>1</v>
      </c>
      <c r="H4" s="19" t="str">
        <f t="shared" si="0"/>
        <v>SchoolCourseInfo</v>
      </c>
    </row>
    <row r="5" spans="1:9" ht="56.25">
      <c r="A5" s="32" t="s">
        <v>407</v>
      </c>
      <c r="B5" s="33" t="s">
        <v>240</v>
      </c>
      <c r="C5" s="23" t="s">
        <v>123</v>
      </c>
      <c r="D5" s="24" t="s">
        <v>124</v>
      </c>
      <c r="E5" s="24" t="s">
        <v>890</v>
      </c>
      <c r="F5" s="62"/>
      <c r="G5" s="19">
        <f t="shared" si="1"/>
        <v>1</v>
      </c>
      <c r="H5" s="19" t="str">
        <f t="shared" si="0"/>
        <v>SectionInfo</v>
      </c>
    </row>
    <row r="6" spans="1:9" ht="22.5">
      <c r="A6" s="19" t="s">
        <v>404</v>
      </c>
      <c r="B6" s="20" t="s">
        <v>240</v>
      </c>
      <c r="C6" s="21" t="s">
        <v>117</v>
      </c>
      <c r="D6" s="22" t="s">
        <v>118</v>
      </c>
      <c r="E6" s="22" t="s">
        <v>539</v>
      </c>
      <c r="F6" s="62"/>
      <c r="G6" s="19">
        <f t="shared" si="1"/>
        <v>0</v>
      </c>
      <c r="H6" s="19" t="str">
        <f t="shared" si="0"/>
        <v>SchoolCourseInfo</v>
      </c>
    </row>
    <row r="7" spans="1:9" ht="146.25">
      <c r="A7" s="19" t="s">
        <v>395</v>
      </c>
      <c r="B7" s="20" t="s">
        <v>240</v>
      </c>
      <c r="C7" s="21" t="s">
        <v>102</v>
      </c>
      <c r="D7" s="22" t="s">
        <v>103</v>
      </c>
      <c r="E7" s="22" t="s">
        <v>991</v>
      </c>
      <c r="F7" s="18" t="s">
        <v>988</v>
      </c>
      <c r="G7" s="19">
        <f t="shared" si="1"/>
        <v>0</v>
      </c>
      <c r="H7" s="19" t="str">
        <f t="shared" si="0"/>
        <v>SchoolCourseInfo</v>
      </c>
    </row>
    <row r="8" spans="1:9" ht="45">
      <c r="A8" s="19" t="s">
        <v>403</v>
      </c>
      <c r="B8" s="20" t="s">
        <v>240</v>
      </c>
      <c r="C8" s="21" t="s">
        <v>115</v>
      </c>
      <c r="D8" s="22" t="s">
        <v>116</v>
      </c>
      <c r="E8" s="22" t="s">
        <v>540</v>
      </c>
      <c r="G8" s="19">
        <f t="shared" si="1"/>
        <v>0</v>
      </c>
      <c r="H8" s="19" t="str">
        <f t="shared" si="0"/>
        <v>SchoolCourseInfo</v>
      </c>
    </row>
    <row r="9" spans="1:9" ht="33.75">
      <c r="A9" s="19" t="s">
        <v>411</v>
      </c>
      <c r="B9" s="20" t="s">
        <v>240</v>
      </c>
      <c r="C9" s="21" t="s">
        <v>131</v>
      </c>
      <c r="D9" s="22" t="s">
        <v>132</v>
      </c>
      <c r="E9" s="22" t="s">
        <v>541</v>
      </c>
      <c r="F9" s="62"/>
      <c r="G9" s="19">
        <f t="shared" si="1"/>
        <v>0</v>
      </c>
      <c r="H9" s="19" t="str">
        <f t="shared" si="0"/>
        <v>SectionInfo</v>
      </c>
    </row>
    <row r="10" spans="1:9" ht="33.75">
      <c r="A10" s="19" t="s">
        <v>409</v>
      </c>
      <c r="B10" s="20" t="s">
        <v>240</v>
      </c>
      <c r="C10" s="21" t="s">
        <v>127</v>
      </c>
      <c r="D10" s="22" t="s">
        <v>128</v>
      </c>
      <c r="E10" s="22" t="s">
        <v>814</v>
      </c>
      <c r="G10" s="19">
        <f t="shared" si="1"/>
        <v>0</v>
      </c>
      <c r="H10" s="19" t="str">
        <f t="shared" si="0"/>
        <v>SectionInfo</v>
      </c>
    </row>
    <row r="11" spans="1:9" ht="33.75">
      <c r="A11" s="19" t="s">
        <v>327</v>
      </c>
      <c r="B11" s="20" t="s">
        <v>240</v>
      </c>
      <c r="C11" s="21" t="s">
        <v>0</v>
      </c>
      <c r="D11" s="62" t="s">
        <v>13</v>
      </c>
      <c r="E11" s="22" t="s">
        <v>542</v>
      </c>
      <c r="F11" s="62"/>
      <c r="G11" s="19">
        <f t="shared" si="1"/>
        <v>0</v>
      </c>
      <c r="H11" s="19" t="str">
        <f t="shared" si="0"/>
        <v>LEAInfo</v>
      </c>
    </row>
    <row r="12" spans="1:9" ht="33.75">
      <c r="A12" s="19" t="s">
        <v>396</v>
      </c>
      <c r="B12" s="20" t="s">
        <v>240</v>
      </c>
      <c r="C12" s="21" t="s">
        <v>104</v>
      </c>
      <c r="D12" s="22" t="s">
        <v>105</v>
      </c>
      <c r="E12" s="22" t="s">
        <v>576</v>
      </c>
      <c r="F12" s="62"/>
      <c r="G12" s="19">
        <f t="shared" si="1"/>
        <v>0</v>
      </c>
      <c r="H12" s="19" t="str">
        <f t="shared" si="0"/>
        <v>SectionInfo</v>
      </c>
    </row>
    <row r="13" spans="1:9" ht="45">
      <c r="A13" s="19" t="s">
        <v>329</v>
      </c>
      <c r="B13" s="20" t="s">
        <v>240</v>
      </c>
      <c r="C13" s="21" t="s">
        <v>3</v>
      </c>
      <c r="D13" s="22" t="s">
        <v>90</v>
      </c>
      <c r="E13" s="24" t="s">
        <v>521</v>
      </c>
      <c r="F13" s="22" t="s">
        <v>632</v>
      </c>
      <c r="G13" s="19">
        <f t="shared" si="1"/>
        <v>0</v>
      </c>
      <c r="H13" s="19" t="str">
        <f t="shared" si="0"/>
        <v>SchoolInfo</v>
      </c>
    </row>
    <row r="14" spans="1:9" ht="101.25">
      <c r="A14" s="19" t="s">
        <v>402</v>
      </c>
      <c r="B14" s="20" t="s">
        <v>240</v>
      </c>
      <c r="C14" s="21" t="s">
        <v>113</v>
      </c>
      <c r="D14" s="22" t="s">
        <v>114</v>
      </c>
      <c r="E14" s="22" t="s">
        <v>920</v>
      </c>
      <c r="F14" s="22" t="s">
        <v>594</v>
      </c>
      <c r="G14" s="19">
        <f t="shared" si="1"/>
        <v>1</v>
      </c>
      <c r="H14" s="19" t="str">
        <f t="shared" si="0"/>
        <v>TermInfo</v>
      </c>
    </row>
    <row r="15" spans="1:9" ht="103.5" customHeight="1">
      <c r="A15" s="29" t="s">
        <v>400</v>
      </c>
      <c r="B15" s="20" t="s">
        <v>240</v>
      </c>
      <c r="C15" s="30" t="s">
        <v>110</v>
      </c>
      <c r="D15" s="22" t="s">
        <v>111</v>
      </c>
      <c r="E15" s="22" t="s">
        <v>891</v>
      </c>
      <c r="F15" s="28" t="s">
        <v>1038</v>
      </c>
      <c r="G15" s="29">
        <f t="shared" si="1"/>
        <v>1</v>
      </c>
      <c r="H15" s="29" t="str">
        <f t="shared" si="0"/>
        <v>StaffPersonal</v>
      </c>
    </row>
    <row r="16" spans="1:9" ht="112.5">
      <c r="A16" s="19" t="s">
        <v>405</v>
      </c>
      <c r="B16" s="20" t="s">
        <v>240</v>
      </c>
      <c r="C16" s="21" t="s">
        <v>119</v>
      </c>
      <c r="D16" s="22" t="s">
        <v>120</v>
      </c>
      <c r="E16" s="22" t="s">
        <v>892</v>
      </c>
      <c r="F16" s="69" t="s">
        <v>1039</v>
      </c>
      <c r="G16" s="19">
        <f t="shared" si="1"/>
        <v>1</v>
      </c>
      <c r="H16" s="19" t="str">
        <f t="shared" si="0"/>
        <v>StaffPersonal</v>
      </c>
    </row>
    <row r="17" spans="1:8" ht="114" customHeight="1">
      <c r="A17" s="19" t="s">
        <v>406</v>
      </c>
      <c r="B17" s="20" t="s">
        <v>240</v>
      </c>
      <c r="C17" s="21" t="s">
        <v>121</v>
      </c>
      <c r="D17" s="22" t="s">
        <v>122</v>
      </c>
      <c r="E17" s="22" t="s">
        <v>893</v>
      </c>
      <c r="F17" s="69" t="s">
        <v>1039</v>
      </c>
      <c r="G17" s="19">
        <f t="shared" si="1"/>
        <v>1</v>
      </c>
      <c r="H17" s="19" t="str">
        <f t="shared" si="0"/>
        <v>StaffPersonal</v>
      </c>
    </row>
    <row r="18" spans="1:8" ht="90">
      <c r="A18" s="19" t="s">
        <v>410</v>
      </c>
      <c r="B18" s="20" t="s">
        <v>240</v>
      </c>
      <c r="C18" s="21" t="s">
        <v>129</v>
      </c>
      <c r="D18" s="22" t="s">
        <v>130</v>
      </c>
      <c r="E18" s="22" t="s">
        <v>921</v>
      </c>
      <c r="F18" s="22" t="s">
        <v>726</v>
      </c>
      <c r="G18" s="19">
        <f t="shared" si="1"/>
        <v>1</v>
      </c>
      <c r="H18" s="19" t="str">
        <f t="shared" si="0"/>
        <v>TermInfo</v>
      </c>
    </row>
    <row r="19" spans="1:8" ht="78.75">
      <c r="A19" s="19" t="s">
        <v>408</v>
      </c>
      <c r="B19" s="20" t="s">
        <v>240</v>
      </c>
      <c r="C19" s="21" t="s">
        <v>125</v>
      </c>
      <c r="D19" s="22" t="s">
        <v>126</v>
      </c>
      <c r="E19" s="22" t="s">
        <v>577</v>
      </c>
      <c r="F19" s="22" t="s">
        <v>723</v>
      </c>
      <c r="G19" s="19">
        <f t="shared" si="1"/>
        <v>0</v>
      </c>
      <c r="H19" s="19" t="str">
        <f t="shared" si="0"/>
        <v>SectionInfo</v>
      </c>
    </row>
    <row r="20" spans="1:8" ht="157.5">
      <c r="A20" s="19" t="s">
        <v>397</v>
      </c>
      <c r="B20" s="20" t="s">
        <v>240</v>
      </c>
      <c r="C20" s="21" t="s">
        <v>106</v>
      </c>
      <c r="D20" s="22" t="s">
        <v>107</v>
      </c>
      <c r="E20" s="22" t="s">
        <v>937</v>
      </c>
      <c r="F20" s="22" t="s">
        <v>694</v>
      </c>
      <c r="G20" s="19">
        <f t="shared" si="1"/>
        <v>1</v>
      </c>
      <c r="H20" s="19" t="str">
        <f t="shared" si="0"/>
        <v>SectionInfo</v>
      </c>
    </row>
    <row r="21" spans="1:8" ht="146.25">
      <c r="A21" s="19" t="s">
        <v>399</v>
      </c>
      <c r="B21" s="20" t="s">
        <v>240</v>
      </c>
      <c r="C21" s="21" t="s">
        <v>108</v>
      </c>
      <c r="D21" s="22" t="s">
        <v>109</v>
      </c>
      <c r="E21" s="22" t="s">
        <v>938</v>
      </c>
      <c r="F21" s="22" t="s">
        <v>820</v>
      </c>
      <c r="G21" s="19">
        <f t="shared" si="1"/>
        <v>1</v>
      </c>
      <c r="H21" s="19" t="str">
        <f t="shared" si="0"/>
        <v>SectionInfo</v>
      </c>
    </row>
    <row r="22" spans="1:8" ht="56.25">
      <c r="A22" s="19" t="s">
        <v>416</v>
      </c>
      <c r="B22" s="20" t="s">
        <v>241</v>
      </c>
      <c r="C22" s="21" t="s">
        <v>143</v>
      </c>
      <c r="D22" s="22" t="s">
        <v>975</v>
      </c>
      <c r="E22" s="22" t="s">
        <v>987</v>
      </c>
      <c r="F22" s="34"/>
      <c r="G22" s="19">
        <f t="shared" si="1"/>
        <v>1</v>
      </c>
      <c r="H22" s="19" t="str">
        <f t="shared" si="0"/>
        <v>StudentSectionEnrollment</v>
      </c>
    </row>
    <row r="23" spans="1:8" ht="101.25">
      <c r="A23" s="19" t="s">
        <v>417</v>
      </c>
      <c r="B23" s="20" t="s">
        <v>241</v>
      </c>
      <c r="C23" s="21" t="s">
        <v>144</v>
      </c>
      <c r="D23" s="22" t="s">
        <v>145</v>
      </c>
      <c r="E23" s="24" t="s">
        <v>919</v>
      </c>
      <c r="F23" s="62"/>
      <c r="G23" s="19">
        <f t="shared" si="1"/>
        <v>1</v>
      </c>
      <c r="H23" s="19" t="str">
        <f t="shared" si="0"/>
        <v>StudentSectionEnrollment</v>
      </c>
    </row>
    <row r="24" spans="1:8" ht="33.75">
      <c r="A24" s="19" t="s">
        <v>412</v>
      </c>
      <c r="B24" s="20" t="s">
        <v>241</v>
      </c>
      <c r="C24" s="21" t="s">
        <v>135</v>
      </c>
      <c r="D24" s="22" t="s">
        <v>136</v>
      </c>
      <c r="E24" s="22" t="s">
        <v>579</v>
      </c>
      <c r="F24" s="62"/>
      <c r="G24" s="19">
        <f t="shared" si="1"/>
        <v>0</v>
      </c>
      <c r="H24" s="19" t="str">
        <f t="shared" si="0"/>
        <v>StudentSectionEnrollment</v>
      </c>
    </row>
    <row r="25" spans="1:8" ht="33.75">
      <c r="A25" s="19" t="s">
        <v>413</v>
      </c>
      <c r="B25" s="20" t="s">
        <v>241</v>
      </c>
      <c r="C25" s="21" t="s">
        <v>137</v>
      </c>
      <c r="D25" s="22" t="s">
        <v>138</v>
      </c>
      <c r="E25" s="22" t="s">
        <v>580</v>
      </c>
      <c r="F25" s="62"/>
      <c r="G25" s="19">
        <f t="shared" si="1"/>
        <v>0</v>
      </c>
      <c r="H25" s="19" t="str">
        <f t="shared" si="0"/>
        <v>StudentSectionEnrollment</v>
      </c>
    </row>
    <row r="26" spans="1:8" ht="146.25">
      <c r="A26" s="19" t="s">
        <v>395</v>
      </c>
      <c r="B26" s="20" t="s">
        <v>241</v>
      </c>
      <c r="C26" s="21" t="s">
        <v>133</v>
      </c>
      <c r="D26" s="22" t="s">
        <v>134</v>
      </c>
      <c r="E26" s="22" t="s">
        <v>991</v>
      </c>
      <c r="F26" s="62" t="s">
        <v>988</v>
      </c>
      <c r="G26" s="19">
        <f t="shared" si="1"/>
        <v>0</v>
      </c>
      <c r="H26" s="19" t="str">
        <f t="shared" si="0"/>
        <v>SchoolCourseInfo</v>
      </c>
    </row>
    <row r="27" spans="1:8" ht="45">
      <c r="A27" s="19" t="s">
        <v>414</v>
      </c>
      <c r="B27" s="20" t="s">
        <v>241</v>
      </c>
      <c r="C27" s="21" t="s">
        <v>139</v>
      </c>
      <c r="D27" s="22" t="s">
        <v>140</v>
      </c>
      <c r="E27" s="22" t="s">
        <v>581</v>
      </c>
      <c r="F27" s="62"/>
      <c r="G27" s="19">
        <f t="shared" si="1"/>
        <v>0</v>
      </c>
      <c r="H27" s="19" t="str">
        <f t="shared" si="0"/>
        <v>StudentSectionEnrollment</v>
      </c>
    </row>
    <row r="28" spans="1:8" ht="123.75">
      <c r="A28" s="19" t="s">
        <v>418</v>
      </c>
      <c r="B28" s="20" t="s">
        <v>241</v>
      </c>
      <c r="C28" s="21" t="s">
        <v>146</v>
      </c>
      <c r="D28" s="22" t="s">
        <v>147</v>
      </c>
      <c r="E28" s="24" t="s">
        <v>896</v>
      </c>
      <c r="F28" s="65" t="s">
        <v>1040</v>
      </c>
      <c r="G28" s="19">
        <f t="shared" si="1"/>
        <v>1</v>
      </c>
      <c r="H28" s="19" t="str">
        <f t="shared" si="0"/>
        <v>StudentGrade</v>
      </c>
    </row>
    <row r="29" spans="1:8" ht="90">
      <c r="A29" s="19" t="s">
        <v>415</v>
      </c>
      <c r="B29" s="20" t="s">
        <v>241</v>
      </c>
      <c r="C29" s="21" t="s">
        <v>141</v>
      </c>
      <c r="D29" s="22" t="s">
        <v>142</v>
      </c>
      <c r="E29" s="22" t="s">
        <v>897</v>
      </c>
      <c r="F29" s="65" t="s">
        <v>1040</v>
      </c>
      <c r="G29" s="19">
        <f t="shared" si="1"/>
        <v>1</v>
      </c>
      <c r="H29" s="19" t="str">
        <f t="shared" si="0"/>
        <v>StudentGrade</v>
      </c>
    </row>
    <row r="30" spans="1:8" ht="33.75">
      <c r="A30" s="19" t="s">
        <v>327</v>
      </c>
      <c r="B30" s="20" t="s">
        <v>241</v>
      </c>
      <c r="C30" s="21" t="s">
        <v>0</v>
      </c>
      <c r="D30" s="62" t="s">
        <v>13</v>
      </c>
      <c r="E30" s="22" t="s">
        <v>542</v>
      </c>
      <c r="F30" s="62"/>
      <c r="G30" s="19">
        <f t="shared" si="1"/>
        <v>0</v>
      </c>
      <c r="H30" s="19" t="str">
        <f t="shared" si="0"/>
        <v>LEAInfo</v>
      </c>
    </row>
    <row r="31" spans="1:8" ht="33.75">
      <c r="A31" s="19" t="s">
        <v>396</v>
      </c>
      <c r="B31" s="20" t="s">
        <v>241</v>
      </c>
      <c r="C31" s="21" t="s">
        <v>104</v>
      </c>
      <c r="D31" s="22" t="s">
        <v>105</v>
      </c>
      <c r="E31" s="22" t="s">
        <v>576</v>
      </c>
      <c r="F31" s="62"/>
      <c r="G31" s="19">
        <f t="shared" si="1"/>
        <v>0</v>
      </c>
      <c r="H31" s="19" t="str">
        <f t="shared" si="0"/>
        <v>SectionInfo</v>
      </c>
    </row>
    <row r="32" spans="1:8" ht="45">
      <c r="A32" s="19" t="s">
        <v>329</v>
      </c>
      <c r="B32" s="20" t="s">
        <v>241</v>
      </c>
      <c r="C32" s="21" t="s">
        <v>3</v>
      </c>
      <c r="D32" s="22" t="s">
        <v>90</v>
      </c>
      <c r="E32" s="22" t="s">
        <v>521</v>
      </c>
      <c r="F32" s="22" t="s">
        <v>632</v>
      </c>
      <c r="G32" s="19">
        <f t="shared" si="1"/>
        <v>0</v>
      </c>
      <c r="H32" s="19" t="str">
        <f t="shared" si="0"/>
        <v>SchoolInfo</v>
      </c>
    </row>
    <row r="33" spans="1:8" ht="22.5">
      <c r="A33" s="19" t="s">
        <v>325</v>
      </c>
      <c r="B33" s="20" t="s">
        <v>241</v>
      </c>
      <c r="C33" s="21" t="s">
        <v>14</v>
      </c>
      <c r="D33" s="22" t="s">
        <v>75</v>
      </c>
      <c r="E33" s="22" t="s">
        <v>549</v>
      </c>
      <c r="F33" s="62"/>
      <c r="G33" s="19">
        <f t="shared" si="1"/>
        <v>0</v>
      </c>
      <c r="H33" s="19" t="str">
        <f t="shared" si="0"/>
        <v>StudentPersonal</v>
      </c>
    </row>
    <row r="34" spans="1:8" ht="33.75">
      <c r="A34" s="19" t="s">
        <v>327</v>
      </c>
      <c r="B34" s="20" t="s">
        <v>235</v>
      </c>
      <c r="C34" s="21" t="s">
        <v>0</v>
      </c>
      <c r="D34" s="62" t="s">
        <v>1</v>
      </c>
      <c r="E34" s="22" t="s">
        <v>542</v>
      </c>
      <c r="F34" s="62"/>
      <c r="G34" s="19">
        <f t="shared" si="1"/>
        <v>0</v>
      </c>
      <c r="H34" s="19" t="str">
        <f t="shared" si="0"/>
        <v>LEAInfo</v>
      </c>
    </row>
    <row r="35" spans="1:8" ht="22.5">
      <c r="A35" s="19" t="s">
        <v>336</v>
      </c>
      <c r="B35" s="20" t="s">
        <v>286</v>
      </c>
      <c r="C35" s="21" t="s">
        <v>24</v>
      </c>
      <c r="D35" s="22" t="s">
        <v>25</v>
      </c>
      <c r="E35" s="22" t="s">
        <v>554</v>
      </c>
      <c r="F35" s="62"/>
      <c r="G35" s="19">
        <f t="shared" si="1"/>
        <v>0</v>
      </c>
      <c r="H35" s="19" t="str">
        <f t="shared" si="0"/>
        <v>StudentPersonal</v>
      </c>
    </row>
    <row r="36" spans="1:8">
      <c r="A36" s="19" t="s">
        <v>334</v>
      </c>
      <c r="B36" s="20" t="s">
        <v>286</v>
      </c>
      <c r="C36" s="21" t="s">
        <v>20</v>
      </c>
      <c r="D36" s="22" t="s">
        <v>207</v>
      </c>
      <c r="E36" s="22" t="s">
        <v>552</v>
      </c>
      <c r="F36" s="62"/>
      <c r="G36" s="19">
        <f t="shared" si="1"/>
        <v>0</v>
      </c>
      <c r="H36" s="19" t="str">
        <f t="shared" ref="H36:H67" si="2">LEFT(E36,(+SEARCH("/",E36)-1))</f>
        <v>StudentPersonal</v>
      </c>
    </row>
    <row r="37" spans="1:8" ht="22.5">
      <c r="A37" s="19" t="s">
        <v>339</v>
      </c>
      <c r="B37" s="20" t="s">
        <v>286</v>
      </c>
      <c r="C37" s="21" t="s">
        <v>26</v>
      </c>
      <c r="D37" s="22" t="s">
        <v>27</v>
      </c>
      <c r="E37" s="22" t="s">
        <v>555</v>
      </c>
      <c r="F37" s="62"/>
      <c r="G37" s="19">
        <f t="shared" si="1"/>
        <v>0</v>
      </c>
      <c r="H37" s="19" t="str">
        <f t="shared" si="2"/>
        <v>StudentPersonal</v>
      </c>
    </row>
    <row r="38" spans="1:8">
      <c r="A38" s="19" t="s">
        <v>398</v>
      </c>
      <c r="B38" s="20" t="s">
        <v>286</v>
      </c>
      <c r="C38" s="21" t="s">
        <v>18</v>
      </c>
      <c r="D38" s="22" t="s">
        <v>206</v>
      </c>
      <c r="E38" s="22" t="s">
        <v>551</v>
      </c>
      <c r="F38" s="62"/>
      <c r="G38" s="19">
        <f t="shared" si="1"/>
        <v>0</v>
      </c>
      <c r="H38" s="19" t="str">
        <f t="shared" si="2"/>
        <v>StudentPersonal</v>
      </c>
    </row>
    <row r="39" spans="1:8" ht="33.75">
      <c r="A39" s="19" t="s">
        <v>327</v>
      </c>
      <c r="B39" s="20" t="s">
        <v>286</v>
      </c>
      <c r="C39" s="21" t="s">
        <v>0</v>
      </c>
      <c r="D39" s="62" t="s">
        <v>13</v>
      </c>
      <c r="E39" s="22" t="s">
        <v>542</v>
      </c>
      <c r="F39" s="62"/>
      <c r="G39" s="19">
        <f t="shared" si="1"/>
        <v>0</v>
      </c>
      <c r="H39" s="19" t="str">
        <f t="shared" si="2"/>
        <v>LEAInfo</v>
      </c>
    </row>
    <row r="40" spans="1:8" ht="45">
      <c r="A40" s="19" t="s">
        <v>370</v>
      </c>
      <c r="B40" s="20" t="s">
        <v>286</v>
      </c>
      <c r="C40" s="21" t="s">
        <v>210</v>
      </c>
      <c r="D40" s="22" t="s">
        <v>211</v>
      </c>
      <c r="E40" s="22" t="s">
        <v>571</v>
      </c>
      <c r="F40" s="62"/>
      <c r="G40" s="19">
        <f t="shared" si="1"/>
        <v>0</v>
      </c>
      <c r="H40" s="19" t="str">
        <f t="shared" si="2"/>
        <v>StudentPersonal</v>
      </c>
    </row>
    <row r="41" spans="1:8" ht="22.5">
      <c r="A41" s="19" t="s">
        <v>325</v>
      </c>
      <c r="B41" s="20" t="s">
        <v>286</v>
      </c>
      <c r="C41" s="21" t="s">
        <v>14</v>
      </c>
      <c r="D41" s="22" t="s">
        <v>75</v>
      </c>
      <c r="E41" s="22" t="s">
        <v>549</v>
      </c>
      <c r="G41" s="19">
        <f t="shared" si="1"/>
        <v>0</v>
      </c>
      <c r="H41" s="19" t="str">
        <f t="shared" si="2"/>
        <v>StudentPersonal</v>
      </c>
    </row>
    <row r="42" spans="1:8" ht="56.25">
      <c r="A42" s="19" t="s">
        <v>450</v>
      </c>
      <c r="B42" s="20" t="s">
        <v>286</v>
      </c>
      <c r="C42" s="21" t="s">
        <v>208</v>
      </c>
      <c r="D42" s="22" t="s">
        <v>209</v>
      </c>
      <c r="E42" s="22" t="s">
        <v>918</v>
      </c>
      <c r="F42" s="62"/>
      <c r="G42" s="19">
        <f t="shared" si="1"/>
        <v>1</v>
      </c>
      <c r="H42" s="19" t="str">
        <f t="shared" si="2"/>
        <v>StudentPersonal</v>
      </c>
    </row>
    <row r="43" spans="1:8" ht="22.5">
      <c r="A43" s="19" t="s">
        <v>420</v>
      </c>
      <c r="B43" s="20" t="s">
        <v>284</v>
      </c>
      <c r="C43" s="21" t="s">
        <v>151</v>
      </c>
      <c r="D43" s="22" t="s">
        <v>152</v>
      </c>
      <c r="E43" s="22" t="s">
        <v>696</v>
      </c>
      <c r="F43" s="22" t="s">
        <v>929</v>
      </c>
      <c r="G43" s="19">
        <f t="shared" si="1"/>
        <v>0</v>
      </c>
      <c r="H43" s="19" t="str">
        <f t="shared" si="2"/>
        <v>DisciplineIncident</v>
      </c>
    </row>
    <row r="44" spans="1:8" ht="22.5">
      <c r="A44" s="19" t="s">
        <v>421</v>
      </c>
      <c r="B44" s="20" t="s">
        <v>284</v>
      </c>
      <c r="C44" s="21" t="s">
        <v>153</v>
      </c>
      <c r="D44" s="22" t="s">
        <v>154</v>
      </c>
      <c r="E44" s="62" t="s">
        <v>583</v>
      </c>
      <c r="G44" s="19">
        <f t="shared" si="1"/>
        <v>0</v>
      </c>
      <c r="H44" s="19" t="str">
        <f t="shared" si="2"/>
        <v>DisciplineIncident</v>
      </c>
    </row>
    <row r="45" spans="1:8" ht="22.5">
      <c r="A45" s="19" t="s">
        <v>422</v>
      </c>
      <c r="B45" s="20" t="s">
        <v>284</v>
      </c>
      <c r="C45" s="21" t="s">
        <v>155</v>
      </c>
      <c r="D45" s="22" t="s">
        <v>156</v>
      </c>
      <c r="E45" s="62" t="s">
        <v>584</v>
      </c>
      <c r="G45" s="19">
        <f t="shared" si="1"/>
        <v>0</v>
      </c>
      <c r="H45" s="19" t="str">
        <f t="shared" si="2"/>
        <v>DisciplineIncident</v>
      </c>
    </row>
    <row r="46" spans="1:8" ht="56.25">
      <c r="A46" s="19" t="s">
        <v>419</v>
      </c>
      <c r="B46" s="20" t="s">
        <v>284</v>
      </c>
      <c r="C46" s="21" t="s">
        <v>149</v>
      </c>
      <c r="D46" s="22" t="s">
        <v>150</v>
      </c>
      <c r="E46" s="62" t="s">
        <v>582</v>
      </c>
      <c r="G46" s="19">
        <f t="shared" si="1"/>
        <v>0</v>
      </c>
      <c r="H46" s="19" t="str">
        <f t="shared" si="2"/>
        <v>DisciplineIncident</v>
      </c>
    </row>
    <row r="47" spans="1:8" ht="33.75">
      <c r="A47" s="19" t="s">
        <v>327</v>
      </c>
      <c r="B47" s="20" t="s">
        <v>284</v>
      </c>
      <c r="C47" s="23" t="s">
        <v>0</v>
      </c>
      <c r="D47" s="62" t="s">
        <v>13</v>
      </c>
      <c r="E47" s="22" t="s">
        <v>542</v>
      </c>
      <c r="G47" s="19">
        <f t="shared" si="1"/>
        <v>0</v>
      </c>
      <c r="H47" s="19" t="str">
        <f t="shared" si="2"/>
        <v>LEAInfo</v>
      </c>
    </row>
    <row r="48" spans="1:8" ht="45">
      <c r="A48" s="19" t="s">
        <v>329</v>
      </c>
      <c r="B48" s="20" t="s">
        <v>284</v>
      </c>
      <c r="C48" s="21" t="s">
        <v>3</v>
      </c>
      <c r="D48" s="22" t="s">
        <v>90</v>
      </c>
      <c r="E48" s="22" t="s">
        <v>521</v>
      </c>
      <c r="F48" s="22" t="s">
        <v>632</v>
      </c>
      <c r="G48" s="19">
        <f t="shared" si="1"/>
        <v>0</v>
      </c>
      <c r="H48" s="19" t="str">
        <f t="shared" si="2"/>
        <v>SchoolInfo</v>
      </c>
    </row>
    <row r="49" spans="1:8" ht="56.25">
      <c r="A49" s="19" t="s">
        <v>433</v>
      </c>
      <c r="B49" s="20" t="s">
        <v>285</v>
      </c>
      <c r="C49" s="21" t="s">
        <v>178</v>
      </c>
      <c r="D49" s="22" t="s">
        <v>179</v>
      </c>
      <c r="E49" s="34" t="s">
        <v>808</v>
      </c>
      <c r="F49" s="34" t="s">
        <v>935</v>
      </c>
      <c r="G49" s="19">
        <f t="shared" si="1"/>
        <v>0</v>
      </c>
      <c r="H49" s="19" t="str">
        <f t="shared" si="2"/>
        <v>DisciplineIncident</v>
      </c>
    </row>
    <row r="50" spans="1:8" ht="67.5">
      <c r="A50" s="19" t="s">
        <v>423</v>
      </c>
      <c r="B50" s="20" t="s">
        <v>285</v>
      </c>
      <c r="C50" s="21" t="s">
        <v>158</v>
      </c>
      <c r="D50" s="22" t="s">
        <v>159</v>
      </c>
      <c r="E50" s="22" t="s">
        <v>879</v>
      </c>
      <c r="G50" s="19">
        <f t="shared" si="1"/>
        <v>1</v>
      </c>
      <c r="H50" s="19" t="str">
        <f t="shared" si="2"/>
        <v>DisciplineIncident</v>
      </c>
    </row>
    <row r="51" spans="1:8" ht="56.25">
      <c r="A51" s="19" t="s">
        <v>426</v>
      </c>
      <c r="B51" s="20" t="s">
        <v>285</v>
      </c>
      <c r="C51" s="21" t="s">
        <v>164</v>
      </c>
      <c r="D51" s="22" t="s">
        <v>165</v>
      </c>
      <c r="E51" s="62" t="s">
        <v>585</v>
      </c>
      <c r="F51" s="22" t="s">
        <v>931</v>
      </c>
      <c r="G51" s="19">
        <f t="shared" si="1"/>
        <v>0</v>
      </c>
      <c r="H51" s="19" t="str">
        <f t="shared" si="2"/>
        <v>DisciplineIncident</v>
      </c>
    </row>
    <row r="52" spans="1:8" ht="67.5">
      <c r="A52" s="19" t="s">
        <v>425</v>
      </c>
      <c r="B52" s="20" t="s">
        <v>285</v>
      </c>
      <c r="C52" s="21" t="s">
        <v>162</v>
      </c>
      <c r="D52" s="22" t="s">
        <v>163</v>
      </c>
      <c r="E52" s="22" t="s">
        <v>880</v>
      </c>
      <c r="F52" s="22"/>
      <c r="G52" s="19">
        <f t="shared" si="1"/>
        <v>1</v>
      </c>
      <c r="H52" s="19" t="str">
        <f t="shared" si="2"/>
        <v>DisciplineIncident</v>
      </c>
    </row>
    <row r="53" spans="1:8" ht="33.75">
      <c r="A53" s="19" t="s">
        <v>434</v>
      </c>
      <c r="B53" s="20" t="s">
        <v>285</v>
      </c>
      <c r="C53" s="21" t="s">
        <v>180</v>
      </c>
      <c r="D53" s="22" t="s">
        <v>181</v>
      </c>
      <c r="E53" s="22" t="s">
        <v>585</v>
      </c>
      <c r="F53" s="34" t="s">
        <v>933</v>
      </c>
      <c r="G53" s="19">
        <f t="shared" si="1"/>
        <v>0</v>
      </c>
      <c r="H53" s="19" t="str">
        <f t="shared" si="2"/>
        <v>DisciplineIncident</v>
      </c>
    </row>
    <row r="54" spans="1:8" ht="45">
      <c r="A54" s="19" t="s">
        <v>428</v>
      </c>
      <c r="B54" s="20" t="s">
        <v>285</v>
      </c>
      <c r="C54" s="21" t="s">
        <v>168</v>
      </c>
      <c r="D54" s="22" t="s">
        <v>169</v>
      </c>
      <c r="E54" s="62" t="s">
        <v>585</v>
      </c>
      <c r="F54" s="22" t="s">
        <v>932</v>
      </c>
      <c r="G54" s="19">
        <f t="shared" si="1"/>
        <v>0</v>
      </c>
      <c r="H54" s="19" t="str">
        <f t="shared" si="2"/>
        <v>DisciplineIncident</v>
      </c>
    </row>
    <row r="55" spans="1:8" ht="56.25">
      <c r="A55" s="19" t="s">
        <v>419</v>
      </c>
      <c r="B55" s="20" t="s">
        <v>285</v>
      </c>
      <c r="C55" s="21" t="s">
        <v>149</v>
      </c>
      <c r="D55" s="22" t="s">
        <v>157</v>
      </c>
      <c r="E55" s="62" t="s">
        <v>582</v>
      </c>
      <c r="F55" s="62"/>
      <c r="G55" s="19">
        <f t="shared" si="1"/>
        <v>0</v>
      </c>
      <c r="H55" s="19" t="str">
        <f t="shared" si="2"/>
        <v>DisciplineIncident</v>
      </c>
    </row>
    <row r="56" spans="1:8" ht="56.25">
      <c r="A56" s="19" t="s">
        <v>424</v>
      </c>
      <c r="B56" s="20" t="s">
        <v>285</v>
      </c>
      <c r="C56" s="21" t="s">
        <v>160</v>
      </c>
      <c r="D56" s="22" t="s">
        <v>161</v>
      </c>
      <c r="E56" s="34" t="s">
        <v>807</v>
      </c>
      <c r="F56" s="22" t="s">
        <v>930</v>
      </c>
      <c r="G56" s="19">
        <f t="shared" si="1"/>
        <v>0</v>
      </c>
      <c r="H56" s="19" t="str">
        <f t="shared" si="2"/>
        <v>DisciplineIncident</v>
      </c>
    </row>
    <row r="57" spans="1:8" ht="33.75">
      <c r="A57" s="19" t="s">
        <v>327</v>
      </c>
      <c r="B57" s="20" t="s">
        <v>285</v>
      </c>
      <c r="C57" s="21" t="s">
        <v>0</v>
      </c>
      <c r="D57" s="62" t="s">
        <v>13</v>
      </c>
      <c r="E57" s="22" t="s">
        <v>542</v>
      </c>
      <c r="G57" s="19">
        <f t="shared" si="1"/>
        <v>0</v>
      </c>
      <c r="H57" s="19" t="str">
        <f t="shared" si="2"/>
        <v>LEAInfo</v>
      </c>
    </row>
    <row r="58" spans="1:8" ht="33.75">
      <c r="A58" s="19" t="s">
        <v>427</v>
      </c>
      <c r="B58" s="20" t="s">
        <v>285</v>
      </c>
      <c r="C58" s="21" t="s">
        <v>166</v>
      </c>
      <c r="D58" s="22" t="s">
        <v>167</v>
      </c>
      <c r="E58" s="62" t="s">
        <v>586</v>
      </c>
      <c r="F58" s="22"/>
      <c r="G58" s="19">
        <f t="shared" si="1"/>
        <v>0</v>
      </c>
      <c r="H58" s="19" t="str">
        <f t="shared" si="2"/>
        <v>DisciplineIncident</v>
      </c>
    </row>
    <row r="59" spans="1:8" ht="112.5">
      <c r="A59" s="19" t="s">
        <v>435</v>
      </c>
      <c r="B59" s="20" t="s">
        <v>285</v>
      </c>
      <c r="C59" s="21" t="s">
        <v>182</v>
      </c>
      <c r="D59" s="22" t="s">
        <v>183</v>
      </c>
      <c r="E59" s="34" t="s">
        <v>881</v>
      </c>
      <c r="F59" s="34" t="s">
        <v>882</v>
      </c>
      <c r="G59" s="19">
        <f t="shared" si="1"/>
        <v>1</v>
      </c>
      <c r="H59" s="19" t="str">
        <f t="shared" si="2"/>
        <v>DisciplineIncident</v>
      </c>
    </row>
    <row r="60" spans="1:8" ht="78.75">
      <c r="A60" s="19" t="s">
        <v>437</v>
      </c>
      <c r="B60" s="20" t="s">
        <v>285</v>
      </c>
      <c r="C60" s="21" t="s">
        <v>186</v>
      </c>
      <c r="D60" s="22" t="s">
        <v>187</v>
      </c>
      <c r="E60" s="34" t="s">
        <v>883</v>
      </c>
      <c r="F60" s="34" t="s">
        <v>882</v>
      </c>
      <c r="G60" s="19">
        <f t="shared" si="1"/>
        <v>1</v>
      </c>
      <c r="H60" s="19" t="str">
        <f t="shared" si="2"/>
        <v>DisciplineIncident</v>
      </c>
    </row>
    <row r="61" spans="1:8" ht="78.75">
      <c r="A61" s="19" t="s">
        <v>436</v>
      </c>
      <c r="B61" s="20" t="s">
        <v>285</v>
      </c>
      <c r="C61" s="21" t="s">
        <v>184</v>
      </c>
      <c r="D61" s="22" t="s">
        <v>185</v>
      </c>
      <c r="E61" s="34" t="s">
        <v>884</v>
      </c>
      <c r="F61" s="34" t="s">
        <v>882</v>
      </c>
      <c r="G61" s="19">
        <f t="shared" si="1"/>
        <v>1</v>
      </c>
      <c r="H61" s="19" t="str">
        <f t="shared" si="2"/>
        <v>DisciplineIncident</v>
      </c>
    </row>
    <row r="62" spans="1:8" ht="45">
      <c r="A62" s="19" t="s">
        <v>431</v>
      </c>
      <c r="B62" s="20" t="s">
        <v>285</v>
      </c>
      <c r="C62" s="21" t="s">
        <v>174</v>
      </c>
      <c r="D62" s="22" t="s">
        <v>175</v>
      </c>
      <c r="E62" s="22" t="s">
        <v>585</v>
      </c>
      <c r="F62" s="34" t="s">
        <v>934</v>
      </c>
      <c r="G62" s="19">
        <f t="shared" si="1"/>
        <v>0</v>
      </c>
      <c r="H62" s="19" t="str">
        <f t="shared" si="2"/>
        <v>DisciplineIncident</v>
      </c>
    </row>
    <row r="63" spans="1:8" ht="22.5">
      <c r="A63" s="19" t="s">
        <v>430</v>
      </c>
      <c r="B63" s="20" t="s">
        <v>285</v>
      </c>
      <c r="C63" s="21" t="s">
        <v>172</v>
      </c>
      <c r="D63" s="22" t="s">
        <v>173</v>
      </c>
      <c r="E63" s="22" t="s">
        <v>695</v>
      </c>
      <c r="F63" s="62"/>
      <c r="G63" s="19">
        <f t="shared" si="1"/>
        <v>0</v>
      </c>
      <c r="H63" s="19" t="str">
        <f t="shared" si="2"/>
        <v>DisciplineIncident</v>
      </c>
    </row>
    <row r="64" spans="1:8" ht="67.5">
      <c r="A64" s="19" t="s">
        <v>432</v>
      </c>
      <c r="B64" s="20" t="s">
        <v>285</v>
      </c>
      <c r="C64" s="21" t="s">
        <v>176</v>
      </c>
      <c r="D64" s="22" t="s">
        <v>177</v>
      </c>
      <c r="E64" s="34" t="s">
        <v>885</v>
      </c>
      <c r="F64" s="62"/>
      <c r="G64" s="19">
        <f t="shared" si="1"/>
        <v>1</v>
      </c>
      <c r="H64" s="19" t="str">
        <f t="shared" si="2"/>
        <v>DisciplineIncident</v>
      </c>
    </row>
    <row r="65" spans="1:9" ht="45">
      <c r="A65" s="19" t="s">
        <v>329</v>
      </c>
      <c r="B65" s="20" t="s">
        <v>285</v>
      </c>
      <c r="C65" s="21" t="s">
        <v>3</v>
      </c>
      <c r="D65" s="22" t="s">
        <v>90</v>
      </c>
      <c r="E65" s="22" t="s">
        <v>521</v>
      </c>
      <c r="F65" s="22" t="s">
        <v>632</v>
      </c>
      <c r="G65" s="19">
        <f t="shared" si="1"/>
        <v>0</v>
      </c>
      <c r="H65" s="19" t="str">
        <f t="shared" si="2"/>
        <v>SchoolInfo</v>
      </c>
    </row>
    <row r="66" spans="1:9" ht="33.75">
      <c r="A66" s="19" t="s">
        <v>429</v>
      </c>
      <c r="B66" s="20" t="s">
        <v>285</v>
      </c>
      <c r="C66" s="21" t="s">
        <v>170</v>
      </c>
      <c r="D66" s="22" t="s">
        <v>171</v>
      </c>
      <c r="E66" s="62" t="s">
        <v>585</v>
      </c>
      <c r="F66" s="22" t="s">
        <v>982</v>
      </c>
      <c r="G66" s="19">
        <f t="shared" si="1"/>
        <v>0</v>
      </c>
      <c r="H66" s="19" t="str">
        <f t="shared" si="2"/>
        <v>DisciplineIncident</v>
      </c>
    </row>
    <row r="67" spans="1:9" ht="78.75">
      <c r="A67" s="19" t="s">
        <v>438</v>
      </c>
      <c r="B67" s="20" t="s">
        <v>285</v>
      </c>
      <c r="C67" s="21" t="s">
        <v>188</v>
      </c>
      <c r="D67" s="22" t="s">
        <v>189</v>
      </c>
      <c r="E67" s="34" t="s">
        <v>886</v>
      </c>
      <c r="F67" s="34" t="s">
        <v>944</v>
      </c>
      <c r="G67" s="19">
        <f t="shared" si="1"/>
        <v>1</v>
      </c>
      <c r="H67" s="19" t="str">
        <f t="shared" si="2"/>
        <v>DisciplineIncident</v>
      </c>
    </row>
    <row r="68" spans="1:9" ht="78.75">
      <c r="A68" s="19" t="s">
        <v>440</v>
      </c>
      <c r="B68" s="20" t="s">
        <v>285</v>
      </c>
      <c r="C68" s="21" t="s">
        <v>192</v>
      </c>
      <c r="D68" s="22" t="s">
        <v>193</v>
      </c>
      <c r="E68" s="34" t="s">
        <v>883</v>
      </c>
      <c r="F68" s="34" t="s">
        <v>944</v>
      </c>
      <c r="G68" s="19">
        <f t="shared" ref="G68:G132" si="3">IF(+IFERROR(+FIND("Extended",E68,1),0)&gt;0,1,0)</f>
        <v>1</v>
      </c>
      <c r="H68" s="19" t="str">
        <f t="shared" ref="H68:H100" si="4">LEFT(E68,(+SEARCH("/",E68)-1))</f>
        <v>DisciplineIncident</v>
      </c>
    </row>
    <row r="69" spans="1:9" ht="78.75">
      <c r="A69" s="19" t="s">
        <v>439</v>
      </c>
      <c r="B69" s="20" t="s">
        <v>285</v>
      </c>
      <c r="C69" s="21" t="s">
        <v>190</v>
      </c>
      <c r="D69" s="22" t="s">
        <v>191</v>
      </c>
      <c r="E69" s="34" t="s">
        <v>884</v>
      </c>
      <c r="F69" s="34" t="s">
        <v>944</v>
      </c>
      <c r="G69" s="19">
        <f t="shared" si="3"/>
        <v>1</v>
      </c>
      <c r="H69" s="19" t="str">
        <f t="shared" si="4"/>
        <v>DisciplineIncident</v>
      </c>
    </row>
    <row r="70" spans="1:9" ht="78.75">
      <c r="A70" s="19" t="s">
        <v>441</v>
      </c>
      <c r="B70" s="20" t="s">
        <v>285</v>
      </c>
      <c r="C70" s="21" t="s">
        <v>194</v>
      </c>
      <c r="D70" s="22" t="s">
        <v>195</v>
      </c>
      <c r="E70" s="34" t="s">
        <v>886</v>
      </c>
      <c r="F70" s="34" t="s">
        <v>945</v>
      </c>
      <c r="G70" s="19">
        <f t="shared" si="3"/>
        <v>1</v>
      </c>
      <c r="H70" s="19" t="str">
        <f t="shared" si="4"/>
        <v>DisciplineIncident</v>
      </c>
    </row>
    <row r="71" spans="1:9" ht="78.75">
      <c r="A71" s="19" t="s">
        <v>443</v>
      </c>
      <c r="B71" s="20" t="s">
        <v>285</v>
      </c>
      <c r="C71" s="21" t="s">
        <v>198</v>
      </c>
      <c r="D71" s="22" t="s">
        <v>199</v>
      </c>
      <c r="E71" s="34" t="s">
        <v>883</v>
      </c>
      <c r="F71" s="34" t="s">
        <v>945</v>
      </c>
      <c r="G71" s="19">
        <f t="shared" si="3"/>
        <v>1</v>
      </c>
      <c r="H71" s="19" t="str">
        <f t="shared" si="4"/>
        <v>DisciplineIncident</v>
      </c>
    </row>
    <row r="72" spans="1:9" ht="78.75">
      <c r="A72" s="19" t="s">
        <v>442</v>
      </c>
      <c r="B72" s="20" t="s">
        <v>285</v>
      </c>
      <c r="C72" s="21" t="s">
        <v>196</v>
      </c>
      <c r="D72" s="22" t="s">
        <v>197</v>
      </c>
      <c r="E72" s="34" t="s">
        <v>884</v>
      </c>
      <c r="F72" s="34" t="s">
        <v>945</v>
      </c>
      <c r="G72" s="19">
        <f t="shared" si="3"/>
        <v>1</v>
      </c>
      <c r="H72" s="19" t="str">
        <f t="shared" si="4"/>
        <v>DisciplineIncident</v>
      </c>
    </row>
    <row r="73" spans="1:9" ht="78.75">
      <c r="A73" s="19" t="s">
        <v>444</v>
      </c>
      <c r="B73" s="20" t="s">
        <v>285</v>
      </c>
      <c r="C73" s="21" t="s">
        <v>200</v>
      </c>
      <c r="D73" s="22" t="s">
        <v>195</v>
      </c>
      <c r="E73" s="34" t="s">
        <v>886</v>
      </c>
      <c r="F73" s="34" t="s">
        <v>946</v>
      </c>
      <c r="G73" s="19">
        <f t="shared" si="3"/>
        <v>1</v>
      </c>
      <c r="H73" s="19" t="str">
        <f t="shared" si="4"/>
        <v>DisciplineIncident</v>
      </c>
    </row>
    <row r="74" spans="1:9" ht="78.75">
      <c r="A74" s="19" t="s">
        <v>446</v>
      </c>
      <c r="B74" s="20" t="s">
        <v>285</v>
      </c>
      <c r="C74" s="21" t="s">
        <v>202</v>
      </c>
      <c r="D74" s="22" t="s">
        <v>199</v>
      </c>
      <c r="E74" s="34" t="s">
        <v>883</v>
      </c>
      <c r="F74" s="34" t="s">
        <v>946</v>
      </c>
      <c r="G74" s="19">
        <f t="shared" si="3"/>
        <v>1</v>
      </c>
      <c r="H74" s="19" t="str">
        <f t="shared" si="4"/>
        <v>DisciplineIncident</v>
      </c>
    </row>
    <row r="75" spans="1:9" ht="78.75">
      <c r="A75" s="19" t="s">
        <v>445</v>
      </c>
      <c r="B75" s="20" t="s">
        <v>285</v>
      </c>
      <c r="C75" s="21" t="s">
        <v>201</v>
      </c>
      <c r="D75" s="22" t="s">
        <v>197</v>
      </c>
      <c r="E75" s="34" t="s">
        <v>884</v>
      </c>
      <c r="F75" s="34" t="s">
        <v>946</v>
      </c>
      <c r="G75" s="19">
        <f t="shared" si="3"/>
        <v>1</v>
      </c>
      <c r="H75" s="19" t="str">
        <f t="shared" si="4"/>
        <v>DisciplineIncident</v>
      </c>
    </row>
    <row r="76" spans="1:9" ht="78.75">
      <c r="A76" s="19" t="s">
        <v>447</v>
      </c>
      <c r="B76" s="20" t="s">
        <v>285</v>
      </c>
      <c r="C76" s="21" t="s">
        <v>203</v>
      </c>
      <c r="D76" s="22" t="s">
        <v>195</v>
      </c>
      <c r="E76" s="34" t="s">
        <v>886</v>
      </c>
      <c r="F76" s="34" t="s">
        <v>947</v>
      </c>
      <c r="G76" s="19">
        <f t="shared" si="3"/>
        <v>1</v>
      </c>
      <c r="H76" s="19" t="str">
        <f t="shared" si="4"/>
        <v>DisciplineIncident</v>
      </c>
    </row>
    <row r="77" spans="1:9" ht="78.75">
      <c r="A77" s="19" t="s">
        <v>449</v>
      </c>
      <c r="B77" s="20" t="s">
        <v>285</v>
      </c>
      <c r="C77" s="21" t="s">
        <v>205</v>
      </c>
      <c r="D77" s="22" t="s">
        <v>199</v>
      </c>
      <c r="E77" s="34" t="s">
        <v>883</v>
      </c>
      <c r="F77" s="34" t="s">
        <v>947</v>
      </c>
      <c r="G77" s="19">
        <f t="shared" si="3"/>
        <v>1</v>
      </c>
      <c r="H77" s="19" t="str">
        <f t="shared" si="4"/>
        <v>DisciplineIncident</v>
      </c>
    </row>
    <row r="78" spans="1:9" ht="78.75">
      <c r="A78" s="19" t="s">
        <v>448</v>
      </c>
      <c r="B78" s="20" t="s">
        <v>285</v>
      </c>
      <c r="C78" s="21" t="s">
        <v>204</v>
      </c>
      <c r="D78" s="22" t="s">
        <v>197</v>
      </c>
      <c r="E78" s="34" t="s">
        <v>884</v>
      </c>
      <c r="F78" s="34" t="s">
        <v>947</v>
      </c>
      <c r="G78" s="19">
        <f t="shared" si="3"/>
        <v>1</v>
      </c>
      <c r="H78" s="19" t="str">
        <f t="shared" si="4"/>
        <v>DisciplineIncident</v>
      </c>
    </row>
    <row r="79" spans="1:9" ht="168.75">
      <c r="A79" s="19" t="s">
        <v>325</v>
      </c>
      <c r="B79" s="20" t="s">
        <v>285</v>
      </c>
      <c r="C79" s="21" t="s">
        <v>14</v>
      </c>
      <c r="D79" s="22" t="s">
        <v>75</v>
      </c>
      <c r="E79" s="22" t="s">
        <v>917</v>
      </c>
      <c r="F79" s="62" t="s">
        <v>806</v>
      </c>
      <c r="G79" s="19">
        <f t="shared" si="3"/>
        <v>1</v>
      </c>
      <c r="H79" s="19" t="str">
        <f t="shared" si="4"/>
        <v>StudentPersonal</v>
      </c>
    </row>
    <row r="80" spans="1:9" ht="202.5">
      <c r="A80" s="32" t="s">
        <v>993</v>
      </c>
      <c r="B80" s="33" t="s">
        <v>237</v>
      </c>
      <c r="C80" s="24" t="s">
        <v>1001</v>
      </c>
      <c r="D80" s="24" t="s">
        <v>994</v>
      </c>
      <c r="E80" s="24" t="s">
        <v>1007</v>
      </c>
      <c r="F80" s="31" t="s">
        <v>1008</v>
      </c>
      <c r="H80" s="19" t="str">
        <f t="shared" si="4"/>
        <v>SchoolInfo</v>
      </c>
      <c r="I80" s="64"/>
    </row>
    <row r="81" spans="1:8" ht="45">
      <c r="A81" s="19" t="s">
        <v>367</v>
      </c>
      <c r="B81" s="20" t="s">
        <v>237</v>
      </c>
      <c r="C81" s="21" t="s">
        <v>256</v>
      </c>
      <c r="D81" s="22" t="s">
        <v>257</v>
      </c>
      <c r="E81" s="22" t="s">
        <v>570</v>
      </c>
      <c r="F81" s="62"/>
      <c r="G81" s="19">
        <f t="shared" si="3"/>
        <v>0</v>
      </c>
      <c r="H81" s="19" t="str">
        <f t="shared" si="4"/>
        <v>StudentPersonal</v>
      </c>
    </row>
    <row r="82" spans="1:8" ht="63.75">
      <c r="A82" s="19" t="s">
        <v>380</v>
      </c>
      <c r="B82" s="20" t="s">
        <v>237</v>
      </c>
      <c r="C82" s="21" t="s">
        <v>386</v>
      </c>
      <c r="D82" s="53" t="s">
        <v>713</v>
      </c>
      <c r="E82" s="22" t="s">
        <v>898</v>
      </c>
      <c r="F82" s="62"/>
      <c r="G82" s="19">
        <f t="shared" si="3"/>
        <v>1</v>
      </c>
      <c r="H82" s="19" t="str">
        <f t="shared" si="4"/>
        <v>StudentPersonal</v>
      </c>
    </row>
    <row r="83" spans="1:8" ht="45">
      <c r="A83" s="19" t="s">
        <v>337</v>
      </c>
      <c r="B83" s="20" t="s">
        <v>237</v>
      </c>
      <c r="C83" s="21" t="s">
        <v>30</v>
      </c>
      <c r="D83" s="22" t="s">
        <v>31</v>
      </c>
      <c r="E83" s="22" t="s">
        <v>557</v>
      </c>
      <c r="F83" s="62"/>
      <c r="G83" s="19">
        <f t="shared" si="3"/>
        <v>0</v>
      </c>
      <c r="H83" s="19" t="str">
        <f t="shared" si="4"/>
        <v>StudentPersonal</v>
      </c>
    </row>
    <row r="84" spans="1:8" ht="56.25">
      <c r="A84" s="19" t="s">
        <v>340</v>
      </c>
      <c r="B84" s="20" t="s">
        <v>237</v>
      </c>
      <c r="C84" s="21" t="s">
        <v>32</v>
      </c>
      <c r="D84" s="22" t="s">
        <v>33</v>
      </c>
      <c r="E84" s="22" t="s">
        <v>557</v>
      </c>
      <c r="F84" s="62"/>
      <c r="G84" s="19">
        <f t="shared" si="3"/>
        <v>0</v>
      </c>
      <c r="H84" s="19" t="str">
        <f t="shared" si="4"/>
        <v>StudentPersonal</v>
      </c>
    </row>
    <row r="85" spans="1:8" ht="22.5">
      <c r="A85" s="19" t="s">
        <v>336</v>
      </c>
      <c r="B85" s="20" t="s">
        <v>237</v>
      </c>
      <c r="C85" s="21" t="s">
        <v>24</v>
      </c>
      <c r="D85" s="22" t="s">
        <v>25</v>
      </c>
      <c r="E85" s="22" t="s">
        <v>554</v>
      </c>
      <c r="G85" s="19">
        <f t="shared" si="3"/>
        <v>0</v>
      </c>
      <c r="H85" s="19" t="str">
        <f t="shared" si="4"/>
        <v>StudentPersonal</v>
      </c>
    </row>
    <row r="86" spans="1:8" ht="33.75">
      <c r="A86" s="19" t="s">
        <v>341</v>
      </c>
      <c r="B86" s="20" t="s">
        <v>237</v>
      </c>
      <c r="C86" s="21" t="s">
        <v>34</v>
      </c>
      <c r="D86" s="22" t="s">
        <v>35</v>
      </c>
      <c r="E86" s="22" t="s">
        <v>557</v>
      </c>
      <c r="F86" s="62"/>
      <c r="G86" s="19">
        <f t="shared" si="3"/>
        <v>0</v>
      </c>
      <c r="H86" s="19" t="str">
        <f t="shared" si="4"/>
        <v>StudentPersonal</v>
      </c>
    </row>
    <row r="87" spans="1:8" ht="56.25">
      <c r="A87" s="19" t="s">
        <v>350</v>
      </c>
      <c r="B87" s="20" t="s">
        <v>237</v>
      </c>
      <c r="C87" s="21" t="s">
        <v>52</v>
      </c>
      <c r="D87" s="22" t="s">
        <v>53</v>
      </c>
      <c r="E87" s="22" t="s">
        <v>899</v>
      </c>
      <c r="F87" s="18" t="s">
        <v>595</v>
      </c>
      <c r="G87" s="19">
        <f t="shared" si="3"/>
        <v>1</v>
      </c>
      <c r="H87" s="19" t="str">
        <f t="shared" si="4"/>
        <v>StudentPersonal</v>
      </c>
    </row>
    <row r="88" spans="1:8" ht="78.75">
      <c r="A88" s="19" t="s">
        <v>371</v>
      </c>
      <c r="B88" s="20" t="s">
        <v>237</v>
      </c>
      <c r="C88" s="21" t="s">
        <v>267</v>
      </c>
      <c r="D88" s="22" t="s">
        <v>816</v>
      </c>
      <c r="E88" s="22" t="s">
        <v>900</v>
      </c>
      <c r="F88" s="62"/>
      <c r="G88" s="19">
        <f t="shared" si="3"/>
        <v>1</v>
      </c>
      <c r="H88" s="19" t="str">
        <f t="shared" si="4"/>
        <v>StudentPersonal</v>
      </c>
    </row>
    <row r="89" spans="1:8" ht="101.25">
      <c r="A89" s="19" t="s">
        <v>526</v>
      </c>
      <c r="B89" s="20" t="s">
        <v>237</v>
      </c>
      <c r="C89" s="21" t="s">
        <v>970</v>
      </c>
      <c r="D89" s="22" t="s">
        <v>973</v>
      </c>
      <c r="E89" s="22" t="s">
        <v>1058</v>
      </c>
      <c r="F89" s="67" t="s">
        <v>1059</v>
      </c>
      <c r="G89" s="19">
        <f t="shared" si="3"/>
        <v>0</v>
      </c>
      <c r="H89" s="19" t="str">
        <f t="shared" si="4"/>
        <v>StudentAttendanceSummary</v>
      </c>
    </row>
    <row r="90" spans="1:8" ht="101.25">
      <c r="A90" s="19" t="s">
        <v>365</v>
      </c>
      <c r="B90" s="20" t="s">
        <v>237</v>
      </c>
      <c r="C90" s="21" t="s">
        <v>250</v>
      </c>
      <c r="D90" s="22" t="s">
        <v>251</v>
      </c>
      <c r="E90" s="22" t="s">
        <v>901</v>
      </c>
      <c r="G90" s="19">
        <f t="shared" si="3"/>
        <v>1</v>
      </c>
      <c r="H90" s="19" t="str">
        <f t="shared" si="4"/>
        <v>StudentPersonal</v>
      </c>
    </row>
    <row r="91" spans="1:8" ht="45">
      <c r="A91" s="19" t="s">
        <v>354</v>
      </c>
      <c r="B91" s="20" t="s">
        <v>237</v>
      </c>
      <c r="C91" s="21" t="s">
        <v>60</v>
      </c>
      <c r="D91" s="22" t="s">
        <v>61</v>
      </c>
      <c r="E91" s="22" t="s">
        <v>564</v>
      </c>
      <c r="F91" s="18" t="s">
        <v>707</v>
      </c>
      <c r="G91" s="19">
        <f t="shared" si="3"/>
        <v>0</v>
      </c>
      <c r="H91" s="19" t="str">
        <f t="shared" si="4"/>
        <v>StudentPersonal</v>
      </c>
    </row>
    <row r="92" spans="1:8" ht="56.25">
      <c r="A92" s="19" t="s">
        <v>368</v>
      </c>
      <c r="B92" s="20" t="s">
        <v>237</v>
      </c>
      <c r="C92" s="21" t="s">
        <v>258</v>
      </c>
      <c r="D92" s="22" t="s">
        <v>259</v>
      </c>
      <c r="E92" s="22" t="s">
        <v>902</v>
      </c>
      <c r="G92" s="19">
        <f t="shared" si="3"/>
        <v>1</v>
      </c>
      <c r="H92" s="19" t="str">
        <f t="shared" si="4"/>
        <v>StudentPersonal</v>
      </c>
    </row>
    <row r="93" spans="1:8" ht="67.5">
      <c r="A93" s="19" t="s">
        <v>362</v>
      </c>
      <c r="B93" s="20" t="s">
        <v>237</v>
      </c>
      <c r="C93" s="21" t="s">
        <v>244</v>
      </c>
      <c r="D93" s="22" t="s">
        <v>245</v>
      </c>
      <c r="E93" s="22" t="s">
        <v>903</v>
      </c>
      <c r="F93" s="62"/>
      <c r="G93" s="19">
        <f t="shared" si="3"/>
        <v>1</v>
      </c>
      <c r="H93" s="19" t="str">
        <f t="shared" si="4"/>
        <v>StudentPersonal</v>
      </c>
    </row>
    <row r="94" spans="1:8" ht="56.25">
      <c r="A94" s="19" t="s">
        <v>360</v>
      </c>
      <c r="B94" s="20" t="s">
        <v>237</v>
      </c>
      <c r="C94" s="21" t="s">
        <v>72</v>
      </c>
      <c r="D94" s="22" t="s">
        <v>73</v>
      </c>
      <c r="E94" s="22" t="s">
        <v>596</v>
      </c>
      <c r="F94" s="26" t="s">
        <v>597</v>
      </c>
      <c r="G94" s="19">
        <f t="shared" si="3"/>
        <v>0</v>
      </c>
      <c r="H94" s="19" t="str">
        <f t="shared" si="4"/>
        <v>StudentPersonal</v>
      </c>
    </row>
    <row r="95" spans="1:8" ht="56.25">
      <c r="A95" s="19" t="s">
        <v>361</v>
      </c>
      <c r="B95" s="20" t="s">
        <v>237</v>
      </c>
      <c r="C95" s="21" t="s">
        <v>242</v>
      </c>
      <c r="D95" s="22" t="s">
        <v>243</v>
      </c>
      <c r="E95" s="22" t="s">
        <v>596</v>
      </c>
      <c r="F95" s="26" t="s">
        <v>598</v>
      </c>
      <c r="G95" s="19">
        <f t="shared" si="3"/>
        <v>0</v>
      </c>
      <c r="H95" s="19" t="str">
        <f t="shared" si="4"/>
        <v>StudentPersonal</v>
      </c>
    </row>
    <row r="96" spans="1:8" ht="22.5">
      <c r="A96" s="19" t="s">
        <v>345</v>
      </c>
      <c r="B96" s="20" t="s">
        <v>237</v>
      </c>
      <c r="C96" s="21" t="s">
        <v>42</v>
      </c>
      <c r="D96" s="22" t="s">
        <v>43</v>
      </c>
      <c r="E96" s="22" t="s">
        <v>559</v>
      </c>
      <c r="F96" s="27"/>
      <c r="G96" s="19">
        <f t="shared" si="3"/>
        <v>0</v>
      </c>
      <c r="H96" s="19" t="str">
        <f t="shared" si="4"/>
        <v>StudentSchoolEnrollment</v>
      </c>
    </row>
    <row r="97" spans="1:8" ht="56.25">
      <c r="A97" s="19" t="s">
        <v>338</v>
      </c>
      <c r="B97" s="20" t="s">
        <v>237</v>
      </c>
      <c r="C97" s="21" t="s">
        <v>28</v>
      </c>
      <c r="D97" s="22" t="s">
        <v>29</v>
      </c>
      <c r="E97" s="22" t="s">
        <v>556</v>
      </c>
      <c r="F97" s="62"/>
      <c r="G97" s="19">
        <f t="shared" si="3"/>
        <v>0</v>
      </c>
      <c r="H97" s="19" t="str">
        <f t="shared" si="4"/>
        <v>StudentPersonal</v>
      </c>
    </row>
    <row r="98" spans="1:8" ht="33.75">
      <c r="A98" s="19" t="s">
        <v>347</v>
      </c>
      <c r="B98" s="20" t="s">
        <v>237</v>
      </c>
      <c r="C98" s="21" t="s">
        <v>46</v>
      </c>
      <c r="D98" s="22" t="s">
        <v>47</v>
      </c>
      <c r="E98" s="22" t="s">
        <v>561</v>
      </c>
      <c r="G98" s="19">
        <f t="shared" si="3"/>
        <v>0</v>
      </c>
      <c r="H98" s="19" t="str">
        <f t="shared" si="4"/>
        <v>StudentSchoolEnrollment</v>
      </c>
    </row>
    <row r="99" spans="1:8" ht="22.5">
      <c r="A99" s="19" t="s">
        <v>346</v>
      </c>
      <c r="B99" s="20" t="s">
        <v>237</v>
      </c>
      <c r="C99" s="21" t="s">
        <v>44</v>
      </c>
      <c r="D99" s="22" t="s">
        <v>45</v>
      </c>
      <c r="E99" s="22" t="s">
        <v>560</v>
      </c>
      <c r="G99" s="19">
        <f t="shared" si="3"/>
        <v>0</v>
      </c>
      <c r="H99" s="19" t="str">
        <f t="shared" si="4"/>
        <v>StudentSchoolEnrollment</v>
      </c>
    </row>
    <row r="100" spans="1:8" ht="67.5">
      <c r="A100" s="19" t="s">
        <v>359</v>
      </c>
      <c r="B100" s="20" t="s">
        <v>237</v>
      </c>
      <c r="C100" s="21" t="s">
        <v>70</v>
      </c>
      <c r="D100" s="22" t="s">
        <v>71</v>
      </c>
      <c r="E100" s="22" t="s">
        <v>568</v>
      </c>
      <c r="F100" s="62"/>
      <c r="G100" s="19">
        <f t="shared" si="3"/>
        <v>0</v>
      </c>
      <c r="H100" s="19" t="str">
        <f t="shared" si="4"/>
        <v>StudentPersonal</v>
      </c>
    </row>
    <row r="101" spans="1:8" ht="33.75">
      <c r="A101" s="19" t="s">
        <v>334</v>
      </c>
      <c r="B101" s="20" t="s">
        <v>237</v>
      </c>
      <c r="C101" s="21" t="s">
        <v>20</v>
      </c>
      <c r="D101" s="22" t="s">
        <v>21</v>
      </c>
      <c r="E101" s="22" t="s">
        <v>552</v>
      </c>
      <c r="G101" s="19">
        <f t="shared" si="3"/>
        <v>0</v>
      </c>
      <c r="H101" s="19" t="str">
        <f t="shared" ref="H101:H128" si="5">LEFT(E101,(+SEARCH("/",E101)-1))</f>
        <v>StudentPersonal</v>
      </c>
    </row>
    <row r="102" spans="1:8" ht="22.5">
      <c r="A102" s="19" t="s">
        <v>339</v>
      </c>
      <c r="B102" s="20" t="s">
        <v>237</v>
      </c>
      <c r="C102" s="21" t="s">
        <v>26</v>
      </c>
      <c r="D102" s="22" t="s">
        <v>27</v>
      </c>
      <c r="E102" s="22" t="s">
        <v>555</v>
      </c>
      <c r="G102" s="19">
        <f t="shared" si="3"/>
        <v>0</v>
      </c>
      <c r="H102" s="19" t="str">
        <f t="shared" si="5"/>
        <v>StudentPersonal</v>
      </c>
    </row>
    <row r="103" spans="1:8" ht="67.5">
      <c r="A103" s="19" t="s">
        <v>366</v>
      </c>
      <c r="B103" s="20" t="s">
        <v>237</v>
      </c>
      <c r="C103" s="21" t="s">
        <v>254</v>
      </c>
      <c r="D103" s="22" t="s">
        <v>255</v>
      </c>
      <c r="E103" s="22" t="s">
        <v>569</v>
      </c>
      <c r="G103" s="19">
        <f t="shared" si="3"/>
        <v>0</v>
      </c>
      <c r="H103" s="19" t="str">
        <f t="shared" si="5"/>
        <v>StudentPersonal</v>
      </c>
    </row>
    <row r="104" spans="1:8" ht="22.5">
      <c r="A104" s="19" t="s">
        <v>344</v>
      </c>
      <c r="B104" s="20" t="s">
        <v>237</v>
      </c>
      <c r="C104" s="21" t="s">
        <v>40</v>
      </c>
      <c r="D104" s="22" t="s">
        <v>41</v>
      </c>
      <c r="E104" s="22" t="s">
        <v>558</v>
      </c>
      <c r="G104" s="19">
        <f t="shared" si="3"/>
        <v>0</v>
      </c>
      <c r="H104" s="19" t="str">
        <f t="shared" si="5"/>
        <v>StudentPersonal</v>
      </c>
    </row>
    <row r="105" spans="1:8" ht="56.25">
      <c r="A105" s="19" t="s">
        <v>342</v>
      </c>
      <c r="B105" s="20" t="s">
        <v>237</v>
      </c>
      <c r="C105" s="21" t="s">
        <v>36</v>
      </c>
      <c r="D105" s="22" t="s">
        <v>37</v>
      </c>
      <c r="E105" s="22" t="s">
        <v>557</v>
      </c>
      <c r="F105" s="62"/>
      <c r="G105" s="19">
        <f t="shared" si="3"/>
        <v>0</v>
      </c>
      <c r="H105" s="19" t="str">
        <f t="shared" si="5"/>
        <v>StudentPersonal</v>
      </c>
    </row>
    <row r="106" spans="1:8" ht="102">
      <c r="A106" s="19" t="s">
        <v>348</v>
      </c>
      <c r="B106" s="20" t="s">
        <v>237</v>
      </c>
      <c r="C106" s="21" t="s">
        <v>48</v>
      </c>
      <c r="D106" s="22" t="s">
        <v>49</v>
      </c>
      <c r="E106" s="22" t="s">
        <v>904</v>
      </c>
      <c r="F106" s="25" t="s">
        <v>825</v>
      </c>
      <c r="G106" s="19">
        <f t="shared" si="3"/>
        <v>1</v>
      </c>
      <c r="H106" s="19" t="str">
        <f t="shared" si="5"/>
        <v>StudentPersonal</v>
      </c>
    </row>
    <row r="107" spans="1:8" ht="33.75">
      <c r="A107" s="19" t="s">
        <v>358</v>
      </c>
      <c r="B107" s="20" t="s">
        <v>237</v>
      </c>
      <c r="C107" s="21" t="s">
        <v>68</v>
      </c>
      <c r="D107" s="22" t="s">
        <v>69</v>
      </c>
      <c r="E107" s="22" t="s">
        <v>567</v>
      </c>
      <c r="F107" s="62"/>
      <c r="G107" s="19">
        <f t="shared" si="3"/>
        <v>0</v>
      </c>
      <c r="H107" s="19" t="str">
        <f t="shared" si="5"/>
        <v>StudentPersonal</v>
      </c>
    </row>
    <row r="108" spans="1:8" ht="101.25">
      <c r="A108" s="19" t="s">
        <v>376</v>
      </c>
      <c r="B108" s="20" t="s">
        <v>237</v>
      </c>
      <c r="C108" s="21" t="s">
        <v>276</v>
      </c>
      <c r="D108" s="22" t="s">
        <v>277</v>
      </c>
      <c r="E108" s="22" t="s">
        <v>573</v>
      </c>
      <c r="G108" s="19">
        <f t="shared" si="3"/>
        <v>0</v>
      </c>
      <c r="H108" s="19" t="str">
        <f t="shared" si="5"/>
        <v>StudentPersonal</v>
      </c>
    </row>
    <row r="109" spans="1:8" ht="67.5">
      <c r="A109" s="19" t="s">
        <v>373</v>
      </c>
      <c r="B109" s="20" t="s">
        <v>237</v>
      </c>
      <c r="C109" s="21" t="s">
        <v>270</v>
      </c>
      <c r="D109" s="22" t="s">
        <v>271</v>
      </c>
      <c r="E109" s="22" t="s">
        <v>958</v>
      </c>
      <c r="G109" s="19">
        <f t="shared" si="3"/>
        <v>1</v>
      </c>
      <c r="H109" s="19" t="str">
        <f t="shared" si="5"/>
        <v>StudentSchoolEnrollment</v>
      </c>
    </row>
    <row r="110" spans="1:8" ht="33.75">
      <c r="A110" s="19" t="s">
        <v>398</v>
      </c>
      <c r="B110" s="20" t="s">
        <v>237</v>
      </c>
      <c r="C110" s="21" t="s">
        <v>18</v>
      </c>
      <c r="D110" s="63" t="s">
        <v>19</v>
      </c>
      <c r="E110" s="22" t="s">
        <v>551</v>
      </c>
      <c r="G110" s="19">
        <f t="shared" si="3"/>
        <v>0</v>
      </c>
      <c r="H110" s="19" t="str">
        <f t="shared" si="5"/>
        <v>StudentPersonal</v>
      </c>
    </row>
    <row r="111" spans="1:8" ht="33.75">
      <c r="A111" s="19" t="s">
        <v>327</v>
      </c>
      <c r="B111" s="20" t="s">
        <v>237</v>
      </c>
      <c r="C111" s="21" t="s">
        <v>0</v>
      </c>
      <c r="D111" s="22" t="s">
        <v>13</v>
      </c>
      <c r="E111" s="22" t="s">
        <v>542</v>
      </c>
      <c r="G111" s="19">
        <f t="shared" si="3"/>
        <v>0</v>
      </c>
      <c r="H111" s="19" t="str">
        <f t="shared" si="5"/>
        <v>LEAInfo</v>
      </c>
    </row>
    <row r="112" spans="1:8" ht="56.25">
      <c r="A112" s="19" t="s">
        <v>353</v>
      </c>
      <c r="B112" s="20" t="s">
        <v>237</v>
      </c>
      <c r="C112" s="21" t="s">
        <v>58</v>
      </c>
      <c r="D112" s="22" t="s">
        <v>59</v>
      </c>
      <c r="E112" s="22" t="s">
        <v>905</v>
      </c>
      <c r="G112" s="19">
        <f t="shared" si="3"/>
        <v>1</v>
      </c>
      <c r="H112" s="19" t="str">
        <f t="shared" si="5"/>
        <v>StudentPersonal</v>
      </c>
    </row>
    <row r="113" spans="1:9" ht="56.25">
      <c r="A113" s="19" t="s">
        <v>364</v>
      </c>
      <c r="B113" s="20" t="s">
        <v>237</v>
      </c>
      <c r="C113" s="21" t="s">
        <v>248</v>
      </c>
      <c r="D113" s="22" t="s">
        <v>249</v>
      </c>
      <c r="E113" s="22" t="s">
        <v>906</v>
      </c>
      <c r="F113" s="62"/>
      <c r="G113" s="19">
        <f t="shared" si="3"/>
        <v>1</v>
      </c>
      <c r="H113" s="19" t="str">
        <f t="shared" si="5"/>
        <v>StudentPersonal</v>
      </c>
    </row>
    <row r="114" spans="1:9" ht="33.75">
      <c r="A114" s="19" t="s">
        <v>335</v>
      </c>
      <c r="B114" s="20" t="s">
        <v>237</v>
      </c>
      <c r="C114" s="21" t="s">
        <v>22</v>
      </c>
      <c r="D114" s="22" t="s">
        <v>23</v>
      </c>
      <c r="E114" s="22" t="s">
        <v>553</v>
      </c>
      <c r="F114" s="62"/>
      <c r="G114" s="19">
        <f t="shared" si="3"/>
        <v>0</v>
      </c>
      <c r="H114" s="19" t="str">
        <f t="shared" si="5"/>
        <v>StudentPersonal</v>
      </c>
    </row>
    <row r="115" spans="1:9" ht="67.5">
      <c r="A115" s="19" t="s">
        <v>357</v>
      </c>
      <c r="B115" s="20" t="s">
        <v>237</v>
      </c>
      <c r="C115" s="21" t="s">
        <v>66</v>
      </c>
      <c r="D115" s="22" t="s">
        <v>67</v>
      </c>
      <c r="E115" s="22" t="s">
        <v>566</v>
      </c>
      <c r="G115" s="19">
        <f t="shared" si="3"/>
        <v>0</v>
      </c>
      <c r="H115" s="19" t="str">
        <f t="shared" si="5"/>
        <v>StudentPersonal</v>
      </c>
    </row>
    <row r="116" spans="1:9" ht="112.5">
      <c r="A116" s="19" t="s">
        <v>374</v>
      </c>
      <c r="B116" s="20" t="s">
        <v>237</v>
      </c>
      <c r="C116" s="21" t="s">
        <v>272</v>
      </c>
      <c r="D116" s="22" t="s">
        <v>273</v>
      </c>
      <c r="E116" s="22" t="s">
        <v>907</v>
      </c>
      <c r="F116" s="62"/>
      <c r="G116" s="19">
        <f t="shared" si="3"/>
        <v>1</v>
      </c>
      <c r="H116" s="19" t="str">
        <f t="shared" si="5"/>
        <v>StudentPersonal</v>
      </c>
    </row>
    <row r="117" spans="1:9" ht="78.75">
      <c r="A117" s="19" t="s">
        <v>369</v>
      </c>
      <c r="B117" s="20" t="s">
        <v>237</v>
      </c>
      <c r="C117" s="21" t="s">
        <v>260</v>
      </c>
      <c r="D117" s="22" t="s">
        <v>261</v>
      </c>
      <c r="E117" s="22" t="s">
        <v>955</v>
      </c>
      <c r="G117" s="19">
        <f t="shared" si="3"/>
        <v>1</v>
      </c>
      <c r="H117" s="19" t="str">
        <f t="shared" si="5"/>
        <v>StudentSchoolEnrollment</v>
      </c>
    </row>
    <row r="118" spans="1:9" s="29" customFormat="1" ht="90">
      <c r="A118" s="19" t="s">
        <v>523</v>
      </c>
      <c r="B118" s="20" t="s">
        <v>237</v>
      </c>
      <c r="C118" s="21" t="s">
        <v>262</v>
      </c>
      <c r="D118" s="22" t="s">
        <v>263</v>
      </c>
      <c r="E118" s="22" t="s">
        <v>908</v>
      </c>
      <c r="F118" s="62"/>
      <c r="G118" s="19">
        <f t="shared" si="3"/>
        <v>1</v>
      </c>
      <c r="H118" s="19" t="str">
        <f t="shared" si="5"/>
        <v>StudentPersonal</v>
      </c>
      <c r="I118" s="18"/>
    </row>
    <row r="119" spans="1:9" ht="90">
      <c r="A119" s="19" t="s">
        <v>524</v>
      </c>
      <c r="B119" s="20" t="s">
        <v>237</v>
      </c>
      <c r="C119" s="21" t="s">
        <v>264</v>
      </c>
      <c r="D119" s="22" t="s">
        <v>265</v>
      </c>
      <c r="E119" s="24" t="s">
        <v>909</v>
      </c>
      <c r="G119" s="19">
        <f t="shared" si="3"/>
        <v>1</v>
      </c>
      <c r="H119" s="19" t="str">
        <f t="shared" si="5"/>
        <v>StudentPersonal</v>
      </c>
    </row>
    <row r="120" spans="1:9" ht="56.25">
      <c r="A120" s="19" t="s">
        <v>349</v>
      </c>
      <c r="B120" s="20" t="s">
        <v>237</v>
      </c>
      <c r="C120" s="21" t="s">
        <v>50</v>
      </c>
      <c r="D120" s="22" t="s">
        <v>51</v>
      </c>
      <c r="E120" s="22" t="s">
        <v>959</v>
      </c>
      <c r="F120" s="62"/>
      <c r="G120" s="19">
        <f t="shared" si="3"/>
        <v>1</v>
      </c>
      <c r="H120" s="19" t="str">
        <f t="shared" si="5"/>
        <v>StudentSchoolEnrollment</v>
      </c>
    </row>
    <row r="121" spans="1:9" ht="45">
      <c r="A121" s="19" t="s">
        <v>356</v>
      </c>
      <c r="B121" s="20" t="s">
        <v>237</v>
      </c>
      <c r="C121" s="21" t="s">
        <v>64</v>
      </c>
      <c r="D121" s="22" t="s">
        <v>65</v>
      </c>
      <c r="E121" s="22" t="s">
        <v>565</v>
      </c>
      <c r="F121" s="62"/>
      <c r="G121" s="19">
        <f t="shared" si="3"/>
        <v>0</v>
      </c>
      <c r="H121" s="19" t="str">
        <f t="shared" si="5"/>
        <v>StudentPersonal</v>
      </c>
    </row>
    <row r="122" spans="1:9" ht="56.25">
      <c r="A122" s="19" t="s">
        <v>379</v>
      </c>
      <c r="B122" s="20" t="s">
        <v>237</v>
      </c>
      <c r="C122" s="21" t="s">
        <v>282</v>
      </c>
      <c r="D122" s="22" t="s">
        <v>283</v>
      </c>
      <c r="E122" s="22" t="s">
        <v>910</v>
      </c>
      <c r="G122" s="19">
        <f t="shared" si="3"/>
        <v>1</v>
      </c>
      <c r="H122" s="19" t="str">
        <f t="shared" si="5"/>
        <v>StudentPersonal</v>
      </c>
    </row>
    <row r="123" spans="1:9" ht="56.25">
      <c r="A123" s="19" t="s">
        <v>377</v>
      </c>
      <c r="B123" s="20" t="s">
        <v>237</v>
      </c>
      <c r="C123" s="21" t="s">
        <v>278</v>
      </c>
      <c r="D123" s="22" t="s">
        <v>279</v>
      </c>
      <c r="E123" s="22" t="s">
        <v>911</v>
      </c>
      <c r="G123" s="19">
        <f t="shared" si="3"/>
        <v>1</v>
      </c>
      <c r="H123" s="19" t="str">
        <f t="shared" si="5"/>
        <v>StudentPersonal</v>
      </c>
    </row>
    <row r="124" spans="1:9" ht="56.25">
      <c r="A124" s="19" t="s">
        <v>378</v>
      </c>
      <c r="B124" s="20" t="s">
        <v>237</v>
      </c>
      <c r="C124" s="21" t="s">
        <v>280</v>
      </c>
      <c r="D124" s="22" t="s">
        <v>281</v>
      </c>
      <c r="E124" s="24" t="s">
        <v>912</v>
      </c>
      <c r="G124" s="19">
        <f t="shared" si="3"/>
        <v>1</v>
      </c>
      <c r="H124" s="19" t="str">
        <f t="shared" si="5"/>
        <v>StudentPersonal</v>
      </c>
    </row>
    <row r="125" spans="1:9" ht="56.25">
      <c r="A125" s="19" t="s">
        <v>375</v>
      </c>
      <c r="B125" s="20" t="s">
        <v>237</v>
      </c>
      <c r="C125" s="21" t="s">
        <v>274</v>
      </c>
      <c r="D125" s="22" t="s">
        <v>275</v>
      </c>
      <c r="E125" s="24" t="s">
        <v>913</v>
      </c>
      <c r="G125" s="19">
        <f t="shared" si="3"/>
        <v>1</v>
      </c>
      <c r="H125" s="19" t="str">
        <f t="shared" si="5"/>
        <v>StudentPersonal</v>
      </c>
    </row>
    <row r="126" spans="1:9" ht="56.25">
      <c r="A126" s="19" t="s">
        <v>355</v>
      </c>
      <c r="B126" s="20" t="s">
        <v>237</v>
      </c>
      <c r="C126" s="21" t="s">
        <v>62</v>
      </c>
      <c r="D126" s="22" t="s">
        <v>63</v>
      </c>
      <c r="E126" s="22" t="s">
        <v>914</v>
      </c>
      <c r="G126" s="19">
        <f t="shared" si="3"/>
        <v>1</v>
      </c>
      <c r="H126" s="19" t="str">
        <f t="shared" si="5"/>
        <v>StudentPersonal</v>
      </c>
    </row>
    <row r="127" spans="1:9" ht="112.5">
      <c r="A127" s="19" t="s">
        <v>527</v>
      </c>
      <c r="B127" s="20" t="s">
        <v>237</v>
      </c>
      <c r="C127" s="21" t="s">
        <v>971</v>
      </c>
      <c r="D127" s="22" t="s">
        <v>972</v>
      </c>
      <c r="E127" s="22" t="s">
        <v>1056</v>
      </c>
      <c r="F127" s="67" t="s">
        <v>1057</v>
      </c>
      <c r="G127" s="19">
        <f t="shared" si="3"/>
        <v>0</v>
      </c>
      <c r="H127" s="19" t="str">
        <f t="shared" si="5"/>
        <v>StudentAttendanceSummary</v>
      </c>
    </row>
    <row r="128" spans="1:9" ht="45">
      <c r="A128" s="19" t="s">
        <v>329</v>
      </c>
      <c r="B128" s="20" t="s">
        <v>237</v>
      </c>
      <c r="C128" s="21" t="s">
        <v>3</v>
      </c>
      <c r="D128" s="22" t="s">
        <v>253</v>
      </c>
      <c r="E128" s="22" t="s">
        <v>521</v>
      </c>
      <c r="F128" s="22" t="s">
        <v>632</v>
      </c>
      <c r="G128" s="19">
        <f t="shared" si="3"/>
        <v>0</v>
      </c>
      <c r="H128" s="19" t="str">
        <f t="shared" si="5"/>
        <v>SchoolInfo</v>
      </c>
    </row>
    <row r="129" spans="1:9" ht="45">
      <c r="A129" s="19" t="s">
        <v>578</v>
      </c>
      <c r="B129" s="20" t="s">
        <v>237</v>
      </c>
      <c r="C129" s="21" t="s">
        <v>252</v>
      </c>
      <c r="D129" s="22" t="s">
        <v>253</v>
      </c>
      <c r="E129" s="22" t="s">
        <v>544</v>
      </c>
      <c r="F129" s="22" t="s">
        <v>545</v>
      </c>
      <c r="G129" s="19">
        <f t="shared" si="3"/>
        <v>0</v>
      </c>
      <c r="H129" s="19" t="str">
        <f>LEFT(E129,(+SEARCH("[",E129)-1))</f>
        <v>StudentSchoolEnrollment</v>
      </c>
    </row>
    <row r="130" spans="1:9" ht="22.5">
      <c r="A130" s="19" t="s">
        <v>333</v>
      </c>
      <c r="B130" s="20" t="s">
        <v>237</v>
      </c>
      <c r="C130" s="21" t="s">
        <v>16</v>
      </c>
      <c r="D130" s="22" t="s">
        <v>17</v>
      </c>
      <c r="E130" s="22" t="s">
        <v>550</v>
      </c>
      <c r="F130" s="62"/>
      <c r="G130" s="19">
        <f t="shared" si="3"/>
        <v>0</v>
      </c>
      <c r="H130" s="19" t="str">
        <f t="shared" ref="H130:H172" si="6">LEFT(E130,(+SEARCH("/",E130)-1))</f>
        <v>StudentPersonal</v>
      </c>
    </row>
    <row r="131" spans="1:9" ht="56.25">
      <c r="A131" s="19" t="s">
        <v>372</v>
      </c>
      <c r="B131" s="20" t="s">
        <v>237</v>
      </c>
      <c r="C131" s="21" t="s">
        <v>268</v>
      </c>
      <c r="D131" s="22" t="s">
        <v>269</v>
      </c>
      <c r="E131" s="22" t="s">
        <v>915</v>
      </c>
      <c r="F131" s="62"/>
      <c r="G131" s="19">
        <f t="shared" si="3"/>
        <v>1</v>
      </c>
      <c r="H131" s="19" t="str">
        <f t="shared" si="6"/>
        <v>StudentPersonal</v>
      </c>
    </row>
    <row r="132" spans="1:9" ht="45">
      <c r="A132" s="19" t="s">
        <v>370</v>
      </c>
      <c r="B132" s="20" t="s">
        <v>237</v>
      </c>
      <c r="C132" s="21" t="s">
        <v>266</v>
      </c>
      <c r="D132" s="22" t="s">
        <v>211</v>
      </c>
      <c r="E132" s="22" t="s">
        <v>571</v>
      </c>
      <c r="F132" s="62"/>
      <c r="G132" s="19">
        <f t="shared" si="3"/>
        <v>0</v>
      </c>
      <c r="H132" s="19" t="str">
        <f t="shared" si="6"/>
        <v>StudentPersonal</v>
      </c>
    </row>
    <row r="133" spans="1:9" ht="22.5">
      <c r="A133" s="19" t="s">
        <v>325</v>
      </c>
      <c r="B133" s="20" t="s">
        <v>237</v>
      </c>
      <c r="C133" s="21" t="s">
        <v>14</v>
      </c>
      <c r="D133" s="22" t="s">
        <v>15</v>
      </c>
      <c r="E133" s="22" t="s">
        <v>549</v>
      </c>
      <c r="G133" s="19">
        <f t="shared" ref="G133:G198" si="7">IF(+IFERROR(+FIND("Extended",E133,1),0)&gt;0,1,0)</f>
        <v>0</v>
      </c>
      <c r="H133" s="19" t="str">
        <f t="shared" si="6"/>
        <v>StudentPersonal</v>
      </c>
    </row>
    <row r="134" spans="1:9" ht="33.75">
      <c r="A134" s="19" t="s">
        <v>363</v>
      </c>
      <c r="B134" s="20" t="s">
        <v>237</v>
      </c>
      <c r="C134" s="21" t="s">
        <v>246</v>
      </c>
      <c r="D134" s="22" t="s">
        <v>247</v>
      </c>
      <c r="E134" s="22" t="s">
        <v>691</v>
      </c>
      <c r="G134" s="19">
        <f t="shared" si="7"/>
        <v>0</v>
      </c>
      <c r="H134" s="19" t="str">
        <f t="shared" si="6"/>
        <v>StudentPersonal</v>
      </c>
    </row>
    <row r="135" spans="1:9" ht="33.75">
      <c r="A135" s="19" t="s">
        <v>352</v>
      </c>
      <c r="B135" s="20" t="s">
        <v>237</v>
      </c>
      <c r="C135" s="21" t="s">
        <v>56</v>
      </c>
      <c r="D135" s="22" t="s">
        <v>57</v>
      </c>
      <c r="E135" s="22" t="s">
        <v>563</v>
      </c>
      <c r="F135" s="62"/>
      <c r="G135" s="19">
        <f t="shared" si="7"/>
        <v>0</v>
      </c>
      <c r="H135" s="19" t="str">
        <f t="shared" si="6"/>
        <v>StudentPersonal</v>
      </c>
      <c r="I135" s="22"/>
    </row>
    <row r="136" spans="1:9" ht="56.25">
      <c r="A136" s="19" t="s">
        <v>351</v>
      </c>
      <c r="B136" s="20" t="s">
        <v>237</v>
      </c>
      <c r="C136" s="21" t="s">
        <v>54</v>
      </c>
      <c r="D136" s="22" t="s">
        <v>55</v>
      </c>
      <c r="E136" s="22" t="s">
        <v>900</v>
      </c>
      <c r="F136" s="22" t="s">
        <v>562</v>
      </c>
      <c r="G136" s="19">
        <f t="shared" si="7"/>
        <v>1</v>
      </c>
      <c r="H136" s="19" t="str">
        <f t="shared" si="6"/>
        <v>StudentPersonal</v>
      </c>
      <c r="I136" s="22"/>
    </row>
    <row r="137" spans="1:9" ht="56.25">
      <c r="A137" s="19" t="s">
        <v>343</v>
      </c>
      <c r="B137" s="20" t="s">
        <v>237</v>
      </c>
      <c r="C137" s="21" t="s">
        <v>38</v>
      </c>
      <c r="D137" s="22" t="s">
        <v>39</v>
      </c>
      <c r="E137" s="22" t="s">
        <v>557</v>
      </c>
      <c r="G137" s="19">
        <f t="shared" si="7"/>
        <v>0</v>
      </c>
      <c r="H137" s="19" t="str">
        <f t="shared" si="6"/>
        <v>StudentPersonal</v>
      </c>
    </row>
    <row r="138" spans="1:9" ht="45">
      <c r="A138" s="19" t="s">
        <v>381</v>
      </c>
      <c r="B138" s="20" t="s">
        <v>238</v>
      </c>
      <c r="C138" s="21" t="s">
        <v>76</v>
      </c>
      <c r="D138" s="22" t="s">
        <v>77</v>
      </c>
      <c r="E138" s="24" t="s">
        <v>819</v>
      </c>
      <c r="F138" s="62"/>
      <c r="G138" s="19">
        <f t="shared" si="7"/>
        <v>0</v>
      </c>
      <c r="H138" s="19" t="str">
        <f t="shared" si="6"/>
        <v>StudentParticipation</v>
      </c>
      <c r="I138" s="22"/>
    </row>
    <row r="139" spans="1:9" ht="45">
      <c r="A139" s="19" t="s">
        <v>388</v>
      </c>
      <c r="B139" s="20" t="s">
        <v>238</v>
      </c>
      <c r="C139" s="21" t="s">
        <v>88</v>
      </c>
      <c r="D139" s="22" t="s">
        <v>89</v>
      </c>
      <c r="E139" s="22" t="s">
        <v>716</v>
      </c>
      <c r="F139" s="61"/>
      <c r="G139" s="19">
        <f t="shared" si="7"/>
        <v>0</v>
      </c>
      <c r="H139" s="19" t="str">
        <f t="shared" si="6"/>
        <v>StudentParticipation</v>
      </c>
    </row>
    <row r="140" spans="1:9" ht="33.75">
      <c r="A140" s="19" t="s">
        <v>327</v>
      </c>
      <c r="B140" s="20" t="s">
        <v>238</v>
      </c>
      <c r="C140" s="21" t="s">
        <v>0</v>
      </c>
      <c r="D140" s="62" t="s">
        <v>13</v>
      </c>
      <c r="E140" s="24" t="s">
        <v>542</v>
      </c>
      <c r="F140" s="62"/>
      <c r="G140" s="19">
        <f t="shared" si="7"/>
        <v>0</v>
      </c>
      <c r="H140" s="19" t="str">
        <f t="shared" si="6"/>
        <v>LEAInfo</v>
      </c>
    </row>
    <row r="141" spans="1:9" ht="33.75">
      <c r="A141" s="19" t="s">
        <v>387</v>
      </c>
      <c r="B141" s="20" t="s">
        <v>238</v>
      </c>
      <c r="C141" s="21" t="s">
        <v>86</v>
      </c>
      <c r="D141" s="22" t="s">
        <v>87</v>
      </c>
      <c r="E141" s="24" t="s">
        <v>574</v>
      </c>
      <c r="F141" s="62"/>
      <c r="G141" s="19">
        <f t="shared" si="7"/>
        <v>0</v>
      </c>
      <c r="H141" s="19" t="str">
        <f t="shared" si="6"/>
        <v>StudentParticipation</v>
      </c>
    </row>
    <row r="142" spans="1:9" ht="45">
      <c r="A142" s="19" t="s">
        <v>329</v>
      </c>
      <c r="B142" s="20" t="s">
        <v>238</v>
      </c>
      <c r="C142" s="21" t="s">
        <v>3</v>
      </c>
      <c r="D142" s="22" t="s">
        <v>90</v>
      </c>
      <c r="E142" s="22" t="s">
        <v>521</v>
      </c>
      <c r="F142" s="22" t="s">
        <v>632</v>
      </c>
      <c r="G142" s="19">
        <f t="shared" si="7"/>
        <v>0</v>
      </c>
      <c r="H142" s="19" t="str">
        <f t="shared" si="6"/>
        <v>SchoolInfo</v>
      </c>
    </row>
    <row r="143" spans="1:9" ht="45">
      <c r="A143" s="19" t="s">
        <v>383</v>
      </c>
      <c r="B143" s="20" t="s">
        <v>238</v>
      </c>
      <c r="C143" s="21" t="s">
        <v>80</v>
      </c>
      <c r="D143" s="22" t="s">
        <v>81</v>
      </c>
      <c r="E143" s="24" t="s">
        <v>836</v>
      </c>
      <c r="G143" s="19">
        <f t="shared" si="7"/>
        <v>0</v>
      </c>
      <c r="H143" s="19" t="str">
        <f t="shared" si="6"/>
        <v>StudentParticipation</v>
      </c>
    </row>
    <row r="144" spans="1:9" ht="67.5">
      <c r="A144" s="19" t="s">
        <v>384</v>
      </c>
      <c r="B144" s="20" t="s">
        <v>238</v>
      </c>
      <c r="C144" s="21" t="s">
        <v>82</v>
      </c>
      <c r="D144" s="22" t="s">
        <v>83</v>
      </c>
      <c r="E144" s="24" t="s">
        <v>572</v>
      </c>
      <c r="G144" s="19">
        <f t="shared" si="7"/>
        <v>0</v>
      </c>
      <c r="H144" s="19" t="str">
        <f t="shared" si="6"/>
        <v>StudentParticipation</v>
      </c>
    </row>
    <row r="145" spans="1:9" ht="45">
      <c r="A145" s="19" t="s">
        <v>385</v>
      </c>
      <c r="B145" s="20" t="s">
        <v>238</v>
      </c>
      <c r="C145" s="21" t="s">
        <v>84</v>
      </c>
      <c r="D145" s="22" t="s">
        <v>85</v>
      </c>
      <c r="E145" s="22" t="s">
        <v>575</v>
      </c>
      <c r="G145" s="19">
        <f t="shared" si="7"/>
        <v>0</v>
      </c>
      <c r="H145" s="19" t="str">
        <f t="shared" si="6"/>
        <v>StudentParticipation</v>
      </c>
    </row>
    <row r="146" spans="1:9" ht="135">
      <c r="A146" s="19" t="s">
        <v>528</v>
      </c>
      <c r="B146" s="20" t="s">
        <v>238</v>
      </c>
      <c r="C146" s="22" t="s">
        <v>968</v>
      </c>
      <c r="D146" s="22" t="s">
        <v>974</v>
      </c>
      <c r="E146" s="22" t="s">
        <v>986</v>
      </c>
      <c r="F146" s="34" t="s">
        <v>1013</v>
      </c>
      <c r="G146" s="19">
        <f t="shared" si="7"/>
        <v>1</v>
      </c>
      <c r="H146" s="19" t="str">
        <f t="shared" si="6"/>
        <v>StudentParticipation</v>
      </c>
    </row>
    <row r="147" spans="1:9" ht="56.25">
      <c r="A147" s="19" t="s">
        <v>382</v>
      </c>
      <c r="B147" s="20" t="s">
        <v>238</v>
      </c>
      <c r="C147" s="21" t="s">
        <v>78</v>
      </c>
      <c r="D147" s="28" t="s">
        <v>79</v>
      </c>
      <c r="E147" s="24" t="s">
        <v>957</v>
      </c>
      <c r="F147" s="62"/>
      <c r="G147" s="19">
        <f t="shared" si="7"/>
        <v>1</v>
      </c>
      <c r="H147" s="19" t="str">
        <f t="shared" si="6"/>
        <v>StudentParticipation</v>
      </c>
    </row>
    <row r="148" spans="1:9" ht="22.5">
      <c r="A148" s="19" t="s">
        <v>325</v>
      </c>
      <c r="B148" s="20" t="s">
        <v>238</v>
      </c>
      <c r="C148" s="21" t="s">
        <v>74</v>
      </c>
      <c r="D148" s="22" t="s">
        <v>75</v>
      </c>
      <c r="E148" s="22" t="s">
        <v>549</v>
      </c>
      <c r="F148" s="62"/>
      <c r="G148" s="19">
        <f t="shared" si="7"/>
        <v>0</v>
      </c>
      <c r="H148" s="19" t="str">
        <f t="shared" si="6"/>
        <v>StudentPersonal</v>
      </c>
    </row>
    <row r="149" spans="1:9" ht="56.25">
      <c r="A149" s="29" t="s">
        <v>389</v>
      </c>
      <c r="B149" s="20" t="s">
        <v>239</v>
      </c>
      <c r="C149" s="30" t="s">
        <v>91</v>
      </c>
      <c r="D149" s="22" t="s">
        <v>92</v>
      </c>
      <c r="E149" s="22" t="s">
        <v>956</v>
      </c>
      <c r="F149" s="62"/>
      <c r="G149" s="29">
        <f t="shared" si="7"/>
        <v>1</v>
      </c>
      <c r="H149" s="29" t="str">
        <f t="shared" si="6"/>
        <v>StudentParticipation</v>
      </c>
    </row>
    <row r="150" spans="1:9" ht="56.25">
      <c r="A150" s="19" t="s">
        <v>391</v>
      </c>
      <c r="B150" s="20" t="s">
        <v>239</v>
      </c>
      <c r="C150" s="21" t="s">
        <v>88</v>
      </c>
      <c r="D150" s="22" t="s">
        <v>95</v>
      </c>
      <c r="E150" s="22" t="s">
        <v>716</v>
      </c>
      <c r="G150" s="19">
        <f t="shared" si="7"/>
        <v>0</v>
      </c>
      <c r="H150" s="19" t="str">
        <f t="shared" si="6"/>
        <v>StudentParticipation</v>
      </c>
    </row>
    <row r="151" spans="1:9" ht="33.75">
      <c r="A151" s="19" t="s">
        <v>327</v>
      </c>
      <c r="B151" s="20" t="s">
        <v>239</v>
      </c>
      <c r="C151" s="21" t="s">
        <v>0</v>
      </c>
      <c r="D151" s="62" t="s">
        <v>13</v>
      </c>
      <c r="E151" s="24" t="s">
        <v>542</v>
      </c>
      <c r="F151" s="62"/>
      <c r="G151" s="19">
        <f t="shared" si="7"/>
        <v>0</v>
      </c>
      <c r="H151" s="19" t="str">
        <f t="shared" si="6"/>
        <v>LEAInfo</v>
      </c>
    </row>
    <row r="152" spans="1:9" ht="45">
      <c r="A152" s="19" t="s">
        <v>329</v>
      </c>
      <c r="B152" s="20" t="s">
        <v>239</v>
      </c>
      <c r="C152" s="21" t="s">
        <v>3</v>
      </c>
      <c r="D152" s="22" t="s">
        <v>90</v>
      </c>
      <c r="E152" s="22" t="s">
        <v>521</v>
      </c>
      <c r="F152" s="22" t="s">
        <v>632</v>
      </c>
      <c r="G152" s="19">
        <f t="shared" si="7"/>
        <v>0</v>
      </c>
      <c r="H152" s="19" t="str">
        <f t="shared" si="6"/>
        <v>SchoolInfo</v>
      </c>
    </row>
    <row r="153" spans="1:9" ht="22.5">
      <c r="A153" s="19" t="s">
        <v>325</v>
      </c>
      <c r="B153" s="20" t="s">
        <v>239</v>
      </c>
      <c r="C153" s="21" t="s">
        <v>14</v>
      </c>
      <c r="D153" s="22" t="s">
        <v>75</v>
      </c>
      <c r="E153" s="22" t="s">
        <v>549</v>
      </c>
      <c r="F153" s="62"/>
      <c r="G153" s="19">
        <f t="shared" si="7"/>
        <v>0</v>
      </c>
      <c r="H153" s="19" t="str">
        <f t="shared" si="6"/>
        <v>StudentPersonal</v>
      </c>
    </row>
    <row r="154" spans="1:9" ht="56.25">
      <c r="A154" s="19" t="s">
        <v>392</v>
      </c>
      <c r="B154" s="20" t="s">
        <v>239</v>
      </c>
      <c r="C154" s="21" t="s">
        <v>96</v>
      </c>
      <c r="D154" s="22" t="s">
        <v>97</v>
      </c>
      <c r="E154" s="24" t="s">
        <v>836</v>
      </c>
      <c r="F154" s="31"/>
      <c r="G154" s="19">
        <f t="shared" si="7"/>
        <v>0</v>
      </c>
      <c r="H154" s="19" t="str">
        <f t="shared" si="6"/>
        <v>StudentParticipation</v>
      </c>
    </row>
    <row r="155" spans="1:9" ht="56.25">
      <c r="A155" s="19" t="s">
        <v>393</v>
      </c>
      <c r="B155" s="20" t="s">
        <v>239</v>
      </c>
      <c r="C155" s="21" t="s">
        <v>98</v>
      </c>
      <c r="D155" s="22" t="s">
        <v>99</v>
      </c>
      <c r="E155" s="22" t="s">
        <v>572</v>
      </c>
      <c r="F155" s="62"/>
      <c r="G155" s="19">
        <f t="shared" si="7"/>
        <v>0</v>
      </c>
      <c r="H155" s="19" t="str">
        <f t="shared" si="6"/>
        <v>StudentParticipation</v>
      </c>
    </row>
    <row r="156" spans="1:9" ht="33.75">
      <c r="A156" s="19" t="s">
        <v>394</v>
      </c>
      <c r="B156" s="20" t="s">
        <v>239</v>
      </c>
      <c r="C156" s="21" t="s">
        <v>100</v>
      </c>
      <c r="D156" s="22" t="s">
        <v>101</v>
      </c>
      <c r="E156" s="22" t="s">
        <v>575</v>
      </c>
      <c r="F156" s="62"/>
      <c r="G156" s="19">
        <f t="shared" si="7"/>
        <v>0</v>
      </c>
      <c r="H156" s="19" t="str">
        <f t="shared" si="6"/>
        <v>StudentParticipation</v>
      </c>
    </row>
    <row r="157" spans="1:9" ht="135">
      <c r="A157" s="19" t="s">
        <v>529</v>
      </c>
      <c r="B157" s="20" t="s">
        <v>239</v>
      </c>
      <c r="C157" s="22" t="s">
        <v>969</v>
      </c>
      <c r="D157" s="22" t="s">
        <v>976</v>
      </c>
      <c r="E157" s="22" t="s">
        <v>986</v>
      </c>
      <c r="F157" s="34" t="s">
        <v>1013</v>
      </c>
      <c r="G157" s="19">
        <f t="shared" si="7"/>
        <v>1</v>
      </c>
      <c r="H157" s="19" t="str">
        <f t="shared" si="6"/>
        <v>StudentParticipation</v>
      </c>
    </row>
    <row r="158" spans="1:9" ht="56.25">
      <c r="A158" s="19" t="s">
        <v>390</v>
      </c>
      <c r="B158" s="20" t="s">
        <v>239</v>
      </c>
      <c r="C158" s="21" t="s">
        <v>93</v>
      </c>
      <c r="D158" s="28" t="s">
        <v>94</v>
      </c>
      <c r="E158" s="22" t="s">
        <v>957</v>
      </c>
      <c r="F158" s="62"/>
      <c r="G158" s="19">
        <f t="shared" si="7"/>
        <v>1</v>
      </c>
      <c r="H158" s="19" t="str">
        <f t="shared" si="6"/>
        <v>StudentParticipation</v>
      </c>
    </row>
    <row r="159" spans="1:9" ht="146.25">
      <c r="A159" s="32" t="s">
        <v>993</v>
      </c>
      <c r="B159" s="33" t="s">
        <v>236</v>
      </c>
      <c r="C159" s="24" t="s">
        <v>1001</v>
      </c>
      <c r="D159" s="24" t="s">
        <v>994</v>
      </c>
      <c r="E159" s="24" t="s">
        <v>1009</v>
      </c>
      <c r="F159" s="31" t="s">
        <v>1010</v>
      </c>
      <c r="H159" s="19" t="str">
        <f t="shared" si="6"/>
        <v>SchoolInfo</v>
      </c>
      <c r="I159" s="64"/>
    </row>
    <row r="160" spans="1:9" ht="45">
      <c r="A160" s="19" t="s">
        <v>330</v>
      </c>
      <c r="B160" s="20" t="s">
        <v>236</v>
      </c>
      <c r="C160" s="21" t="s">
        <v>5</v>
      </c>
      <c r="D160" s="22" t="s">
        <v>6</v>
      </c>
      <c r="E160" s="22" t="s">
        <v>546</v>
      </c>
      <c r="F160" s="62"/>
      <c r="G160" s="19">
        <f t="shared" si="7"/>
        <v>0</v>
      </c>
      <c r="H160" s="19" t="str">
        <f t="shared" si="6"/>
        <v>CalendarSummary</v>
      </c>
    </row>
    <row r="161" spans="1:9" ht="33.75">
      <c r="A161" s="19" t="s">
        <v>331</v>
      </c>
      <c r="B161" s="20" t="s">
        <v>236</v>
      </c>
      <c r="C161" s="21" t="s">
        <v>7</v>
      </c>
      <c r="D161" s="22" t="s">
        <v>8</v>
      </c>
      <c r="E161" s="22" t="s">
        <v>547</v>
      </c>
      <c r="F161" s="62"/>
      <c r="G161" s="19">
        <f t="shared" si="7"/>
        <v>0</v>
      </c>
      <c r="H161" s="19" t="str">
        <f t="shared" si="6"/>
        <v>CalendarSummary</v>
      </c>
    </row>
    <row r="162" spans="1:9" ht="56.25">
      <c r="A162" s="19" t="s">
        <v>332</v>
      </c>
      <c r="B162" s="20" t="s">
        <v>236</v>
      </c>
      <c r="C162" s="21" t="s">
        <v>11</v>
      </c>
      <c r="D162" s="22" t="s">
        <v>12</v>
      </c>
      <c r="E162" s="22" t="s">
        <v>888</v>
      </c>
      <c r="G162" s="19">
        <f t="shared" si="7"/>
        <v>1</v>
      </c>
      <c r="H162" s="19" t="str">
        <f t="shared" si="6"/>
        <v>SchoolInfo</v>
      </c>
    </row>
    <row r="163" spans="1:9" ht="22.5">
      <c r="A163" s="19" t="s">
        <v>326</v>
      </c>
      <c r="B163" s="20" t="s">
        <v>236</v>
      </c>
      <c r="C163" s="21" t="s">
        <v>9</v>
      </c>
      <c r="D163" s="22" t="s">
        <v>10</v>
      </c>
      <c r="E163" s="22" t="s">
        <v>548</v>
      </c>
      <c r="F163" s="62"/>
      <c r="G163" s="19">
        <f t="shared" si="7"/>
        <v>0</v>
      </c>
      <c r="H163" s="19" t="str">
        <f t="shared" si="6"/>
        <v>SchoolInfo</v>
      </c>
    </row>
    <row r="164" spans="1:9" ht="33.75">
      <c r="A164" s="19" t="s">
        <v>329</v>
      </c>
      <c r="B164" s="20" t="s">
        <v>236</v>
      </c>
      <c r="C164" s="21" t="s">
        <v>3</v>
      </c>
      <c r="D164" s="22" t="s">
        <v>4</v>
      </c>
      <c r="E164" s="22" t="s">
        <v>521</v>
      </c>
      <c r="F164" s="22" t="s">
        <v>632</v>
      </c>
      <c r="G164" s="19">
        <f t="shared" si="7"/>
        <v>0</v>
      </c>
      <c r="H164" s="19" t="str">
        <f t="shared" si="6"/>
        <v>SchoolInfo</v>
      </c>
    </row>
    <row r="165" spans="1:9" ht="22.5">
      <c r="A165" s="19" t="s">
        <v>336</v>
      </c>
      <c r="B165" s="20" t="s">
        <v>605</v>
      </c>
      <c r="C165" s="19" t="s">
        <v>24</v>
      </c>
      <c r="D165" s="22" t="s">
        <v>618</v>
      </c>
      <c r="E165" s="22" t="s">
        <v>554</v>
      </c>
      <c r="F165" s="62"/>
      <c r="G165" s="19">
        <f t="shared" si="7"/>
        <v>0</v>
      </c>
      <c r="H165" s="19" t="str">
        <f t="shared" si="6"/>
        <v>StudentPersonal</v>
      </c>
    </row>
    <row r="166" spans="1:9" ht="22.5">
      <c r="A166" s="19" t="s">
        <v>339</v>
      </c>
      <c r="B166" s="20" t="s">
        <v>605</v>
      </c>
      <c r="C166" s="19" t="s">
        <v>26</v>
      </c>
      <c r="D166" s="22" t="s">
        <v>614</v>
      </c>
      <c r="E166" s="22" t="s">
        <v>555</v>
      </c>
      <c r="F166" s="62"/>
      <c r="G166" s="19">
        <f t="shared" si="7"/>
        <v>0</v>
      </c>
      <c r="H166" s="19" t="str">
        <f t="shared" si="6"/>
        <v>StudentPersonal</v>
      </c>
    </row>
    <row r="167" spans="1:9" ht="22.5">
      <c r="A167" s="19" t="s">
        <v>327</v>
      </c>
      <c r="B167" s="20" t="s">
        <v>605</v>
      </c>
      <c r="C167" s="19" t="s">
        <v>0</v>
      </c>
      <c r="D167" s="62" t="s">
        <v>615</v>
      </c>
      <c r="E167" s="22" t="s">
        <v>542</v>
      </c>
      <c r="F167" s="62"/>
      <c r="G167" s="19">
        <f t="shared" si="7"/>
        <v>0</v>
      </c>
      <c r="H167" s="19" t="str">
        <f t="shared" si="6"/>
        <v>LEAInfo</v>
      </c>
    </row>
    <row r="168" spans="1:9" ht="22.5">
      <c r="A168" s="19" t="s">
        <v>329</v>
      </c>
      <c r="B168" s="20" t="s">
        <v>605</v>
      </c>
      <c r="C168" s="19" t="s">
        <v>609</v>
      </c>
      <c r="D168" s="22" t="s">
        <v>616</v>
      </c>
      <c r="E168" s="22" t="s">
        <v>521</v>
      </c>
      <c r="F168" s="62"/>
      <c r="G168" s="19">
        <f t="shared" si="7"/>
        <v>0</v>
      </c>
      <c r="H168" s="19" t="str">
        <f t="shared" si="6"/>
        <v>SchoolInfo</v>
      </c>
    </row>
    <row r="169" spans="1:9" ht="22.5">
      <c r="A169" s="19" t="s">
        <v>325</v>
      </c>
      <c r="B169" s="20" t="s">
        <v>605</v>
      </c>
      <c r="C169" s="19" t="s">
        <v>610</v>
      </c>
      <c r="D169" s="22" t="s">
        <v>617</v>
      </c>
      <c r="E169" s="62" t="s">
        <v>549</v>
      </c>
      <c r="F169" s="62"/>
      <c r="G169" s="19">
        <f t="shared" si="7"/>
        <v>0</v>
      </c>
      <c r="H169" s="19" t="str">
        <f t="shared" si="6"/>
        <v>StudentPersonal</v>
      </c>
    </row>
    <row r="170" spans="1:9">
      <c r="A170" s="19" t="s">
        <v>334</v>
      </c>
      <c r="B170" s="20" t="s">
        <v>605</v>
      </c>
      <c r="C170" s="19" t="s">
        <v>607</v>
      </c>
      <c r="D170" s="22" t="s">
        <v>612</v>
      </c>
      <c r="E170" s="22" t="s">
        <v>552</v>
      </c>
      <c r="F170" s="62"/>
      <c r="G170" s="19">
        <f t="shared" si="7"/>
        <v>0</v>
      </c>
      <c r="H170" s="19" t="str">
        <f t="shared" si="6"/>
        <v>StudentPersonal</v>
      </c>
    </row>
    <row r="171" spans="1:9" ht="33.75">
      <c r="A171" s="19" t="s">
        <v>398</v>
      </c>
      <c r="B171" s="20" t="s">
        <v>605</v>
      </c>
      <c r="C171" s="19" t="s">
        <v>606</v>
      </c>
      <c r="D171" s="22" t="s">
        <v>19</v>
      </c>
      <c r="E171" s="22" t="s">
        <v>551</v>
      </c>
      <c r="F171" s="62"/>
      <c r="G171" s="19">
        <f t="shared" si="7"/>
        <v>0</v>
      </c>
      <c r="H171" s="19" t="str">
        <f t="shared" si="6"/>
        <v>StudentPersonal</v>
      </c>
    </row>
    <row r="172" spans="1:9">
      <c r="A172" s="19" t="s">
        <v>335</v>
      </c>
      <c r="B172" s="20" t="s">
        <v>605</v>
      </c>
      <c r="C172" s="19" t="s">
        <v>608</v>
      </c>
      <c r="D172" s="22" t="s">
        <v>613</v>
      </c>
      <c r="E172" s="22" t="s">
        <v>553</v>
      </c>
      <c r="F172" s="62"/>
      <c r="G172" s="19">
        <f t="shared" si="7"/>
        <v>0</v>
      </c>
      <c r="H172" s="19" t="str">
        <f t="shared" si="6"/>
        <v>StudentPersonal</v>
      </c>
    </row>
    <row r="173" spans="1:9" ht="67.5">
      <c r="A173" s="19" t="s">
        <v>328</v>
      </c>
      <c r="B173" s="20" t="s">
        <v>605</v>
      </c>
      <c r="C173" s="19" t="s">
        <v>2</v>
      </c>
      <c r="D173" s="22" t="s">
        <v>611</v>
      </c>
      <c r="E173" s="62" t="s">
        <v>543</v>
      </c>
      <c r="F173" s="62"/>
      <c r="G173" s="19">
        <f t="shared" si="7"/>
        <v>0</v>
      </c>
      <c r="H173" s="19" t="str">
        <f>LEFT(E173,(+SEARCH("[",E173)-1))</f>
        <v>StudentSchoolEnrollment</v>
      </c>
    </row>
    <row r="174" spans="1:9" ht="45">
      <c r="A174" s="19" t="s">
        <v>370</v>
      </c>
      <c r="B174" s="20" t="s">
        <v>605</v>
      </c>
      <c r="C174" s="19" t="s">
        <v>604</v>
      </c>
      <c r="D174" s="22" t="s">
        <v>211</v>
      </c>
      <c r="E174" s="22" t="s">
        <v>571</v>
      </c>
      <c r="F174" s="62"/>
      <c r="G174" s="19">
        <f t="shared" si="7"/>
        <v>0</v>
      </c>
      <c r="H174" s="19" t="str">
        <f t="shared" ref="H174:H206" si="8">LEFT(E174,(+SEARCH("/",E174)-1))</f>
        <v>StudentPersonal</v>
      </c>
    </row>
    <row r="175" spans="1:9" ht="123.75">
      <c r="A175" s="19" t="s">
        <v>993</v>
      </c>
      <c r="B175" s="38" t="s">
        <v>1042</v>
      </c>
      <c r="C175" s="19" t="s">
        <v>1043</v>
      </c>
      <c r="D175" s="22"/>
      <c r="E175" s="22"/>
      <c r="F175" s="65" t="s">
        <v>1041</v>
      </c>
      <c r="I175" s="65"/>
    </row>
    <row r="176" spans="1:9" ht="22.5">
      <c r="A176" s="19" t="s">
        <v>517</v>
      </c>
      <c r="B176" s="20" t="s">
        <v>490</v>
      </c>
      <c r="C176" s="21" t="s">
        <v>321</v>
      </c>
      <c r="D176" s="22" t="s">
        <v>322</v>
      </c>
      <c r="E176" s="22" t="s">
        <v>690</v>
      </c>
      <c r="F176" s="65"/>
      <c r="G176" s="19">
        <f t="shared" si="7"/>
        <v>0</v>
      </c>
      <c r="H176" s="19" t="str">
        <f t="shared" si="8"/>
        <v>StudentPersonal</v>
      </c>
    </row>
    <row r="177" spans="1:8" ht="33.75">
      <c r="A177" s="19" t="s">
        <v>519</v>
      </c>
      <c r="B177" s="20" t="s">
        <v>490</v>
      </c>
      <c r="C177" s="21" t="s">
        <v>323</v>
      </c>
      <c r="D177" s="22" t="s">
        <v>324</v>
      </c>
      <c r="E177" s="22" t="s">
        <v>689</v>
      </c>
      <c r="F177" s="62"/>
      <c r="G177" s="19">
        <f t="shared" si="7"/>
        <v>0</v>
      </c>
      <c r="H177" s="19" t="str">
        <f t="shared" si="8"/>
        <v>StudentPersonal</v>
      </c>
    </row>
    <row r="178" spans="1:8" ht="33.75">
      <c r="A178" s="19" t="s">
        <v>516</v>
      </c>
      <c r="B178" s="20" t="s">
        <v>490</v>
      </c>
      <c r="C178" s="21" t="s">
        <v>319</v>
      </c>
      <c r="D178" s="22" t="s">
        <v>320</v>
      </c>
      <c r="E178" s="22" t="s">
        <v>693</v>
      </c>
      <c r="F178" s="62"/>
      <c r="G178" s="19">
        <f t="shared" si="7"/>
        <v>0</v>
      </c>
      <c r="H178" s="19" t="str">
        <f t="shared" si="8"/>
        <v>StudentPersonal</v>
      </c>
    </row>
    <row r="179" spans="1:8" ht="33.75">
      <c r="A179" s="19" t="s">
        <v>748</v>
      </c>
      <c r="B179" s="20" t="s">
        <v>490</v>
      </c>
      <c r="C179" s="21" t="s">
        <v>749</v>
      </c>
      <c r="D179" s="22" t="s">
        <v>750</v>
      </c>
      <c r="E179" s="22" t="s">
        <v>751</v>
      </c>
      <c r="F179" s="62"/>
      <c r="G179" s="19">
        <f t="shared" si="7"/>
        <v>0</v>
      </c>
      <c r="H179" s="19" t="str">
        <f t="shared" si="8"/>
        <v>StudentPersonal</v>
      </c>
    </row>
    <row r="180" spans="1:8" ht="33.75">
      <c r="A180" s="19" t="s">
        <v>518</v>
      </c>
      <c r="B180" s="20" t="s">
        <v>490</v>
      </c>
      <c r="C180" s="21" t="s">
        <v>491</v>
      </c>
      <c r="D180" s="22" t="s">
        <v>492</v>
      </c>
      <c r="E180" s="22" t="s">
        <v>692</v>
      </c>
      <c r="F180" s="62"/>
      <c r="G180" s="19">
        <f t="shared" si="7"/>
        <v>0</v>
      </c>
      <c r="H180" s="19" t="str">
        <f t="shared" si="8"/>
        <v>StudentPersonal</v>
      </c>
    </row>
    <row r="181" spans="1:8" ht="45">
      <c r="A181" s="19" t="s">
        <v>501</v>
      </c>
      <c r="B181" s="20" t="s">
        <v>490</v>
      </c>
      <c r="C181" s="19" t="s">
        <v>297</v>
      </c>
      <c r="D181" s="62" t="s">
        <v>298</v>
      </c>
      <c r="E181" s="31" t="s">
        <v>587</v>
      </c>
      <c r="F181" s="62"/>
      <c r="G181" s="19">
        <f t="shared" si="7"/>
        <v>0</v>
      </c>
      <c r="H181" s="19" t="str">
        <f t="shared" si="8"/>
        <v>StudentAcademicRecord</v>
      </c>
    </row>
    <row r="182" spans="1:8" ht="45">
      <c r="A182" s="19" t="s">
        <v>502</v>
      </c>
      <c r="B182" s="20" t="s">
        <v>490</v>
      </c>
      <c r="C182" s="19" t="s">
        <v>299</v>
      </c>
      <c r="D182" s="62" t="s">
        <v>300</v>
      </c>
      <c r="E182" s="31" t="s">
        <v>588</v>
      </c>
      <c r="F182" s="62"/>
      <c r="G182" s="19">
        <f t="shared" si="7"/>
        <v>0</v>
      </c>
      <c r="H182" s="19" t="str">
        <f t="shared" si="8"/>
        <v>StudentAcademicRecord</v>
      </c>
    </row>
    <row r="183" spans="1:8" ht="56.25">
      <c r="A183" s="19" t="s">
        <v>495</v>
      </c>
      <c r="B183" s="20" t="s">
        <v>490</v>
      </c>
      <c r="C183" s="19" t="s">
        <v>292</v>
      </c>
      <c r="D183" s="62" t="s">
        <v>761</v>
      </c>
      <c r="E183" s="31" t="s">
        <v>601</v>
      </c>
      <c r="F183" s="18" t="s">
        <v>637</v>
      </c>
      <c r="G183" s="19">
        <f t="shared" si="7"/>
        <v>0</v>
      </c>
      <c r="H183" s="19" t="str">
        <f t="shared" si="8"/>
        <v>StudentAcademicRecord</v>
      </c>
    </row>
    <row r="184" spans="1:8" ht="56.25">
      <c r="A184" s="19" t="s">
        <v>496</v>
      </c>
      <c r="B184" s="20" t="s">
        <v>490</v>
      </c>
      <c r="C184" s="19" t="s">
        <v>760</v>
      </c>
      <c r="D184" s="62" t="s">
        <v>762</v>
      </c>
      <c r="E184" s="62" t="s">
        <v>602</v>
      </c>
      <c r="G184" s="19">
        <f t="shared" si="7"/>
        <v>0</v>
      </c>
      <c r="H184" s="19" t="str">
        <f t="shared" si="8"/>
        <v>StudentAcademicRecord</v>
      </c>
    </row>
    <row r="185" spans="1:8" ht="45">
      <c r="A185" s="19" t="s">
        <v>797</v>
      </c>
      <c r="B185" s="20" t="s">
        <v>490</v>
      </c>
      <c r="C185" s="21" t="s">
        <v>798</v>
      </c>
      <c r="D185" s="22" t="s">
        <v>799</v>
      </c>
      <c r="E185" s="22" t="s">
        <v>824</v>
      </c>
      <c r="F185" s="22" t="s">
        <v>800</v>
      </c>
      <c r="G185" s="19">
        <f t="shared" si="7"/>
        <v>0</v>
      </c>
      <c r="H185" s="19" t="str">
        <f t="shared" si="8"/>
        <v>StudentAcademicRecod</v>
      </c>
    </row>
    <row r="186" spans="1:8" ht="56.25">
      <c r="A186" s="19" t="s">
        <v>525</v>
      </c>
      <c r="B186" s="20" t="s">
        <v>490</v>
      </c>
      <c r="C186" s="19" t="s">
        <v>291</v>
      </c>
      <c r="D186" s="62" t="s">
        <v>589</v>
      </c>
      <c r="E186" s="31" t="s">
        <v>600</v>
      </c>
      <c r="G186" s="19">
        <f t="shared" si="7"/>
        <v>0</v>
      </c>
      <c r="H186" s="19" t="str">
        <f t="shared" si="8"/>
        <v>StudentAcademicRecord</v>
      </c>
    </row>
    <row r="187" spans="1:8" ht="146.25">
      <c r="A187" s="19" t="s">
        <v>507</v>
      </c>
      <c r="B187" s="20" t="s">
        <v>490</v>
      </c>
      <c r="C187" s="19" t="s">
        <v>307</v>
      </c>
      <c r="D187" s="62" t="s">
        <v>308</v>
      </c>
      <c r="E187" s="62" t="s">
        <v>628</v>
      </c>
      <c r="F187" s="38" t="s">
        <v>636</v>
      </c>
      <c r="G187" s="19">
        <f t="shared" si="7"/>
        <v>0</v>
      </c>
      <c r="H187" s="19" t="str">
        <f t="shared" si="8"/>
        <v>StudentAcademicRecord</v>
      </c>
    </row>
    <row r="188" spans="1:8" ht="33.75">
      <c r="A188" s="19" t="s">
        <v>508</v>
      </c>
      <c r="B188" s="20" t="s">
        <v>490</v>
      </c>
      <c r="C188" s="19" t="s">
        <v>309</v>
      </c>
      <c r="D188" s="62" t="s">
        <v>310</v>
      </c>
      <c r="E188" s="62" t="s">
        <v>629</v>
      </c>
      <c r="G188" s="19">
        <f t="shared" si="7"/>
        <v>0</v>
      </c>
      <c r="H188" s="19" t="str">
        <f t="shared" si="8"/>
        <v>StudentAcademicRecord</v>
      </c>
    </row>
    <row r="189" spans="1:8" ht="146.25">
      <c r="A189" s="19" t="s">
        <v>510</v>
      </c>
      <c r="B189" s="20" t="s">
        <v>490</v>
      </c>
      <c r="C189" s="19" t="s">
        <v>311</v>
      </c>
      <c r="D189" s="62" t="s">
        <v>312</v>
      </c>
      <c r="E189" s="62" t="s">
        <v>628</v>
      </c>
      <c r="F189" s="38" t="s">
        <v>638</v>
      </c>
      <c r="G189" s="19">
        <f t="shared" si="7"/>
        <v>0</v>
      </c>
      <c r="H189" s="19" t="str">
        <f t="shared" si="8"/>
        <v>StudentAcademicRecord</v>
      </c>
    </row>
    <row r="190" spans="1:8" ht="33.75">
      <c r="A190" s="19" t="s">
        <v>511</v>
      </c>
      <c r="B190" s="20" t="s">
        <v>490</v>
      </c>
      <c r="C190" s="19" t="s">
        <v>313</v>
      </c>
      <c r="D190" s="62" t="s">
        <v>314</v>
      </c>
      <c r="E190" s="62" t="s">
        <v>629</v>
      </c>
      <c r="G190" s="19">
        <f t="shared" si="7"/>
        <v>0</v>
      </c>
      <c r="H190" s="19" t="str">
        <f t="shared" si="8"/>
        <v>StudentAcademicRecord</v>
      </c>
    </row>
    <row r="191" spans="1:8" ht="146.25">
      <c r="A191" s="19" t="s">
        <v>513</v>
      </c>
      <c r="B191" s="20" t="s">
        <v>490</v>
      </c>
      <c r="C191" s="19" t="s">
        <v>315</v>
      </c>
      <c r="D191" s="62" t="s">
        <v>316</v>
      </c>
      <c r="E191" s="62" t="s">
        <v>628</v>
      </c>
      <c r="F191" s="38" t="s">
        <v>639</v>
      </c>
      <c r="G191" s="19">
        <f t="shared" si="7"/>
        <v>0</v>
      </c>
      <c r="H191" s="19" t="str">
        <f t="shared" si="8"/>
        <v>StudentAcademicRecord</v>
      </c>
    </row>
    <row r="192" spans="1:8" ht="33.75">
      <c r="A192" s="19" t="s">
        <v>514</v>
      </c>
      <c r="B192" s="20" t="s">
        <v>490</v>
      </c>
      <c r="C192" s="19" t="s">
        <v>317</v>
      </c>
      <c r="D192" s="62" t="s">
        <v>318</v>
      </c>
      <c r="E192" s="62" t="s">
        <v>629</v>
      </c>
      <c r="G192" s="19">
        <f t="shared" si="7"/>
        <v>0</v>
      </c>
      <c r="H192" s="19" t="str">
        <f t="shared" si="8"/>
        <v>StudentAcademicRecord</v>
      </c>
    </row>
    <row r="193" spans="1:8" ht="146.25">
      <c r="A193" s="19" t="s">
        <v>504</v>
      </c>
      <c r="B193" s="20" t="s">
        <v>490</v>
      </c>
      <c r="C193" s="19" t="s">
        <v>303</v>
      </c>
      <c r="D193" s="62" t="s">
        <v>304</v>
      </c>
      <c r="E193" s="31" t="s">
        <v>628</v>
      </c>
      <c r="F193" s="38" t="s">
        <v>640</v>
      </c>
      <c r="G193" s="19">
        <f t="shared" si="7"/>
        <v>0</v>
      </c>
      <c r="H193" s="19" t="str">
        <f t="shared" si="8"/>
        <v>StudentAcademicRecord</v>
      </c>
    </row>
    <row r="194" spans="1:8" ht="33.75">
      <c r="A194" s="19" t="s">
        <v>505</v>
      </c>
      <c r="B194" s="20" t="s">
        <v>490</v>
      </c>
      <c r="C194" s="19" t="s">
        <v>305</v>
      </c>
      <c r="D194" s="62" t="s">
        <v>306</v>
      </c>
      <c r="E194" s="31" t="s">
        <v>629</v>
      </c>
      <c r="F194" s="62"/>
      <c r="G194" s="19">
        <f t="shared" si="7"/>
        <v>0</v>
      </c>
      <c r="H194" s="19" t="str">
        <f t="shared" si="8"/>
        <v>StudentAcademicRecord</v>
      </c>
    </row>
    <row r="195" spans="1:8" ht="33.75">
      <c r="A195" s="19" t="s">
        <v>494</v>
      </c>
      <c r="B195" s="20" t="s">
        <v>490</v>
      </c>
      <c r="C195" s="19" t="s">
        <v>289</v>
      </c>
      <c r="D195" s="62" t="s">
        <v>290</v>
      </c>
      <c r="E195" s="31" t="s">
        <v>739</v>
      </c>
      <c r="F195" s="62"/>
      <c r="G195" s="19">
        <f t="shared" si="7"/>
        <v>0</v>
      </c>
      <c r="H195" s="19" t="str">
        <f t="shared" si="8"/>
        <v>StudentAcademicRecord</v>
      </c>
    </row>
    <row r="196" spans="1:8" ht="101.25">
      <c r="A196" s="19" t="s">
        <v>348</v>
      </c>
      <c r="B196" s="20" t="s">
        <v>490</v>
      </c>
      <c r="C196" s="21" t="s">
        <v>48</v>
      </c>
      <c r="D196" s="22" t="s">
        <v>49</v>
      </c>
      <c r="E196" s="24" t="s">
        <v>904</v>
      </c>
      <c r="F196" s="62"/>
      <c r="G196" s="19">
        <f t="shared" si="7"/>
        <v>1</v>
      </c>
      <c r="H196" s="19" t="str">
        <f t="shared" si="8"/>
        <v>StudentPersonal</v>
      </c>
    </row>
    <row r="197" spans="1:8" ht="33.75">
      <c r="A197" s="19" t="s">
        <v>677</v>
      </c>
      <c r="B197" s="20" t="s">
        <v>490</v>
      </c>
      <c r="C197" s="21" t="s">
        <v>796</v>
      </c>
      <c r="D197" s="62" t="s">
        <v>678</v>
      </c>
      <c r="E197" s="22" t="s">
        <v>679</v>
      </c>
      <c r="F197" s="62"/>
      <c r="G197" s="19">
        <f t="shared" si="7"/>
        <v>0</v>
      </c>
      <c r="H197" s="19" t="str">
        <f t="shared" si="8"/>
        <v>LEAInfo</v>
      </c>
    </row>
    <row r="198" spans="1:8" ht="45">
      <c r="A198" s="19" t="s">
        <v>327</v>
      </c>
      <c r="B198" s="20" t="s">
        <v>490</v>
      </c>
      <c r="C198" s="21" t="s">
        <v>0</v>
      </c>
      <c r="D198" s="62" t="s">
        <v>480</v>
      </c>
      <c r="E198" s="22" t="s">
        <v>542</v>
      </c>
      <c r="F198" s="62"/>
      <c r="G198" s="19">
        <f t="shared" si="7"/>
        <v>0</v>
      </c>
      <c r="H198" s="19" t="str">
        <f t="shared" si="8"/>
        <v>LEAInfo</v>
      </c>
    </row>
    <row r="199" spans="1:8" ht="56.25">
      <c r="A199" s="19" t="s">
        <v>503</v>
      </c>
      <c r="B199" s="20" t="s">
        <v>490</v>
      </c>
      <c r="C199" s="19" t="s">
        <v>301</v>
      </c>
      <c r="D199" s="62" t="s">
        <v>302</v>
      </c>
      <c r="E199" s="34" t="s">
        <v>894</v>
      </c>
      <c r="F199" s="62" t="s">
        <v>742</v>
      </c>
      <c r="G199" s="19">
        <f t="shared" ref="G199:G247" si="9">IF(+IFERROR(+FIND("Extended",E199,1),0)&gt;0,1,0)</f>
        <v>1</v>
      </c>
      <c r="H199" s="19" t="str">
        <f t="shared" si="8"/>
        <v>StudentAcademicRecord</v>
      </c>
    </row>
    <row r="200" spans="1:8" ht="22.5">
      <c r="A200" s="19" t="s">
        <v>659</v>
      </c>
      <c r="B200" s="20" t="s">
        <v>490</v>
      </c>
      <c r="C200" s="21" t="s">
        <v>666</v>
      </c>
      <c r="D200" s="62" t="s">
        <v>671</v>
      </c>
      <c r="E200" s="22" t="s">
        <v>681</v>
      </c>
      <c r="F200" s="62"/>
      <c r="G200" s="19">
        <f t="shared" si="9"/>
        <v>0</v>
      </c>
      <c r="H200" s="19" t="str">
        <f t="shared" si="8"/>
        <v>SchoolInfo</v>
      </c>
    </row>
    <row r="201" spans="1:8" ht="22.5">
      <c r="A201" s="19" t="s">
        <v>660</v>
      </c>
      <c r="B201" s="20" t="s">
        <v>490</v>
      </c>
      <c r="C201" s="21" t="s">
        <v>667</v>
      </c>
      <c r="D201" s="62" t="s">
        <v>673</v>
      </c>
      <c r="E201" s="22" t="s">
        <v>682</v>
      </c>
      <c r="F201" s="62"/>
      <c r="G201" s="19">
        <f t="shared" si="9"/>
        <v>0</v>
      </c>
      <c r="H201" s="19" t="str">
        <f t="shared" si="8"/>
        <v>SchoolInfo</v>
      </c>
    </row>
    <row r="202" spans="1:8" ht="33.75">
      <c r="A202" s="19" t="s">
        <v>830</v>
      </c>
      <c r="B202" s="20" t="s">
        <v>490</v>
      </c>
      <c r="C202" s="21" t="s">
        <v>831</v>
      </c>
      <c r="D202" s="22" t="s">
        <v>832</v>
      </c>
      <c r="E202" s="22" t="s">
        <v>889</v>
      </c>
      <c r="F202" s="22" t="s">
        <v>833</v>
      </c>
      <c r="G202" s="19">
        <f t="shared" si="9"/>
        <v>1</v>
      </c>
      <c r="H202" s="19" t="str">
        <f t="shared" si="8"/>
        <v>SchoolInfo</v>
      </c>
    </row>
    <row r="203" spans="1:8" ht="45">
      <c r="A203" s="19" t="s">
        <v>658</v>
      </c>
      <c r="B203" s="20" t="s">
        <v>490</v>
      </c>
      <c r="C203" s="21" t="s">
        <v>665</v>
      </c>
      <c r="D203" s="62" t="s">
        <v>672</v>
      </c>
      <c r="E203" s="22" t="s">
        <v>680</v>
      </c>
      <c r="F203" s="62"/>
      <c r="G203" s="19">
        <f t="shared" si="9"/>
        <v>0</v>
      </c>
      <c r="H203" s="19" t="str">
        <f t="shared" si="8"/>
        <v>SchoolInfo</v>
      </c>
    </row>
    <row r="204" spans="1:8" ht="67.5">
      <c r="A204" s="19" t="s">
        <v>329</v>
      </c>
      <c r="B204" s="20" t="s">
        <v>490</v>
      </c>
      <c r="C204" s="21" t="s">
        <v>3</v>
      </c>
      <c r="D204" s="62" t="s">
        <v>287</v>
      </c>
      <c r="E204" s="22" t="s">
        <v>521</v>
      </c>
      <c r="F204" s="22" t="s">
        <v>632</v>
      </c>
      <c r="G204" s="19">
        <f t="shared" si="9"/>
        <v>0</v>
      </c>
      <c r="H204" s="19" t="str">
        <f t="shared" si="8"/>
        <v>SchoolInfo</v>
      </c>
    </row>
    <row r="205" spans="1:8" ht="22.5">
      <c r="A205" s="19" t="s">
        <v>663</v>
      </c>
      <c r="B205" s="20" t="s">
        <v>490</v>
      </c>
      <c r="C205" s="21" t="s">
        <v>670</v>
      </c>
      <c r="D205" s="62" t="s">
        <v>676</v>
      </c>
      <c r="E205" s="22" t="s">
        <v>685</v>
      </c>
      <c r="F205" s="62"/>
      <c r="G205" s="19">
        <f t="shared" si="9"/>
        <v>0</v>
      </c>
      <c r="H205" s="19" t="str">
        <f t="shared" si="8"/>
        <v>SchoolInfo</v>
      </c>
    </row>
    <row r="206" spans="1:8" ht="22.5">
      <c r="A206" s="19" t="s">
        <v>661</v>
      </c>
      <c r="B206" s="20" t="s">
        <v>490</v>
      </c>
      <c r="C206" s="21" t="s">
        <v>668</v>
      </c>
      <c r="D206" s="62" t="s">
        <v>674</v>
      </c>
      <c r="E206" s="22" t="s">
        <v>683</v>
      </c>
      <c r="F206" s="62"/>
      <c r="G206" s="19">
        <f t="shared" si="9"/>
        <v>0</v>
      </c>
      <c r="H206" s="19" t="str">
        <f t="shared" si="8"/>
        <v>SchoolInfo</v>
      </c>
    </row>
    <row r="207" spans="1:8" ht="22.5">
      <c r="A207" s="19" t="s">
        <v>662</v>
      </c>
      <c r="B207" s="20" t="s">
        <v>490</v>
      </c>
      <c r="C207" s="21" t="s">
        <v>669</v>
      </c>
      <c r="D207" s="62" t="s">
        <v>675</v>
      </c>
      <c r="E207" s="22" t="s">
        <v>684</v>
      </c>
      <c r="G207" s="19">
        <f t="shared" si="9"/>
        <v>0</v>
      </c>
      <c r="H207" s="19" t="str">
        <f t="shared" ref="H207:H238" si="10">LEFT(E207,(+SEARCH("/",E207)-1))</f>
        <v>SchoolInfo</v>
      </c>
    </row>
    <row r="208" spans="1:8" ht="67.5">
      <c r="A208" s="19" t="s">
        <v>493</v>
      </c>
      <c r="B208" s="20" t="s">
        <v>490</v>
      </c>
      <c r="C208" s="19" t="s">
        <v>795</v>
      </c>
      <c r="D208" s="62" t="s">
        <v>288</v>
      </c>
      <c r="E208" s="24" t="s">
        <v>630</v>
      </c>
      <c r="F208" s="22" t="s">
        <v>754</v>
      </c>
      <c r="G208" s="19">
        <f t="shared" si="9"/>
        <v>0</v>
      </c>
      <c r="H208" s="19" t="str">
        <f t="shared" si="10"/>
        <v>StudentAcademicRecord</v>
      </c>
    </row>
    <row r="209" spans="1:8" ht="56.25">
      <c r="A209" s="19" t="s">
        <v>686</v>
      </c>
      <c r="B209" s="20" t="s">
        <v>490</v>
      </c>
      <c r="C209" s="21" t="s">
        <v>687</v>
      </c>
      <c r="D209" s="62" t="s">
        <v>688</v>
      </c>
      <c r="E209" s="22" t="s">
        <v>916</v>
      </c>
      <c r="F209" s="18" t="s">
        <v>755</v>
      </c>
      <c r="G209" s="19">
        <f t="shared" si="9"/>
        <v>1</v>
      </c>
      <c r="H209" s="19" t="str">
        <f t="shared" si="10"/>
        <v>StudentPersonal</v>
      </c>
    </row>
    <row r="210" spans="1:8" ht="45">
      <c r="A210" s="19" t="s">
        <v>325</v>
      </c>
      <c r="B210" s="20" t="s">
        <v>490</v>
      </c>
      <c r="C210" s="21" t="s">
        <v>14</v>
      </c>
      <c r="D210" s="22" t="s">
        <v>212</v>
      </c>
      <c r="E210" s="22" t="s">
        <v>549</v>
      </c>
      <c r="F210" s="18" t="s">
        <v>755</v>
      </c>
      <c r="G210" s="19">
        <f t="shared" si="9"/>
        <v>0</v>
      </c>
      <c r="H210" s="19" t="str">
        <f t="shared" si="10"/>
        <v>StudentPersonal</v>
      </c>
    </row>
    <row r="211" spans="1:8" ht="33.75">
      <c r="A211" s="19" t="s">
        <v>782</v>
      </c>
      <c r="B211" s="20" t="s">
        <v>490</v>
      </c>
      <c r="C211" s="22" t="s">
        <v>783</v>
      </c>
      <c r="D211" s="22" t="s">
        <v>784</v>
      </c>
      <c r="E211" s="22" t="s">
        <v>785</v>
      </c>
      <c r="G211" s="19">
        <f t="shared" si="9"/>
        <v>0</v>
      </c>
      <c r="H211" s="19" t="str">
        <f t="shared" si="10"/>
        <v>StudentDemographicRecord</v>
      </c>
    </row>
    <row r="212" spans="1:8" ht="33.75">
      <c r="A212" s="19" t="s">
        <v>789</v>
      </c>
      <c r="B212" s="20" t="s">
        <v>490</v>
      </c>
      <c r="C212" s="22" t="s">
        <v>786</v>
      </c>
      <c r="D212" s="22" t="s">
        <v>787</v>
      </c>
      <c r="E212" s="22" t="s">
        <v>788</v>
      </c>
      <c r="F212" s="62"/>
      <c r="G212" s="19">
        <f t="shared" si="9"/>
        <v>0</v>
      </c>
      <c r="H212" s="19" t="str">
        <f t="shared" si="10"/>
        <v>StudentDemographicRecord</v>
      </c>
    </row>
    <row r="213" spans="1:8" ht="56.25">
      <c r="A213" s="19" t="s">
        <v>756</v>
      </c>
      <c r="B213" s="20" t="s">
        <v>490</v>
      </c>
      <c r="C213" s="21" t="s">
        <v>769</v>
      </c>
      <c r="D213" s="62" t="s">
        <v>770</v>
      </c>
      <c r="E213" s="22" t="s">
        <v>771</v>
      </c>
      <c r="G213" s="19">
        <f t="shared" si="9"/>
        <v>0</v>
      </c>
      <c r="H213" s="19" t="str">
        <f t="shared" si="10"/>
        <v>StudentAcademicRecord</v>
      </c>
    </row>
    <row r="214" spans="1:8" ht="56.25">
      <c r="A214" s="19" t="s">
        <v>765</v>
      </c>
      <c r="B214" s="20" t="s">
        <v>490</v>
      </c>
      <c r="C214" s="21" t="s">
        <v>757</v>
      </c>
      <c r="D214" s="62" t="s">
        <v>758</v>
      </c>
      <c r="E214" s="22" t="s">
        <v>895</v>
      </c>
      <c r="F214" s="18" t="s">
        <v>755</v>
      </c>
      <c r="G214" s="19">
        <f t="shared" si="9"/>
        <v>1</v>
      </c>
      <c r="H214" s="19" t="str">
        <f t="shared" si="10"/>
        <v>StudentAcademicRecord</v>
      </c>
    </row>
    <row r="215" spans="1:8" ht="67.5">
      <c r="A215" s="19" t="s">
        <v>497</v>
      </c>
      <c r="B215" s="20" t="s">
        <v>490</v>
      </c>
      <c r="C215" s="19" t="s">
        <v>293</v>
      </c>
      <c r="D215" s="62" t="s">
        <v>294</v>
      </c>
      <c r="E215" s="62" t="s">
        <v>627</v>
      </c>
      <c r="F215" s="62" t="s">
        <v>641</v>
      </c>
      <c r="G215" s="19">
        <f t="shared" si="9"/>
        <v>0</v>
      </c>
      <c r="H215" s="19" t="str">
        <f t="shared" si="10"/>
        <v>StudentAcademicRecord</v>
      </c>
    </row>
    <row r="216" spans="1:8" ht="56.25">
      <c r="A216" s="19" t="s">
        <v>500</v>
      </c>
      <c r="B216" s="20" t="s">
        <v>490</v>
      </c>
      <c r="C216" s="19" t="s">
        <v>295</v>
      </c>
      <c r="D216" s="62" t="s">
        <v>296</v>
      </c>
      <c r="E216" s="62" t="s">
        <v>603</v>
      </c>
      <c r="G216" s="19">
        <f t="shared" si="9"/>
        <v>0</v>
      </c>
      <c r="H216" s="19" t="str">
        <f t="shared" si="10"/>
        <v>StudentAcademicRecord</v>
      </c>
    </row>
    <row r="217" spans="1:8" ht="33.75">
      <c r="A217" s="19" t="s">
        <v>483</v>
      </c>
      <c r="B217" s="20" t="s">
        <v>481</v>
      </c>
      <c r="C217" s="19" t="s">
        <v>469</v>
      </c>
      <c r="D217" s="62" t="s">
        <v>470</v>
      </c>
      <c r="E217" s="22" t="s">
        <v>530</v>
      </c>
      <c r="F217" s="62"/>
      <c r="G217" s="19">
        <f t="shared" si="9"/>
        <v>0</v>
      </c>
      <c r="H217" s="19" t="str">
        <f t="shared" si="10"/>
        <v>StudentAcademicRecord</v>
      </c>
    </row>
    <row r="218" spans="1:8" ht="22.5">
      <c r="A218" s="19" t="s">
        <v>484</v>
      </c>
      <c r="B218" s="20" t="s">
        <v>481</v>
      </c>
      <c r="C218" s="19" t="s">
        <v>471</v>
      </c>
      <c r="D218" s="62" t="s">
        <v>817</v>
      </c>
      <c r="E218" s="22" t="s">
        <v>537</v>
      </c>
      <c r="F218" s="37"/>
      <c r="G218" s="19">
        <f t="shared" si="9"/>
        <v>0</v>
      </c>
      <c r="H218" s="19" t="str">
        <f t="shared" si="10"/>
        <v>StudentAcademicRecord</v>
      </c>
    </row>
    <row r="219" spans="1:8" ht="33.75">
      <c r="A219" s="19" t="s">
        <v>486</v>
      </c>
      <c r="B219" s="20" t="s">
        <v>481</v>
      </c>
      <c r="C219" s="19" t="s">
        <v>148</v>
      </c>
      <c r="D219" s="62" t="s">
        <v>474</v>
      </c>
      <c r="E219" s="22" t="s">
        <v>536</v>
      </c>
      <c r="F219" s="62"/>
      <c r="G219" s="19">
        <f t="shared" si="9"/>
        <v>0</v>
      </c>
      <c r="H219" s="19" t="str">
        <f t="shared" si="10"/>
        <v>StudentAcademicRecord</v>
      </c>
    </row>
    <row r="220" spans="1:8" ht="45">
      <c r="A220" s="19" t="s">
        <v>327</v>
      </c>
      <c r="B220" s="20" t="s">
        <v>481</v>
      </c>
      <c r="C220" s="21" t="s">
        <v>0</v>
      </c>
      <c r="D220" s="62" t="s">
        <v>480</v>
      </c>
      <c r="E220" s="24" t="s">
        <v>542</v>
      </c>
      <c r="G220" s="19">
        <f t="shared" si="9"/>
        <v>0</v>
      </c>
      <c r="H220" s="19" t="str">
        <f t="shared" si="10"/>
        <v>LEAInfo</v>
      </c>
    </row>
    <row r="221" spans="1:8" ht="22.5">
      <c r="A221" s="19" t="s">
        <v>485</v>
      </c>
      <c r="B221" s="20" t="s">
        <v>481</v>
      </c>
      <c r="C221" s="19" t="s">
        <v>472</v>
      </c>
      <c r="D221" s="62" t="s">
        <v>473</v>
      </c>
      <c r="E221" s="22" t="s">
        <v>535</v>
      </c>
      <c r="F221" s="62"/>
      <c r="G221" s="19">
        <f t="shared" si="9"/>
        <v>0</v>
      </c>
      <c r="H221" s="19" t="str">
        <f t="shared" si="10"/>
        <v>StudentAcademicRecord</v>
      </c>
    </row>
    <row r="222" spans="1:8" ht="67.5">
      <c r="A222" s="19" t="s">
        <v>329</v>
      </c>
      <c r="B222" s="20" t="s">
        <v>481</v>
      </c>
      <c r="C222" s="21" t="s">
        <v>3</v>
      </c>
      <c r="D222" s="62" t="s">
        <v>287</v>
      </c>
      <c r="E222" s="22" t="s">
        <v>521</v>
      </c>
      <c r="F222" s="22" t="s">
        <v>632</v>
      </c>
      <c r="G222" s="19">
        <f t="shared" si="9"/>
        <v>0</v>
      </c>
      <c r="H222" s="19" t="str">
        <f t="shared" si="10"/>
        <v>SchoolInfo</v>
      </c>
    </row>
    <row r="223" spans="1:8" ht="33.75">
      <c r="A223" s="19" t="s">
        <v>489</v>
      </c>
      <c r="B223" s="20" t="s">
        <v>481</v>
      </c>
      <c r="C223" s="19" t="s">
        <v>479</v>
      </c>
      <c r="D223" s="62" t="s">
        <v>631</v>
      </c>
      <c r="E223" s="24" t="s">
        <v>533</v>
      </c>
      <c r="G223" s="19">
        <f t="shared" si="9"/>
        <v>0</v>
      </c>
      <c r="H223" s="19" t="str">
        <f t="shared" si="10"/>
        <v>StudentAcademicRecord</v>
      </c>
    </row>
    <row r="224" spans="1:8" ht="33.75">
      <c r="A224" s="19" t="s">
        <v>488</v>
      </c>
      <c r="B224" s="20" t="s">
        <v>481</v>
      </c>
      <c r="C224" s="19" t="s">
        <v>477</v>
      </c>
      <c r="D224" s="62" t="s">
        <v>478</v>
      </c>
      <c r="E224" s="22" t="s">
        <v>534</v>
      </c>
      <c r="G224" s="19">
        <f t="shared" si="9"/>
        <v>0</v>
      </c>
      <c r="H224" s="19" t="str">
        <f t="shared" si="10"/>
        <v>StudentAcademicRecord</v>
      </c>
    </row>
    <row r="225" spans="1:8" ht="45">
      <c r="A225" s="19" t="s">
        <v>325</v>
      </c>
      <c r="B225" s="20" t="s">
        <v>481</v>
      </c>
      <c r="C225" s="21" t="s">
        <v>14</v>
      </c>
      <c r="D225" s="22" t="s">
        <v>212</v>
      </c>
      <c r="E225" s="24" t="s">
        <v>549</v>
      </c>
      <c r="G225" s="19">
        <f t="shared" si="9"/>
        <v>0</v>
      </c>
      <c r="H225" s="19" t="str">
        <f t="shared" si="10"/>
        <v>StudentPersonal</v>
      </c>
    </row>
    <row r="226" spans="1:8" ht="78.75">
      <c r="A226" s="19" t="s">
        <v>487</v>
      </c>
      <c r="B226" s="20" t="s">
        <v>481</v>
      </c>
      <c r="C226" s="19" t="s">
        <v>475</v>
      </c>
      <c r="D226" s="62" t="s">
        <v>476</v>
      </c>
      <c r="E226" s="22" t="s">
        <v>532</v>
      </c>
      <c r="F226" s="18" t="s">
        <v>774</v>
      </c>
      <c r="G226" s="19">
        <f t="shared" si="9"/>
        <v>0</v>
      </c>
      <c r="H226" s="19" t="str">
        <f t="shared" si="10"/>
        <v>StudentAcademicRecord</v>
      </c>
    </row>
    <row r="227" spans="1:8" ht="33.75">
      <c r="A227" s="19" t="s">
        <v>482</v>
      </c>
      <c r="B227" s="20" t="s">
        <v>481</v>
      </c>
      <c r="C227" s="19" t="s">
        <v>467</v>
      </c>
      <c r="D227" s="62" t="s">
        <v>468</v>
      </c>
      <c r="E227" s="39" t="s">
        <v>531</v>
      </c>
      <c r="F227" s="18" t="s">
        <v>773</v>
      </c>
      <c r="G227" s="19">
        <f t="shared" si="9"/>
        <v>0</v>
      </c>
      <c r="H227" s="19" t="str">
        <f t="shared" si="10"/>
        <v>StudentAcademicRecord</v>
      </c>
    </row>
    <row r="228" spans="1:8" ht="78.75">
      <c r="A228" s="19" t="s">
        <v>456</v>
      </c>
      <c r="B228" s="20" t="s">
        <v>451</v>
      </c>
      <c r="C228" s="23" t="s">
        <v>216</v>
      </c>
      <c r="D228" s="22" t="s">
        <v>217</v>
      </c>
      <c r="E228" s="62" t="s">
        <v>818</v>
      </c>
      <c r="G228" s="19">
        <f t="shared" si="9"/>
        <v>0</v>
      </c>
      <c r="H228" s="19" t="str">
        <f t="shared" si="10"/>
        <v>StudentAcademicRecord</v>
      </c>
    </row>
    <row r="229" spans="1:8" ht="45">
      <c r="A229" s="19" t="s">
        <v>454</v>
      </c>
      <c r="B229" s="20" t="s">
        <v>451</v>
      </c>
      <c r="C229" s="21" t="s">
        <v>213</v>
      </c>
      <c r="D229" s="22" t="s">
        <v>453</v>
      </c>
      <c r="E229" s="22" t="s">
        <v>590</v>
      </c>
      <c r="F229" s="18" t="s">
        <v>781</v>
      </c>
      <c r="G229" s="19">
        <f t="shared" si="9"/>
        <v>0</v>
      </c>
      <c r="H229" s="19" t="str">
        <f t="shared" si="10"/>
        <v>StudentAcademicRecord</v>
      </c>
    </row>
    <row r="230" spans="1:8" ht="33.75">
      <c r="A230" s="19" t="s">
        <v>462</v>
      </c>
      <c r="B230" s="20" t="s">
        <v>451</v>
      </c>
      <c r="C230" s="23" t="s">
        <v>623</v>
      </c>
      <c r="D230" s="22" t="s">
        <v>225</v>
      </c>
      <c r="E230" s="62" t="s">
        <v>875</v>
      </c>
      <c r="F230" s="62"/>
      <c r="G230" s="19">
        <f t="shared" si="9"/>
        <v>0</v>
      </c>
      <c r="H230" s="19" t="str">
        <f t="shared" si="10"/>
        <v>StudentAcademicRecord</v>
      </c>
    </row>
    <row r="231" spans="1:8" ht="33.75">
      <c r="A231" s="19" t="s">
        <v>460</v>
      </c>
      <c r="B231" s="20" t="s">
        <v>451</v>
      </c>
      <c r="C231" s="23" t="s">
        <v>621</v>
      </c>
      <c r="D231" s="22" t="s">
        <v>223</v>
      </c>
      <c r="E231" s="22" t="s">
        <v>697</v>
      </c>
      <c r="F231" s="62"/>
      <c r="G231" s="19">
        <f t="shared" si="9"/>
        <v>0</v>
      </c>
      <c r="H231" s="19" t="str">
        <f t="shared" si="10"/>
        <v>StudentAcademicRecord</v>
      </c>
    </row>
    <row r="232" spans="1:8" ht="33.75">
      <c r="A232" s="19" t="s">
        <v>461</v>
      </c>
      <c r="B232" s="20" t="s">
        <v>451</v>
      </c>
      <c r="C232" s="23" t="s">
        <v>622</v>
      </c>
      <c r="D232" s="22" t="s">
        <v>224</v>
      </c>
      <c r="E232" s="22" t="s">
        <v>698</v>
      </c>
      <c r="G232" s="19">
        <f t="shared" si="9"/>
        <v>0</v>
      </c>
      <c r="H232" s="19" t="str">
        <f t="shared" si="10"/>
        <v>StudentAcademicRecord</v>
      </c>
    </row>
    <row r="233" spans="1:8" ht="33.75">
      <c r="A233" s="19" t="s">
        <v>522</v>
      </c>
      <c r="B233" s="20" t="s">
        <v>451</v>
      </c>
      <c r="C233" s="23" t="s">
        <v>624</v>
      </c>
      <c r="D233" s="36" t="s">
        <v>226</v>
      </c>
      <c r="E233" s="62" t="s">
        <v>876</v>
      </c>
      <c r="F233" s="62"/>
      <c r="G233" s="19">
        <f t="shared" si="9"/>
        <v>0</v>
      </c>
      <c r="H233" s="19" t="str">
        <f t="shared" si="10"/>
        <v>StudentAcademicRecord</v>
      </c>
    </row>
    <row r="234" spans="1:8" ht="33.75">
      <c r="A234" s="19" t="s">
        <v>455</v>
      </c>
      <c r="B234" s="20" t="s">
        <v>451</v>
      </c>
      <c r="C234" s="23" t="s">
        <v>214</v>
      </c>
      <c r="D234" s="22" t="s">
        <v>215</v>
      </c>
      <c r="E234" s="22" t="s">
        <v>619</v>
      </c>
      <c r="F234" s="62"/>
      <c r="G234" s="19">
        <f t="shared" si="9"/>
        <v>0</v>
      </c>
      <c r="H234" s="19" t="str">
        <f t="shared" si="10"/>
        <v>StudentAcademicRecord</v>
      </c>
    </row>
    <row r="235" spans="1:8" ht="45">
      <c r="A235" s="19" t="s">
        <v>458</v>
      </c>
      <c r="B235" s="20" t="s">
        <v>451</v>
      </c>
      <c r="C235" s="23" t="s">
        <v>220</v>
      </c>
      <c r="D235" s="22" t="s">
        <v>221</v>
      </c>
      <c r="E235" s="22" t="s">
        <v>620</v>
      </c>
      <c r="F235" s="62"/>
      <c r="G235" s="19">
        <f t="shared" si="9"/>
        <v>0</v>
      </c>
      <c r="H235" s="19" t="str">
        <f t="shared" si="10"/>
        <v>StudentAcademicRecord</v>
      </c>
    </row>
    <row r="236" spans="1:8" ht="67.5">
      <c r="A236" s="19" t="s">
        <v>457</v>
      </c>
      <c r="B236" s="20" t="s">
        <v>451</v>
      </c>
      <c r="C236" s="23" t="s">
        <v>218</v>
      </c>
      <c r="D236" s="22" t="s">
        <v>219</v>
      </c>
      <c r="E236" s="22" t="s">
        <v>591</v>
      </c>
      <c r="F236" s="35" t="s">
        <v>736</v>
      </c>
      <c r="G236" s="19">
        <f t="shared" si="9"/>
        <v>0</v>
      </c>
      <c r="H236" s="19" t="str">
        <f t="shared" si="10"/>
        <v>StudentAcademicRecord</v>
      </c>
    </row>
    <row r="237" spans="1:8" ht="33.75">
      <c r="A237" s="19" t="s">
        <v>633</v>
      </c>
      <c r="B237" s="20" t="s">
        <v>451</v>
      </c>
      <c r="C237" s="21" t="s">
        <v>148</v>
      </c>
      <c r="D237" s="62" t="s">
        <v>625</v>
      </c>
      <c r="E237" s="22" t="s">
        <v>626</v>
      </c>
      <c r="G237" s="19">
        <f t="shared" si="9"/>
        <v>0</v>
      </c>
      <c r="H237" s="19" t="str">
        <f t="shared" si="10"/>
        <v>StudentAcademicRecord</v>
      </c>
    </row>
    <row r="238" spans="1:8" ht="33.75">
      <c r="A238" s="19" t="s">
        <v>327</v>
      </c>
      <c r="B238" s="20" t="s">
        <v>451</v>
      </c>
      <c r="C238" s="21" t="s">
        <v>0</v>
      </c>
      <c r="D238" s="62" t="s">
        <v>13</v>
      </c>
      <c r="E238" s="22" t="s">
        <v>542</v>
      </c>
      <c r="G238" s="19">
        <f t="shared" si="9"/>
        <v>0</v>
      </c>
      <c r="H238" s="19" t="str">
        <f t="shared" si="10"/>
        <v>LEAInfo</v>
      </c>
    </row>
    <row r="239" spans="1:8" ht="67.5">
      <c r="A239" s="19" t="s">
        <v>329</v>
      </c>
      <c r="B239" s="20" t="s">
        <v>451</v>
      </c>
      <c r="C239" s="21" t="s">
        <v>3</v>
      </c>
      <c r="D239" s="62" t="s">
        <v>287</v>
      </c>
      <c r="E239" s="22" t="s">
        <v>521</v>
      </c>
      <c r="F239" s="22" t="s">
        <v>632</v>
      </c>
      <c r="G239" s="19">
        <f t="shared" si="9"/>
        <v>0</v>
      </c>
      <c r="H239" s="19" t="str">
        <f t="shared" ref="H239:H247" si="11">LEFT(E239,(+SEARCH("/",E239)-1))</f>
        <v>SchoolInfo</v>
      </c>
    </row>
    <row r="240" spans="1:8" ht="56.25">
      <c r="A240" s="19" t="s">
        <v>459</v>
      </c>
      <c r="B240" s="20" t="s">
        <v>451</v>
      </c>
      <c r="C240" s="23" t="s">
        <v>2</v>
      </c>
      <c r="D240" s="22" t="s">
        <v>222</v>
      </c>
      <c r="E240" s="22" t="s">
        <v>592</v>
      </c>
      <c r="F240" s="62"/>
      <c r="G240" s="19">
        <f t="shared" si="9"/>
        <v>0</v>
      </c>
      <c r="H240" s="19" t="str">
        <f t="shared" si="11"/>
        <v>StudentAcademicRecord</v>
      </c>
    </row>
    <row r="241" spans="1:8" ht="45">
      <c r="A241" s="19" t="s">
        <v>325</v>
      </c>
      <c r="B241" s="20" t="s">
        <v>451</v>
      </c>
      <c r="C241" s="21" t="s">
        <v>14</v>
      </c>
      <c r="D241" s="22" t="s">
        <v>212</v>
      </c>
      <c r="E241" s="22" t="s">
        <v>549</v>
      </c>
      <c r="F241" s="62"/>
      <c r="G241" s="19">
        <f t="shared" si="9"/>
        <v>0</v>
      </c>
      <c r="H241" s="19" t="str">
        <f t="shared" si="11"/>
        <v>StudentPersonal</v>
      </c>
    </row>
    <row r="242" spans="1:8" ht="78.75">
      <c r="A242" s="19" t="s">
        <v>464</v>
      </c>
      <c r="B242" s="20" t="s">
        <v>452</v>
      </c>
      <c r="C242" s="21" t="s">
        <v>229</v>
      </c>
      <c r="D242" s="22" t="s">
        <v>230</v>
      </c>
      <c r="E242" s="22" t="s">
        <v>591</v>
      </c>
      <c r="F242" s="62" t="s">
        <v>738</v>
      </c>
      <c r="G242" s="19">
        <f t="shared" si="9"/>
        <v>0</v>
      </c>
      <c r="H242" s="19" t="str">
        <f t="shared" si="11"/>
        <v>StudentAcademicRecord</v>
      </c>
    </row>
    <row r="243" spans="1:8" ht="67.5">
      <c r="A243" s="19" t="s">
        <v>463</v>
      </c>
      <c r="B243" s="20" t="s">
        <v>452</v>
      </c>
      <c r="C243" s="21" t="s">
        <v>227</v>
      </c>
      <c r="D243" s="22" t="s">
        <v>228</v>
      </c>
      <c r="E243" s="22" t="s">
        <v>593</v>
      </c>
      <c r="F243" s="62"/>
      <c r="G243" s="19">
        <f t="shared" si="9"/>
        <v>0</v>
      </c>
      <c r="H243" s="19" t="str">
        <f t="shared" si="11"/>
        <v>StudentAcademicRecord</v>
      </c>
    </row>
    <row r="244" spans="1:8" ht="33.75">
      <c r="A244" s="19" t="s">
        <v>327</v>
      </c>
      <c r="B244" s="20" t="s">
        <v>452</v>
      </c>
      <c r="C244" s="21" t="s">
        <v>0</v>
      </c>
      <c r="D244" s="62" t="s">
        <v>13</v>
      </c>
      <c r="E244" s="24" t="s">
        <v>542</v>
      </c>
      <c r="G244" s="19">
        <f t="shared" si="9"/>
        <v>0</v>
      </c>
      <c r="H244" s="19" t="str">
        <f t="shared" si="11"/>
        <v>LEAInfo</v>
      </c>
    </row>
    <row r="245" spans="1:8" ht="67.5">
      <c r="A245" s="19" t="s">
        <v>465</v>
      </c>
      <c r="B245" s="20" t="s">
        <v>452</v>
      </c>
      <c r="C245" s="21" t="s">
        <v>231</v>
      </c>
      <c r="D245" s="22" t="s">
        <v>232</v>
      </c>
      <c r="E245" s="22" t="s">
        <v>599</v>
      </c>
      <c r="G245" s="19">
        <f t="shared" si="9"/>
        <v>0</v>
      </c>
      <c r="H245" s="19" t="str">
        <f t="shared" si="11"/>
        <v>StudentAcademicRecord</v>
      </c>
    </row>
    <row r="246" spans="1:8" ht="67.5">
      <c r="A246" s="19" t="s">
        <v>329</v>
      </c>
      <c r="B246" s="20" t="s">
        <v>452</v>
      </c>
      <c r="C246" s="21" t="s">
        <v>3</v>
      </c>
      <c r="D246" s="62" t="s">
        <v>287</v>
      </c>
      <c r="E246" s="22" t="s">
        <v>521</v>
      </c>
      <c r="F246" s="22" t="s">
        <v>632</v>
      </c>
      <c r="G246" s="19">
        <f t="shared" si="9"/>
        <v>0</v>
      </c>
      <c r="H246" s="19" t="str">
        <f t="shared" si="11"/>
        <v>SchoolInfo</v>
      </c>
    </row>
    <row r="247" spans="1:8" ht="45">
      <c r="A247" s="19" t="s">
        <v>325</v>
      </c>
      <c r="B247" s="20" t="s">
        <v>452</v>
      </c>
      <c r="C247" s="21" t="s">
        <v>14</v>
      </c>
      <c r="D247" s="22" t="s">
        <v>212</v>
      </c>
      <c r="E247" s="22" t="s">
        <v>549</v>
      </c>
      <c r="F247" s="62"/>
      <c r="G247" s="19">
        <f t="shared" si="9"/>
        <v>0</v>
      </c>
      <c r="H247" s="19" t="str">
        <f t="shared" si="11"/>
        <v>StudentPersonal</v>
      </c>
    </row>
    <row r="250" spans="1:8" ht="12" thickBot="1"/>
    <row r="251" spans="1:8" ht="11.25" customHeight="1">
      <c r="A251" s="40" t="s">
        <v>642</v>
      </c>
      <c r="B251" s="41"/>
      <c r="C251" s="42"/>
    </row>
    <row r="252" spans="1:8">
      <c r="A252" s="43"/>
      <c r="B252" s="33"/>
      <c r="C252" s="44"/>
    </row>
    <row r="253" spans="1:8">
      <c r="A253" s="43" t="s">
        <v>240</v>
      </c>
      <c r="B253" s="45" t="s">
        <v>643</v>
      </c>
      <c r="C253" s="46"/>
    </row>
    <row r="254" spans="1:8">
      <c r="A254" s="43" t="s">
        <v>241</v>
      </c>
      <c r="B254" s="45" t="s">
        <v>644</v>
      </c>
      <c r="C254" s="46"/>
    </row>
    <row r="255" spans="1:8">
      <c r="A255" s="43" t="s">
        <v>235</v>
      </c>
      <c r="B255" s="45" t="s">
        <v>645</v>
      </c>
      <c r="C255" s="46"/>
    </row>
    <row r="256" spans="1:8">
      <c r="A256" s="43" t="s">
        <v>286</v>
      </c>
      <c r="B256" s="45" t="s">
        <v>646</v>
      </c>
      <c r="C256" s="46"/>
    </row>
    <row r="257" spans="1:3">
      <c r="A257" s="43" t="s">
        <v>284</v>
      </c>
      <c r="B257" s="45" t="s">
        <v>647</v>
      </c>
      <c r="C257" s="46"/>
    </row>
    <row r="258" spans="1:3">
      <c r="A258" s="43" t="s">
        <v>285</v>
      </c>
      <c r="B258" s="45" t="s">
        <v>648</v>
      </c>
      <c r="C258" s="46"/>
    </row>
    <row r="259" spans="1:3">
      <c r="A259" s="43" t="s">
        <v>237</v>
      </c>
      <c r="B259" s="45" t="s">
        <v>649</v>
      </c>
      <c r="C259" s="46"/>
    </row>
    <row r="260" spans="1:3">
      <c r="A260" s="43" t="s">
        <v>238</v>
      </c>
      <c r="B260" s="45" t="s">
        <v>650</v>
      </c>
      <c r="C260" s="46"/>
    </row>
    <row r="261" spans="1:3">
      <c r="A261" s="43" t="s">
        <v>239</v>
      </c>
      <c r="B261" s="45" t="s">
        <v>651</v>
      </c>
      <c r="C261" s="46"/>
    </row>
    <row r="262" spans="1:3">
      <c r="A262" s="43" t="s">
        <v>236</v>
      </c>
      <c r="B262" s="45" t="s">
        <v>652</v>
      </c>
      <c r="C262" s="46"/>
    </row>
    <row r="263" spans="1:3">
      <c r="A263" s="43" t="s">
        <v>490</v>
      </c>
      <c r="B263" s="45" t="s">
        <v>653</v>
      </c>
      <c r="C263" s="46"/>
    </row>
    <row r="264" spans="1:3">
      <c r="A264" s="43" t="s">
        <v>481</v>
      </c>
      <c r="B264" s="45" t="s">
        <v>654</v>
      </c>
      <c r="C264" s="46"/>
    </row>
    <row r="265" spans="1:3">
      <c r="A265" s="43" t="s">
        <v>451</v>
      </c>
      <c r="B265" s="45" t="s">
        <v>655</v>
      </c>
      <c r="C265" s="46"/>
    </row>
    <row r="266" spans="1:3">
      <c r="A266" s="43" t="s">
        <v>452</v>
      </c>
      <c r="B266" s="45" t="s">
        <v>656</v>
      </c>
      <c r="C266" s="46"/>
    </row>
    <row r="267" spans="1:3">
      <c r="A267" s="43"/>
      <c r="B267" s="45"/>
      <c r="C267" s="46"/>
    </row>
    <row r="268" spans="1:3">
      <c r="A268" s="43" t="s">
        <v>605</v>
      </c>
      <c r="B268" s="45" t="s">
        <v>873</v>
      </c>
      <c r="C268" s="46"/>
    </row>
    <row r="269" spans="1:3" ht="12" thickBot="1">
      <c r="A269" s="47"/>
      <c r="B269" s="48"/>
      <c r="C269" s="49"/>
    </row>
  </sheetData>
  <sortState ref="A3:H244">
    <sortCondition ref="B2"/>
  </sortState>
  <dataConsolidate/>
  <mergeCells count="1">
    <mergeCell ref="A1:F1"/>
  </mergeCells>
  <printOptions gridLines="1"/>
  <pageMargins left="0.43" right="0.43" top="1" bottom="1" header="0.3" footer="0.3"/>
  <pageSetup fitToHeight="84" orientation="landscape" r:id="rId1"/>
  <headerFooter>
    <oddHeader>&amp;C&amp;"Arial,Bold"&amp;12USOE SIF Profile - SIF Spec 2.4</oddHeader>
    <oddFooter>&amp;C&amp;"Arial,Regular"&amp;9Version 2.4,  Feb 28, 2012&amp;R&amp;"Arial,Regular"&amp;9Page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8"/>
  <sheetViews>
    <sheetView zoomScale="90" zoomScaleNormal="90" workbookViewId="0"/>
  </sheetViews>
  <sheetFormatPr defaultRowHeight="15"/>
  <cols>
    <col min="1" max="1" width="30.7109375" customWidth="1"/>
    <col min="2" max="4" width="5.7109375" customWidth="1"/>
    <col min="5" max="5" width="5" customWidth="1"/>
    <col min="6" max="6" width="7.7109375" customWidth="1"/>
    <col min="7" max="7" width="6.28515625" customWidth="1"/>
    <col min="8" max="8" width="7.28515625" customWidth="1"/>
    <col min="9" max="9" width="75" customWidth="1"/>
  </cols>
  <sheetData>
    <row r="1" spans="1:9" ht="206.25">
      <c r="A1" s="54" t="s">
        <v>838</v>
      </c>
      <c r="B1" s="55" t="s">
        <v>839</v>
      </c>
      <c r="C1" s="55" t="s">
        <v>840</v>
      </c>
      <c r="D1" s="55" t="s">
        <v>841</v>
      </c>
      <c r="E1" s="56"/>
      <c r="F1" s="55" t="s">
        <v>842</v>
      </c>
      <c r="G1" s="55" t="s">
        <v>843</v>
      </c>
      <c r="H1" s="55" t="s">
        <v>604</v>
      </c>
    </row>
    <row r="2" spans="1:9">
      <c r="A2" t="s">
        <v>844</v>
      </c>
      <c r="B2" s="57" t="s">
        <v>845</v>
      </c>
      <c r="C2" s="57"/>
      <c r="D2" s="57"/>
      <c r="E2" s="58"/>
      <c r="F2" s="57" t="s">
        <v>845</v>
      </c>
      <c r="G2" s="57"/>
      <c r="H2" s="57"/>
    </row>
    <row r="3" spans="1:9">
      <c r="A3" t="s">
        <v>874</v>
      </c>
      <c r="B3" s="57" t="s">
        <v>845</v>
      </c>
      <c r="C3" s="57"/>
      <c r="D3" s="57"/>
      <c r="E3" s="58"/>
      <c r="F3" s="57" t="s">
        <v>845</v>
      </c>
      <c r="G3" s="57"/>
      <c r="H3" s="57"/>
    </row>
    <row r="4" spans="1:9">
      <c r="A4" t="s">
        <v>846</v>
      </c>
      <c r="B4" s="57" t="s">
        <v>845</v>
      </c>
      <c r="C4" s="57"/>
      <c r="D4" s="57"/>
      <c r="E4" s="58"/>
      <c r="F4" s="57" t="s">
        <v>845</v>
      </c>
      <c r="G4" s="57" t="s">
        <v>845</v>
      </c>
      <c r="H4" s="57" t="s">
        <v>845</v>
      </c>
    </row>
    <row r="5" spans="1:9">
      <c r="A5" t="s">
        <v>847</v>
      </c>
      <c r="B5" s="57" t="s">
        <v>845</v>
      </c>
      <c r="C5" s="57"/>
      <c r="D5" s="57"/>
      <c r="E5" s="58"/>
      <c r="F5" s="57" t="s">
        <v>845</v>
      </c>
      <c r="G5" s="57" t="s">
        <v>845</v>
      </c>
      <c r="H5" s="57"/>
    </row>
    <row r="6" spans="1:9">
      <c r="A6" t="s">
        <v>848</v>
      </c>
      <c r="B6" s="57" t="s">
        <v>845</v>
      </c>
      <c r="C6" s="57"/>
      <c r="D6" s="57"/>
      <c r="E6" s="58"/>
      <c r="F6" s="57" t="s">
        <v>845</v>
      </c>
      <c r="G6" s="57" t="s">
        <v>845</v>
      </c>
      <c r="H6" s="57" t="s">
        <v>845</v>
      </c>
    </row>
    <row r="7" spans="1:9">
      <c r="A7" t="s">
        <v>849</v>
      </c>
      <c r="B7" s="57" t="s">
        <v>845</v>
      </c>
      <c r="C7" s="57"/>
      <c r="D7" s="57"/>
      <c r="E7" s="58"/>
      <c r="F7" s="57" t="s">
        <v>845</v>
      </c>
      <c r="G7" s="57"/>
      <c r="H7" s="57"/>
    </row>
    <row r="8" spans="1:9" ht="30">
      <c r="A8" t="s">
        <v>850</v>
      </c>
      <c r="B8" s="57" t="s">
        <v>853</v>
      </c>
      <c r="C8" s="57"/>
      <c r="D8" s="57"/>
      <c r="E8" s="58"/>
      <c r="F8" s="57" t="s">
        <v>853</v>
      </c>
      <c r="G8" s="57"/>
      <c r="H8" s="57"/>
      <c r="I8" s="71" t="s">
        <v>1066</v>
      </c>
    </row>
    <row r="9" spans="1:9">
      <c r="A9" t="s">
        <v>851</v>
      </c>
      <c r="B9" s="57" t="s">
        <v>845</v>
      </c>
      <c r="C9" s="57"/>
      <c r="D9" s="57"/>
      <c r="E9" s="58"/>
      <c r="F9" s="57"/>
      <c r="G9" s="57" t="s">
        <v>845</v>
      </c>
      <c r="H9" s="57"/>
      <c r="I9" t="s">
        <v>1015</v>
      </c>
    </row>
    <row r="10" spans="1:9">
      <c r="A10" t="s">
        <v>852</v>
      </c>
      <c r="B10" s="57" t="s">
        <v>845</v>
      </c>
      <c r="C10" s="57"/>
      <c r="D10" s="57"/>
      <c r="E10" s="58"/>
      <c r="F10" s="57" t="s">
        <v>845</v>
      </c>
      <c r="G10" s="57"/>
      <c r="H10" s="57"/>
      <c r="I10" t="s">
        <v>1063</v>
      </c>
    </row>
    <row r="11" spans="1:9">
      <c r="A11" t="s">
        <v>877</v>
      </c>
      <c r="B11" s="57" t="s">
        <v>845</v>
      </c>
      <c r="C11" s="57"/>
      <c r="D11" s="57"/>
      <c r="E11" s="58"/>
      <c r="F11" s="57"/>
      <c r="G11" s="57" t="s">
        <v>845</v>
      </c>
      <c r="H11" s="57"/>
      <c r="I11" t="s">
        <v>1015</v>
      </c>
    </row>
    <row r="12" spans="1:9" ht="30">
      <c r="A12" t="s">
        <v>878</v>
      </c>
      <c r="B12" s="57" t="s">
        <v>853</v>
      </c>
      <c r="C12" s="57"/>
      <c r="D12" s="57"/>
      <c r="E12" s="58"/>
      <c r="F12" s="57" t="s">
        <v>845</v>
      </c>
      <c r="G12" s="57"/>
      <c r="H12" s="57"/>
      <c r="I12" s="71" t="s">
        <v>1065</v>
      </c>
    </row>
    <row r="13" spans="1:9">
      <c r="A13" t="s">
        <v>854</v>
      </c>
      <c r="B13" s="57" t="s">
        <v>845</v>
      </c>
      <c r="C13" s="57"/>
      <c r="D13" s="57"/>
      <c r="E13" s="58"/>
      <c r="F13" s="57" t="s">
        <v>845</v>
      </c>
      <c r="G13" s="57"/>
      <c r="H13" s="57"/>
      <c r="I13" t="s">
        <v>1064</v>
      </c>
    </row>
    <row r="14" spans="1:9">
      <c r="A14" t="s">
        <v>855</v>
      </c>
      <c r="B14" s="57" t="s">
        <v>845</v>
      </c>
      <c r="C14" s="57" t="s">
        <v>845</v>
      </c>
      <c r="D14" s="57" t="s">
        <v>845</v>
      </c>
      <c r="E14" s="58"/>
      <c r="F14" s="57" t="s">
        <v>845</v>
      </c>
      <c r="G14" s="57" t="s">
        <v>845</v>
      </c>
      <c r="H14" s="57" t="s">
        <v>845</v>
      </c>
    </row>
    <row r="15" spans="1:9">
      <c r="A15" t="s">
        <v>856</v>
      </c>
      <c r="B15" s="57" t="s">
        <v>845</v>
      </c>
      <c r="C15" s="57"/>
      <c r="D15" s="57" t="s">
        <v>845</v>
      </c>
      <c r="E15" s="58"/>
      <c r="F15" s="57" t="s">
        <v>845</v>
      </c>
      <c r="G15" s="57" t="s">
        <v>845</v>
      </c>
      <c r="H15" s="57" t="s">
        <v>845</v>
      </c>
    </row>
    <row r="16" spans="1:9">
      <c r="A16" t="s">
        <v>857</v>
      </c>
      <c r="B16" s="57" t="s">
        <v>845</v>
      </c>
      <c r="C16" s="57"/>
      <c r="D16" s="57"/>
      <c r="E16" s="58"/>
      <c r="F16" s="57" t="s">
        <v>845</v>
      </c>
      <c r="G16" s="57"/>
      <c r="H16" s="57"/>
    </row>
    <row r="17" spans="1:8">
      <c r="A17" t="s">
        <v>858</v>
      </c>
      <c r="B17" s="57" t="s">
        <v>845</v>
      </c>
      <c r="C17" s="57"/>
      <c r="D17" s="57"/>
      <c r="E17" s="58"/>
      <c r="F17" s="57" t="s">
        <v>845</v>
      </c>
      <c r="G17" s="57"/>
      <c r="H17" s="57"/>
    </row>
    <row r="20" spans="1:8" ht="15.75">
      <c r="A20" s="66" t="s">
        <v>1014</v>
      </c>
    </row>
    <row r="21" spans="1:8" ht="15.75">
      <c r="A21" s="66"/>
    </row>
    <row r="22" spans="1:8">
      <c r="A22" t="s">
        <v>1016</v>
      </c>
    </row>
    <row r="23" spans="1:8">
      <c r="A23" t="s">
        <v>1045</v>
      </c>
    </row>
    <row r="24" spans="1:8">
      <c r="A24" s="68" t="s">
        <v>1047</v>
      </c>
    </row>
    <row r="25" spans="1:8">
      <c r="A25" s="68" t="s">
        <v>1024</v>
      </c>
    </row>
    <row r="26" spans="1:8">
      <c r="A26" s="68" t="s">
        <v>1022</v>
      </c>
    </row>
    <row r="27" spans="1:8">
      <c r="A27" s="68"/>
    </row>
    <row r="28" spans="1:8">
      <c r="A28" t="s">
        <v>1017</v>
      </c>
    </row>
    <row r="29" spans="1:8">
      <c r="A29" t="s">
        <v>1046</v>
      </c>
    </row>
    <row r="30" spans="1:8">
      <c r="A30" s="68" t="s">
        <v>1048</v>
      </c>
    </row>
    <row r="31" spans="1:8">
      <c r="A31" s="68" t="s">
        <v>1024</v>
      </c>
    </row>
    <row r="32" spans="1:8">
      <c r="A32" s="68" t="s">
        <v>1021</v>
      </c>
    </row>
    <row r="33" spans="1:1">
      <c r="A33" s="68"/>
    </row>
    <row r="34" spans="1:1">
      <c r="A34" t="s">
        <v>1018</v>
      </c>
    </row>
    <row r="35" spans="1:1">
      <c r="A35" t="s">
        <v>1052</v>
      </c>
    </row>
    <row r="36" spans="1:1">
      <c r="A36" s="68" t="s">
        <v>1023</v>
      </c>
    </row>
    <row r="37" spans="1:1">
      <c r="A37" s="68" t="s">
        <v>1024</v>
      </c>
    </row>
    <row r="38" spans="1:1">
      <c r="A38" s="68" t="s">
        <v>1025</v>
      </c>
    </row>
    <row r="39" spans="1:1">
      <c r="A39" s="68"/>
    </row>
    <row r="40" spans="1:1">
      <c r="A40" s="68" t="s">
        <v>1050</v>
      </c>
    </row>
    <row r="41" spans="1:1">
      <c r="A41" s="68" t="s">
        <v>1051</v>
      </c>
    </row>
    <row r="42" spans="1:1">
      <c r="A42" s="68" t="s">
        <v>1053</v>
      </c>
    </row>
    <row r="43" spans="1:1">
      <c r="A43" s="68" t="s">
        <v>1054</v>
      </c>
    </row>
    <row r="44" spans="1:1">
      <c r="A44" s="68" t="s">
        <v>1055</v>
      </c>
    </row>
    <row r="45" spans="1:1">
      <c r="A45" s="68" t="s">
        <v>1060</v>
      </c>
    </row>
    <row r="46" spans="1:1">
      <c r="A46" s="68"/>
    </row>
    <row r="47" spans="1:1">
      <c r="A47" t="s">
        <v>1019</v>
      </c>
    </row>
    <row r="48" spans="1:1">
      <c r="A48" t="s">
        <v>1020</v>
      </c>
    </row>
    <row r="49" spans="1:1">
      <c r="A49" t="s">
        <v>1049</v>
      </c>
    </row>
    <row r="50" spans="1:1">
      <c r="A50" t="s">
        <v>1026</v>
      </c>
    </row>
    <row r="51" spans="1:1">
      <c r="A51" t="s">
        <v>1027</v>
      </c>
    </row>
    <row r="52" spans="1:1">
      <c r="A52" t="s">
        <v>1061</v>
      </c>
    </row>
    <row r="53" spans="1:1">
      <c r="A53" t="s">
        <v>1062</v>
      </c>
    </row>
    <row r="54" spans="1:1">
      <c r="A54" t="s">
        <v>1028</v>
      </c>
    </row>
    <row r="55" spans="1:1">
      <c r="A55" t="s">
        <v>1029</v>
      </c>
    </row>
    <row r="56" spans="1:1">
      <c r="A56" t="s">
        <v>1030</v>
      </c>
    </row>
    <row r="57" spans="1:1">
      <c r="A57" t="s">
        <v>1031</v>
      </c>
    </row>
    <row r="58" spans="1:1">
      <c r="A58" t="s">
        <v>1037</v>
      </c>
    </row>
  </sheetData>
  <pageMargins left="0.7" right="0.7" top="0.75" bottom="0.75" header="0.3" footer="0.3"/>
  <pageSetup scale="82"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Change Log</vt:lpstr>
      <vt:lpstr>SIF Profile</vt:lpstr>
      <vt:lpstr>SIF Objects List</vt:lpstr>
      <vt:lpstr>'SIF Profile'!Print_Area</vt:lpstr>
      <vt:lpstr>'SIF Profile'!Print_Titles</vt:lpstr>
      <vt:lpstr>'SIF Profile'!StudentAcademicRecord__CourseHistory__Term__Courses__Course__MarkingPeriods__MarkingPeriod__MarkData__Letter</vt:lpstr>
    </vt:vector>
  </TitlesOfParts>
  <Company>Pearson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ujarvqu</dc:creator>
  <cp:lastModifiedBy>vrobeja</cp:lastModifiedBy>
  <cp:lastPrinted>2012-02-28T19:43:57Z</cp:lastPrinted>
  <dcterms:created xsi:type="dcterms:W3CDTF">2010-12-08T17:55:31Z</dcterms:created>
  <dcterms:modified xsi:type="dcterms:W3CDTF">2012-02-28T19:44:14Z</dcterms:modified>
</cp:coreProperties>
</file>