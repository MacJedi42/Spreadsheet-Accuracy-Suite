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5315" windowHeight="4410"/>
  </bookViews>
  <sheets>
    <sheet name="CPI-Jul2011" sheetId="1" r:id="rId1"/>
    <sheet name="BLS-Jul2011" sheetId="7" r:id="rId2"/>
  </sheets>
  <definedNames>
    <definedName name="_Regression_Int" localSheetId="0" hidden="1">1</definedName>
    <definedName name="_xlnm.Print_Area" localSheetId="1">'BLS-Jul2011'!$F$11:$P$21</definedName>
    <definedName name="_xlnm.Print_Area" localSheetId="0">'CPI-Jul2011'!$A$3:$L$37</definedName>
    <definedName name="Print_Area_MI">'CPI-Jul2011'!$A$3:$E$37</definedName>
    <definedName name="_xlnm.Print_Titles" localSheetId="1">'BLS-Jul2011'!$A:$A</definedName>
  </definedNames>
  <calcPr calcId="145621" fullCalcOnLoad="1"/>
</workbook>
</file>

<file path=xl/calcChain.xml><?xml version="1.0" encoding="utf-8"?>
<calcChain xmlns="http://schemas.openxmlformats.org/spreadsheetml/2006/main">
  <c r="D26" i="1" l="1"/>
  <c r="C27" i="1"/>
  <c r="D22" i="1"/>
  <c r="C23" i="1"/>
  <c r="D25" i="1"/>
  <c r="C26" i="1"/>
  <c r="D27" i="1"/>
  <c r="C28" i="1"/>
  <c r="D28" i="1"/>
  <c r="C29" i="1"/>
  <c r="D35" i="1"/>
  <c r="D34" i="1"/>
  <c r="D33" i="1"/>
  <c r="D32" i="1"/>
  <c r="D31" i="1"/>
  <c r="D30" i="1"/>
  <c r="D29" i="1"/>
  <c r="E30" i="1"/>
  <c r="C35" i="1"/>
  <c r="C34" i="1"/>
  <c r="C33" i="1"/>
  <c r="C32" i="1"/>
  <c r="E32" i="1" s="1"/>
  <c r="C31" i="1"/>
  <c r="C30" i="1"/>
  <c r="H29" i="1"/>
  <c r="H30" i="1"/>
  <c r="H31" i="1"/>
  <c r="H32" i="1"/>
  <c r="H33" i="1"/>
  <c r="H34" i="1"/>
  <c r="H35" i="1"/>
  <c r="H28" i="1"/>
  <c r="H27" i="1"/>
  <c r="C25" i="1"/>
  <c r="E25" i="1"/>
  <c r="D24" i="1"/>
  <c r="C24" i="1"/>
  <c r="D23" i="1"/>
  <c r="C22" i="1"/>
  <c r="D21" i="1"/>
  <c r="E22" i="1"/>
  <c r="C21" i="1"/>
  <c r="H25" i="1"/>
  <c r="B23" i="1"/>
  <c r="B24" i="1"/>
  <c r="B25" i="1" s="1"/>
  <c r="B26" i="1" s="1"/>
  <c r="B27" i="1" s="1"/>
  <c r="B28" i="1" s="1"/>
  <c r="B29" i="1" s="1"/>
  <c r="B30" i="1" s="1"/>
  <c r="B31" i="1" s="1"/>
  <c r="B32" i="1" s="1"/>
  <c r="H26" i="1"/>
  <c r="H24" i="1"/>
  <c r="A23" i="1"/>
  <c r="A24" i="1"/>
  <c r="A25" i="1" s="1"/>
  <c r="A26" i="1" s="1"/>
  <c r="A27" i="1" s="1"/>
  <c r="A28" i="1" s="1"/>
  <c r="A29" i="1" s="1"/>
  <c r="A30" i="1" s="1"/>
  <c r="A31" i="1" s="1"/>
  <c r="A32" i="1" s="1"/>
  <c r="E34" i="1"/>
  <c r="E29" i="1"/>
  <c r="E26" i="1"/>
  <c r="E23" i="1"/>
  <c r="G34" i="1" s="1"/>
  <c r="I34" i="1" s="1"/>
  <c r="J34" i="1" s="1"/>
  <c r="K34" i="1" s="1"/>
  <c r="E24" i="1"/>
  <c r="G24" i="1"/>
  <c r="E31" i="1"/>
  <c r="E33" i="1"/>
  <c r="G33" i="1" s="1"/>
  <c r="I33" i="1" s="1"/>
  <c r="J33" i="1" s="1"/>
  <c r="K33" i="1" s="1"/>
  <c r="E35" i="1"/>
  <c r="F35" i="1"/>
  <c r="E28" i="1"/>
  <c r="G28" i="1"/>
  <c r="I28" i="1" s="1"/>
  <c r="J28" i="1" s="1"/>
  <c r="K28" i="1" s="1"/>
  <c r="E27" i="1"/>
  <c r="G27" i="1" s="1"/>
  <c r="F24" i="1"/>
  <c r="G29" i="1"/>
  <c r="I29" i="1" s="1"/>
  <c r="J29" i="1" s="1"/>
  <c r="K29" i="1" s="1"/>
  <c r="F34" i="1"/>
  <c r="F29" i="1"/>
  <c r="G35" i="1"/>
  <c r="I35" i="1" s="1"/>
  <c r="J35" i="1" s="1"/>
  <c r="K35" i="1" s="1"/>
  <c r="G31" i="1"/>
  <c r="I31" i="1" s="1"/>
  <c r="J31" i="1" s="1"/>
  <c r="K31" i="1" s="1"/>
  <c r="F26" i="1"/>
  <c r="F25" i="1"/>
  <c r="G25" i="1"/>
  <c r="I25" i="1" s="1"/>
  <c r="J25" i="1" s="1"/>
  <c r="K25" i="1" s="1"/>
  <c r="L25" i="1"/>
  <c r="I24" i="1"/>
  <c r="J24" i="1"/>
  <c r="K24" i="1" s="1"/>
  <c r="L24" i="1"/>
  <c r="G30" i="1"/>
  <c r="I30" i="1"/>
  <c r="J30" i="1" s="1"/>
  <c r="K30" i="1" s="1"/>
  <c r="F31" i="1"/>
  <c r="F30" i="1"/>
  <c r="L27" i="1" l="1"/>
  <c r="I27" i="1"/>
  <c r="J27" i="1" s="1"/>
  <c r="K27" i="1" s="1"/>
  <c r="F33" i="1"/>
  <c r="G32" i="1"/>
  <c r="I32" i="1" s="1"/>
  <c r="J32" i="1" s="1"/>
  <c r="K32" i="1" s="1"/>
  <c r="F32" i="1"/>
  <c r="F28" i="1"/>
  <c r="F27" i="1"/>
  <c r="G26" i="1"/>
  <c r="I26" i="1" l="1"/>
  <c r="J26" i="1" s="1"/>
  <c r="K26" i="1" s="1"/>
  <c r="L26" i="1"/>
  <c r="L31" i="1"/>
  <c r="L28" i="1"/>
  <c r="L29" i="1" s="1"/>
  <c r="L30" i="1" s="1"/>
  <c r="L32" i="1"/>
  <c r="L33" i="1" l="1"/>
  <c r="L35" i="1" s="1"/>
  <c r="L34" i="1"/>
</calcChain>
</file>

<file path=xl/sharedStrings.xml><?xml version="1.0" encoding="utf-8"?>
<sst xmlns="http://schemas.openxmlformats.org/spreadsheetml/2006/main" count="90" uniqueCount="70">
  <si>
    <t>Ratio</t>
  </si>
  <si>
    <t>Inflation</t>
  </si>
  <si>
    <t>Std. Cap</t>
  </si>
  <si>
    <t>Projected</t>
  </si>
  <si>
    <t>Increase</t>
  </si>
  <si>
    <t>over</t>
  </si>
  <si>
    <t>FY 2004</t>
  </si>
  <si>
    <t>Annual</t>
  </si>
  <si>
    <t>Fiscal</t>
  </si>
  <si>
    <t>Year</t>
  </si>
  <si>
    <t>Formula</t>
  </si>
  <si>
    <t>Allow Based</t>
  </si>
  <si>
    <t>Based</t>
  </si>
  <si>
    <t>A</t>
  </si>
  <si>
    <t>B</t>
  </si>
  <si>
    <t>C</t>
  </si>
  <si>
    <t>D</t>
  </si>
  <si>
    <t>E</t>
  </si>
  <si>
    <t>F</t>
  </si>
  <si>
    <t>G</t>
  </si>
  <si>
    <t>Calendar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</si>
  <si>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</si>
  <si>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</si>
  <si>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</si>
  <si>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</si>
  <si>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</si>
  <si>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</si>
  <si>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</si>
  <si>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</si>
  <si>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</si>
  <si>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</si>
  <si>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</si>
  <si>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</si>
  <si>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</si>
  <si>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</si>
  <si>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 xml:space="preserve"> </t>
  </si>
  <si>
    <t>Average</t>
  </si>
  <si>
    <t>Not Seasonally Adjusted</t>
  </si>
  <si>
    <t>U.S. Department of Labor</t>
  </si>
  <si>
    <t>Bureau of Labor Statistics</t>
  </si>
  <si>
    <t>First</t>
  </si>
  <si>
    <t>Half</t>
  </si>
  <si>
    <t>Second</t>
  </si>
  <si>
    <t>Source:</t>
  </si>
  <si>
    <t>H</t>
  </si>
  <si>
    <t>I</t>
  </si>
  <si>
    <t>J</t>
  </si>
  <si>
    <t>Gtr of F or G</t>
  </si>
  <si>
    <t>Actual</t>
  </si>
  <si>
    <t>Alt. Cap</t>
  </si>
  <si>
    <t>Referendum Cap Calculation with Final Inflation Data</t>
  </si>
  <si>
    <t>Consumer Price Index - All Urban Consumers</t>
  </si>
  <si>
    <t>Series Id:    CUUR0000SA0</t>
  </si>
  <si>
    <t>CPI - All Urban Consumers</t>
  </si>
  <si>
    <t>http://www.bls.gov/</t>
  </si>
  <si>
    <t>U.S. All items, 1982-84=100</t>
  </si>
  <si>
    <t>Original Data Value</t>
  </si>
  <si>
    <t>Series Id:</t>
  </si>
  <si>
    <t>CUUR0000SA0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</si>
  <si>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</si>
  <si>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</si>
  <si>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</si>
  <si>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</si>
  <si>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</si>
  <si>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</si>
  <si>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</si>
  <si>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FY 2005 - FY 2011</t>
  </si>
  <si>
    <t>Downloaded:  July 28, 2011</t>
  </si>
  <si>
    <t>2000 to 2011</t>
  </si>
  <si>
    <t>Data extracted on: July 28, 2011 (10:36:05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</si>
</sst>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\(#,##0.0000\)"/>
    <numFmt numFmtId="166" formatCode="0.0000_)"/>
    <numFmt numFmtId="172" formatCode="_(* #,##0.0_);_(* \(#,##0.0\);_(* &quot;-&quot;??_);_(@_)"/>
    <numFmt numFmtId="173" formatCode="_(* #,##0.000_);_(* \(#,##0.000\);_(* &quot;-&quot;??_);_(@_)"/>
    <numFmt numFmtId="174" formatCode="_(* #,##0.0000_);_(* \(#,##0.0000\);_(* &quot;-&quot;??_);_(@_)"/>
    <numFmt numFmtId="178" formatCode="0.0"/>
    <numFmt numFmtId="186" formatCode="#0.0"/>
    <numFmt numFmtId="187" formatCode="#0.000"/>
  </numFmts>
  <fonts count="15" x14ac:knownFonts="1">
    <font>
      <sz val="8"/>
      <name val="Times New Roman"/>
    </font>
    <font>
      <sz val="8"/>
      <name val="Courier"/>
    </font>
    <font>
      <sz val="8"/>
      <name val="Courier"/>
    </font>
    <font>
      <sz val="10"/>
      <name val="Times New Roman"/>
      <family val="1"/>
    </font>
    <font>
      <sz val="12"/>
      <name val="Times New Roman"/>
      <family val="1"/>
    </font>
    <font>
      <u/>
      <sz val="8"/>
      <color indexed="12"/>
      <name val="Times New Roman"/>
    </font>
    <font>
      <sz val="10"/>
      <name val="Times New Roman"/>
    </font>
    <font>
      <b/>
      <sz val="13"/>
      <name val="Times New Roman"/>
      <family val="1"/>
    </font>
    <font>
      <sz val="10"/>
      <name val="Arial"/>
    </font>
    <font>
      <sz val="8"/>
      <name val="Arial"/>
    </font>
    <font>
      <b/>
      <sz val="12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8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</cellStyleXfs>
  <cellXfs count="38">
    <xf numFmtId="0" fontId="0" fillId="0" borderId="0" xfId="0"/>
    <xf numFmtId="166" fontId="0" fillId="0" borderId="0" xfId="0" applyNumberFormat="1" applyProtection="1"/>
    <xf numFmtId="0" fontId="3" fillId="0" borderId="0" xfId="0" applyFont="1" applyAlignment="1" applyProtection="1">
      <alignment horizontal="left"/>
    </xf>
    <xf numFmtId="0" fontId="3" fillId="0" borderId="0" xfId="0" applyFont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Protection="1"/>
    <xf numFmtId="174" fontId="3" fillId="0" borderId="0" xfId="1" applyNumberFormat="1" applyFont="1"/>
    <xf numFmtId="174" fontId="3" fillId="0" borderId="0" xfId="0" applyNumberFormat="1" applyFont="1"/>
    <xf numFmtId="166" fontId="3" fillId="0" borderId="0" xfId="0" applyNumberFormat="1" applyFont="1" applyProtection="1"/>
    <xf numFmtId="44" fontId="3" fillId="0" borderId="0" xfId="2" applyFont="1"/>
    <xf numFmtId="0" fontId="4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 applyProtection="1"/>
    <xf numFmtId="0" fontId="3" fillId="0" borderId="0" xfId="5" applyFont="1"/>
    <xf numFmtId="172" fontId="3" fillId="0" borderId="0" xfId="1" applyNumberFormat="1" applyFont="1"/>
    <xf numFmtId="172" fontId="3" fillId="0" borderId="0" xfId="1" applyNumberFormat="1" applyFont="1" applyProtection="1"/>
    <xf numFmtId="0" fontId="8" fillId="0" borderId="0" xfId="4"/>
    <xf numFmtId="178" fontId="8" fillId="0" borderId="0" xfId="4" applyNumberFormat="1"/>
    <xf numFmtId="173" fontId="6" fillId="0" borderId="0" xfId="1" applyNumberFormat="1" applyFont="1"/>
    <xf numFmtId="0" fontId="5" fillId="0" borderId="0" xfId="3" applyAlignment="1" applyProtection="1"/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186" fontId="12" fillId="0" borderId="0" xfId="0" applyNumberFormat="1" applyFont="1" applyAlignment="1">
      <alignment horizontal="right"/>
    </xf>
    <xf numFmtId="187" fontId="12" fillId="0" borderId="0" xfId="0" applyNumberFormat="1" applyFont="1" applyAlignment="1">
      <alignment horizontal="right"/>
    </xf>
    <xf numFmtId="186" fontId="8" fillId="0" borderId="0" xfId="4" applyNumberFormat="1"/>
    <xf numFmtId="0" fontId="11" fillId="0" borderId="1" xfId="0" applyFont="1" applyBorder="1" applyAlignment="1">
      <alignment horizontal="right" wrapText="1"/>
    </xf>
    <xf numFmtId="0" fontId="11" fillId="0" borderId="0" xfId="0" applyFont="1" applyAlignment="1">
      <alignment horizontal="right"/>
    </xf>
    <xf numFmtId="0" fontId="14" fillId="0" borderId="0" xfId="0" applyFont="1"/>
    <xf numFmtId="0" fontId="13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 vertical="top" wrapText="1"/>
    </xf>
    <xf numFmtId="0" fontId="0" fillId="0" borderId="0" xfId="0"/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</cellXfs>
  <cellStyles count="6">
    <cellStyle name="Comma" xfId="1" builtinId="3"/>
    <cellStyle name="Currency" xfId="2" builtinId="4"/>
    <cellStyle name="Hyperlink" xfId="3" builtinId="8"/>
    <cellStyle name="Normal" xfId="0" builtinId="0"/>
    <cellStyle name="Normal_BLS-Sep2008" xfId="4"/>
    <cellStyle name="Normal_CPI-BLS-10120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ls.gov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L39"/>
  <sheetViews>
    <sheetView tabSelected="1" workbookViewId="0">
      <selection sqref="A1:L1"/>
    </sheetView>
  </sheetViews>
  <sheetFormatPr defaultColWidth="9.83203125" defaultRowHeight="11.25" x14ac:dyDescent="0.2"/>
  <cols>
    <col min="3" max="4" width="12.83203125" customWidth="1"/>
    <col min="5" max="5" width="10.83203125" customWidth="1"/>
    <col min="6" max="12" width="13.83203125" customWidth="1"/>
  </cols>
  <sheetData>
    <row r="1" spans="1:12" ht="16.5" x14ac:dyDescent="0.25">
      <c r="A1" s="32" t="s">
        <v>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6.5" x14ac:dyDescent="0.25">
      <c r="A2" s="32" t="s">
        <v>66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2.75" x14ac:dyDescent="0.2">
      <c r="A3" s="2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2.75" x14ac:dyDescent="0.2">
      <c r="A4" s="2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2.75" x14ac:dyDescent="0.2">
      <c r="A5" s="3" t="s">
        <v>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2.75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2.75" x14ac:dyDescent="0.2">
      <c r="A7" s="2" t="s">
        <v>43</v>
      </c>
      <c r="B7" s="15" t="s">
        <v>38</v>
      </c>
      <c r="D7" s="3"/>
      <c r="E7" s="3"/>
      <c r="F7" s="3"/>
      <c r="G7" s="3"/>
      <c r="H7" s="3"/>
      <c r="I7" s="3"/>
      <c r="J7" s="3"/>
      <c r="K7" s="3"/>
      <c r="L7" s="3"/>
    </row>
    <row r="8" spans="1:12" ht="12.75" x14ac:dyDescent="0.2">
      <c r="B8" s="15" t="s">
        <v>39</v>
      </c>
      <c r="D8" s="3"/>
      <c r="E8" s="3"/>
      <c r="F8" s="3"/>
      <c r="G8" s="3"/>
      <c r="H8" s="3"/>
      <c r="I8" s="3"/>
      <c r="J8" s="3"/>
      <c r="K8" s="3"/>
      <c r="L8" s="3"/>
    </row>
    <row r="9" spans="1:12" ht="12.75" x14ac:dyDescent="0.2">
      <c r="B9" s="21" t="s">
        <v>54</v>
      </c>
      <c r="D9" s="3"/>
      <c r="E9" s="3"/>
      <c r="F9" s="3"/>
      <c r="G9" s="3"/>
      <c r="H9" s="3"/>
      <c r="I9" s="3"/>
      <c r="J9" s="3"/>
      <c r="K9" s="3"/>
      <c r="L9" s="3"/>
    </row>
    <row r="10" spans="1:12" ht="12.75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2.75" x14ac:dyDescent="0.2">
      <c r="A11" s="2" t="s">
        <v>67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2.75" x14ac:dyDescent="0.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2.75" x14ac:dyDescent="0.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2.75" x14ac:dyDescent="0.2">
      <c r="A14" s="3"/>
      <c r="B14" s="3"/>
      <c r="C14" s="13" t="s">
        <v>13</v>
      </c>
      <c r="D14" s="13" t="s">
        <v>14</v>
      </c>
      <c r="E14" s="13" t="s">
        <v>15</v>
      </c>
      <c r="F14" s="13" t="s">
        <v>16</v>
      </c>
      <c r="G14" s="13" t="s">
        <v>17</v>
      </c>
      <c r="H14" s="13" t="s">
        <v>18</v>
      </c>
      <c r="I14" s="13" t="s">
        <v>19</v>
      </c>
      <c r="J14" s="13" t="s">
        <v>44</v>
      </c>
      <c r="K14" s="13" t="s">
        <v>45</v>
      </c>
      <c r="L14" s="13" t="s">
        <v>46</v>
      </c>
    </row>
    <row r="15" spans="1:12" ht="12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75" x14ac:dyDescent="0.2">
      <c r="A16" s="2"/>
      <c r="B16" s="3"/>
      <c r="C16" s="3"/>
      <c r="D16" s="3"/>
      <c r="E16" s="5"/>
      <c r="F16" s="13"/>
      <c r="G16" s="13"/>
      <c r="H16" s="13"/>
      <c r="I16" s="13"/>
      <c r="J16" s="13"/>
      <c r="K16" s="13" t="s">
        <v>2</v>
      </c>
      <c r="L16" s="13" t="s">
        <v>48</v>
      </c>
    </row>
    <row r="17" spans="1:12" ht="12.75" x14ac:dyDescent="0.2">
      <c r="A17" s="4"/>
      <c r="B17" s="13"/>
      <c r="C17" s="13" t="s">
        <v>20</v>
      </c>
      <c r="D17" s="13" t="s">
        <v>20</v>
      </c>
      <c r="E17" s="13" t="s">
        <v>8</v>
      </c>
      <c r="F17" s="13" t="s">
        <v>7</v>
      </c>
      <c r="G17" s="13" t="s">
        <v>1</v>
      </c>
      <c r="H17" s="13" t="s">
        <v>10</v>
      </c>
      <c r="I17" s="13" t="s">
        <v>1</v>
      </c>
      <c r="J17" s="13" t="s">
        <v>48</v>
      </c>
      <c r="K17" s="13" t="s">
        <v>4</v>
      </c>
      <c r="L17" s="13" t="s">
        <v>1</v>
      </c>
    </row>
    <row r="18" spans="1:12" ht="12.75" x14ac:dyDescent="0.2">
      <c r="A18" s="4" t="s">
        <v>8</v>
      </c>
      <c r="B18" s="13" t="s">
        <v>20</v>
      </c>
      <c r="C18" s="13" t="s">
        <v>40</v>
      </c>
      <c r="D18" s="13" t="s">
        <v>42</v>
      </c>
      <c r="E18" s="13" t="s">
        <v>9</v>
      </c>
      <c r="F18" s="13" t="s">
        <v>3</v>
      </c>
      <c r="G18" s="13" t="s">
        <v>0</v>
      </c>
      <c r="H18" s="13" t="s">
        <v>11</v>
      </c>
      <c r="I18" s="13" t="s">
        <v>12</v>
      </c>
      <c r="J18" s="13" t="s">
        <v>2</v>
      </c>
      <c r="K18" s="13" t="s">
        <v>5</v>
      </c>
      <c r="L18" s="13" t="s">
        <v>0</v>
      </c>
    </row>
    <row r="19" spans="1:12" ht="12.75" x14ac:dyDescent="0.2">
      <c r="A19" s="13" t="s">
        <v>9</v>
      </c>
      <c r="B19" s="13" t="s">
        <v>9</v>
      </c>
      <c r="C19" s="13" t="s">
        <v>41</v>
      </c>
      <c r="D19" s="13" t="s">
        <v>41</v>
      </c>
      <c r="E19" s="13" t="s">
        <v>36</v>
      </c>
      <c r="F19" s="13" t="s">
        <v>1</v>
      </c>
      <c r="G19" s="13" t="s">
        <v>2</v>
      </c>
      <c r="H19" s="13" t="s">
        <v>2</v>
      </c>
      <c r="I19" s="13" t="s">
        <v>2</v>
      </c>
      <c r="J19" s="13" t="s">
        <v>47</v>
      </c>
      <c r="K19" s="13" t="s">
        <v>6</v>
      </c>
      <c r="L19" s="13" t="s">
        <v>49</v>
      </c>
    </row>
    <row r="20" spans="1:12" ht="12.75" x14ac:dyDescent="0.2">
      <c r="A20" s="6"/>
      <c r="B20" s="6"/>
      <c r="C20" s="3"/>
      <c r="D20" s="3"/>
      <c r="E20" s="3"/>
      <c r="F20" s="13"/>
      <c r="G20" s="13"/>
      <c r="H20" s="13"/>
      <c r="I20" s="13"/>
      <c r="J20" s="13"/>
      <c r="K20" s="13"/>
      <c r="L20" s="13"/>
    </row>
    <row r="21" spans="1:12" ht="12.75" x14ac:dyDescent="0.2">
      <c r="A21" s="7">
        <v>2002</v>
      </c>
      <c r="B21" s="7">
        <v>2002</v>
      </c>
      <c r="C21" s="20">
        <f>'BLS-Jul2011'!O14</f>
        <v>178.9</v>
      </c>
      <c r="D21" s="20">
        <f>'BLS-Jul2011'!P14</f>
        <v>180.9</v>
      </c>
      <c r="E21" s="16"/>
      <c r="F21" s="3"/>
      <c r="G21" s="3"/>
      <c r="H21" s="3"/>
      <c r="I21" s="3"/>
      <c r="J21" s="3"/>
      <c r="K21" s="3"/>
      <c r="L21" s="3"/>
    </row>
    <row r="22" spans="1:12" ht="12.75" x14ac:dyDescent="0.2">
      <c r="A22" s="7">
        <v>2003</v>
      </c>
      <c r="B22" s="7">
        <v>2003</v>
      </c>
      <c r="C22" s="20">
        <f>'BLS-Jul2011'!O15</f>
        <v>183.3</v>
      </c>
      <c r="D22" s="20">
        <f>'BLS-Jul2011'!P15</f>
        <v>184.6</v>
      </c>
      <c r="E22" s="17">
        <f t="shared" ref="E22:E29" si="0">ROUND((D21+C22)/2,1)</f>
        <v>182.1</v>
      </c>
      <c r="F22" s="3"/>
      <c r="G22" s="3"/>
      <c r="H22" s="3"/>
      <c r="I22" s="3"/>
      <c r="J22" s="3"/>
      <c r="K22" s="3"/>
      <c r="L22" s="3"/>
    </row>
    <row r="23" spans="1:12" ht="12.75" x14ac:dyDescent="0.2">
      <c r="A23" s="7">
        <f>A22+1</f>
        <v>2004</v>
      </c>
      <c r="B23" s="7">
        <f>B22+1</f>
        <v>2004</v>
      </c>
      <c r="C23" s="20">
        <f>'BLS-Jul2011'!O16</f>
        <v>187.6</v>
      </c>
      <c r="D23" s="20">
        <f>'BLS-Jul2011'!P16</f>
        <v>190.2</v>
      </c>
      <c r="E23" s="17">
        <f t="shared" si="0"/>
        <v>186.1</v>
      </c>
      <c r="F23" s="3"/>
      <c r="G23" s="3"/>
      <c r="H23" s="3"/>
      <c r="I23" s="3"/>
      <c r="J23" s="3"/>
      <c r="K23" s="3"/>
      <c r="L23" s="3"/>
    </row>
    <row r="24" spans="1:12" ht="12.75" x14ac:dyDescent="0.2">
      <c r="A24" s="7">
        <f t="shared" ref="A24:B32" si="1">A23+1</f>
        <v>2005</v>
      </c>
      <c r="B24" s="7">
        <f t="shared" si="1"/>
        <v>2005</v>
      </c>
      <c r="C24" s="20">
        <f>'BLS-Jul2011'!O17</f>
        <v>193.2</v>
      </c>
      <c r="D24" s="20">
        <f>'BLS-Jul2011'!P17</f>
        <v>197.4</v>
      </c>
      <c r="E24" s="17">
        <f t="shared" si="0"/>
        <v>191.7</v>
      </c>
      <c r="F24" s="14">
        <f>ROUND((E24/E23)-1,4)</f>
        <v>3.0099999999999998E-2</v>
      </c>
      <c r="G24" s="8">
        <f>ROUND(E24/E$23,4)</f>
        <v>1.0301</v>
      </c>
      <c r="H24" s="11">
        <f>ROUND(4601*0.186,2)</f>
        <v>855.79</v>
      </c>
      <c r="I24" s="11">
        <f>G24*855.79</f>
        <v>881.54927899999996</v>
      </c>
      <c r="J24" s="11">
        <f>IF(H24&gt;I24,H24,I24)</f>
        <v>881.54927899999996</v>
      </c>
      <c r="K24" s="11">
        <f>J24-855.79</f>
        <v>25.759278999999992</v>
      </c>
      <c r="L24" s="9">
        <f>G24</f>
        <v>1.0301</v>
      </c>
    </row>
    <row r="25" spans="1:12" ht="12.75" x14ac:dyDescent="0.2">
      <c r="A25" s="7">
        <f t="shared" si="1"/>
        <v>2006</v>
      </c>
      <c r="B25" s="7">
        <f t="shared" si="1"/>
        <v>2006</v>
      </c>
      <c r="C25" s="20">
        <f>'BLS-Jul2011'!O18</f>
        <v>200.6</v>
      </c>
      <c r="D25" s="20">
        <f>'BLS-Jul2011'!P18</f>
        <v>202.6</v>
      </c>
      <c r="E25" s="17">
        <f t="shared" si="0"/>
        <v>199</v>
      </c>
      <c r="F25" s="14">
        <f>ROUND((E25/E24)-1,4)</f>
        <v>3.8100000000000002E-2</v>
      </c>
      <c r="G25" s="8">
        <f>ROUND(E25/E$23,4)</f>
        <v>1.0692999999999999</v>
      </c>
      <c r="H25" s="11">
        <f>ROUND(4783*0.186,2)</f>
        <v>889.64</v>
      </c>
      <c r="I25" s="11">
        <f>G25*855.79</f>
        <v>915.09624699999983</v>
      </c>
      <c r="J25" s="11">
        <f>IF(H25&gt;I25,H25,I25)</f>
        <v>915.09624699999983</v>
      </c>
      <c r="K25" s="11">
        <f t="shared" ref="K25:K35" si="2">J25-855.79</f>
        <v>59.306246999999871</v>
      </c>
      <c r="L25" s="9">
        <f>G25</f>
        <v>1.0692999999999999</v>
      </c>
    </row>
    <row r="26" spans="1:12" ht="12.75" x14ac:dyDescent="0.2">
      <c r="A26" s="7">
        <f>A25+1</f>
        <v>2007</v>
      </c>
      <c r="B26" s="7">
        <f>B25+1</f>
        <v>2007</v>
      </c>
      <c r="C26" s="20">
        <f>'BLS-Jul2011'!O19</f>
        <v>205.709</v>
      </c>
      <c r="D26" s="20">
        <f>'BLS-Jul2011'!P19</f>
        <v>208.976</v>
      </c>
      <c r="E26" s="17">
        <f t="shared" si="0"/>
        <v>204.2</v>
      </c>
      <c r="F26" s="14">
        <f>ROUND((E26/E25)-1,4)</f>
        <v>2.6100000000000002E-2</v>
      </c>
      <c r="G26" s="8">
        <f t="shared" ref="G26:G34" si="3">ROUND(E26/E$23,4)</f>
        <v>1.0972999999999999</v>
      </c>
      <c r="H26" s="11">
        <f>ROUND(4974*0.26,2)</f>
        <v>1293.24</v>
      </c>
      <c r="I26" s="11">
        <f>G26*1294</f>
        <v>1419.9061999999999</v>
      </c>
      <c r="J26" s="11">
        <f t="shared" ref="J26:J34" si="4">IF(H26&gt;I26,H26,I26)</f>
        <v>1419.9061999999999</v>
      </c>
      <c r="K26" s="11">
        <f t="shared" si="2"/>
        <v>564.11619999999994</v>
      </c>
      <c r="L26" s="9">
        <f>G26</f>
        <v>1.0972999999999999</v>
      </c>
    </row>
    <row r="27" spans="1:12" ht="12.75" x14ac:dyDescent="0.2">
      <c r="A27" s="7">
        <f t="shared" si="1"/>
        <v>2008</v>
      </c>
      <c r="B27" s="7">
        <f t="shared" si="1"/>
        <v>2008</v>
      </c>
      <c r="C27" s="20">
        <f>'BLS-Jul2011'!O20</f>
        <v>214.429</v>
      </c>
      <c r="D27" s="20">
        <f>'BLS-Jul2011'!P20</f>
        <v>216.17699999999999</v>
      </c>
      <c r="E27" s="17">
        <f t="shared" si="0"/>
        <v>211.7</v>
      </c>
      <c r="F27" s="14">
        <f t="shared" ref="F27:F35" si="5">ROUND((E27/E26)-1,4)</f>
        <v>3.6700000000000003E-2</v>
      </c>
      <c r="G27" s="8">
        <f t="shared" si="3"/>
        <v>1.1375999999999999</v>
      </c>
      <c r="H27" s="11">
        <f>ROUND(5074*0.26,2)</f>
        <v>1319.24</v>
      </c>
      <c r="I27" s="11">
        <f t="shared" ref="I27:I34" si="6">G27*1294</f>
        <v>1472.0544</v>
      </c>
      <c r="J27" s="11">
        <f t="shared" si="4"/>
        <v>1472.0544</v>
      </c>
      <c r="K27" s="11">
        <f t="shared" si="2"/>
        <v>616.26440000000002</v>
      </c>
      <c r="L27" s="9">
        <f>G27</f>
        <v>1.1375999999999999</v>
      </c>
    </row>
    <row r="28" spans="1:12" ht="12.75" x14ac:dyDescent="0.2">
      <c r="A28" s="7">
        <f t="shared" si="1"/>
        <v>2009</v>
      </c>
      <c r="B28" s="7">
        <f t="shared" si="1"/>
        <v>2009</v>
      </c>
      <c r="C28" s="20">
        <f>'BLS-Jul2011'!O21</f>
        <v>213.13900000000001</v>
      </c>
      <c r="D28" s="20">
        <f>'BLS-Jul2011'!P21</f>
        <v>215.935</v>
      </c>
      <c r="E28" s="17">
        <f t="shared" si="0"/>
        <v>214.7</v>
      </c>
      <c r="F28" s="14">
        <f>ROUND((E28/E27)-1,4)</f>
        <v>1.4200000000000001E-2</v>
      </c>
      <c r="G28" s="8">
        <f>ROUND(E28/E$23,4)</f>
        <v>1.1536999999999999</v>
      </c>
      <c r="H28" s="11">
        <f>ROUND(5124*0.26,2)</f>
        <v>1332.24</v>
      </c>
      <c r="I28" s="11">
        <f t="shared" si="6"/>
        <v>1492.8878</v>
      </c>
      <c r="J28" s="11">
        <f t="shared" si="4"/>
        <v>1492.8878</v>
      </c>
      <c r="K28" s="11">
        <f t="shared" si="2"/>
        <v>637.09780000000001</v>
      </c>
      <c r="L28" s="9">
        <f>L$27+(0.25*(5124/5074-1))</f>
        <v>1.1400635396137169</v>
      </c>
    </row>
    <row r="29" spans="1:12" ht="12.75" x14ac:dyDescent="0.2">
      <c r="A29" s="7">
        <f t="shared" si="1"/>
        <v>2010</v>
      </c>
      <c r="B29" s="7">
        <f t="shared" si="1"/>
        <v>2010</v>
      </c>
      <c r="C29" s="20">
        <f>'BLS-Jul2011'!O22</f>
        <v>217.535</v>
      </c>
      <c r="D29" s="20">
        <f>'BLS-Jul2011'!P22</f>
        <v>218.57599999999999</v>
      </c>
      <c r="E29" s="17">
        <f t="shared" si="0"/>
        <v>216.7</v>
      </c>
      <c r="F29" s="14">
        <f t="shared" si="5"/>
        <v>9.2999999999999992E-3</v>
      </c>
      <c r="G29" s="8">
        <f t="shared" si="3"/>
        <v>1.1644000000000001</v>
      </c>
      <c r="H29" s="11">
        <f t="shared" ref="H29:H35" si="7">ROUND(5124*0.26,2)</f>
        <v>1332.24</v>
      </c>
      <c r="I29" s="11">
        <f t="shared" si="6"/>
        <v>1506.7336</v>
      </c>
      <c r="J29" s="11">
        <f t="shared" si="4"/>
        <v>1506.7336</v>
      </c>
      <c r="K29" s="11">
        <f t="shared" si="2"/>
        <v>650.94360000000006</v>
      </c>
      <c r="L29" s="9">
        <f>L28</f>
        <v>1.1400635396137169</v>
      </c>
    </row>
    <row r="30" spans="1:12" ht="12.75" x14ac:dyDescent="0.2">
      <c r="A30" s="7">
        <f t="shared" si="1"/>
        <v>2011</v>
      </c>
      <c r="B30" s="7">
        <f t="shared" si="1"/>
        <v>2011</v>
      </c>
      <c r="C30" s="20">
        <f>'BLS-Jul2011'!O23</f>
        <v>223.59800000000001</v>
      </c>
      <c r="D30" s="20">
        <f>'BLS-Jul2011'!P23</f>
        <v>0</v>
      </c>
      <c r="E30" s="17">
        <f t="shared" ref="E30:E35" si="8">ROUND((D29+C30)/2,1)</f>
        <v>221.1</v>
      </c>
      <c r="F30" s="14">
        <f t="shared" si="5"/>
        <v>2.0299999999999999E-2</v>
      </c>
      <c r="G30" s="8">
        <f t="shared" si="3"/>
        <v>1.1880999999999999</v>
      </c>
      <c r="H30" s="11">
        <f t="shared" si="7"/>
        <v>1332.24</v>
      </c>
      <c r="I30" s="11">
        <f t="shared" si="6"/>
        <v>1537.4014</v>
      </c>
      <c r="J30" s="11">
        <f t="shared" si="4"/>
        <v>1537.4014</v>
      </c>
      <c r="K30" s="11">
        <f t="shared" si="2"/>
        <v>681.6114</v>
      </c>
      <c r="L30" s="9">
        <f>L29</f>
        <v>1.1400635396137169</v>
      </c>
    </row>
    <row r="31" spans="1:12" ht="12.75" hidden="1" x14ac:dyDescent="0.2">
      <c r="A31" s="7">
        <f t="shared" si="1"/>
        <v>2012</v>
      </c>
      <c r="B31" s="7">
        <f t="shared" si="1"/>
        <v>2012</v>
      </c>
      <c r="C31" s="20">
        <f>'BLS-Jul2011'!O24</f>
        <v>0</v>
      </c>
      <c r="D31" s="20">
        <f>'BLS-Jul2011'!P24</f>
        <v>0</v>
      </c>
      <c r="E31" s="17">
        <f t="shared" si="8"/>
        <v>0</v>
      </c>
      <c r="F31" s="14">
        <f t="shared" si="5"/>
        <v>-1</v>
      </c>
      <c r="G31" s="8">
        <f t="shared" si="3"/>
        <v>0</v>
      </c>
      <c r="H31" s="11">
        <f t="shared" si="7"/>
        <v>1332.24</v>
      </c>
      <c r="I31" s="11">
        <f t="shared" si="6"/>
        <v>0</v>
      </c>
      <c r="J31" s="11">
        <f t="shared" si="4"/>
        <v>1332.24</v>
      </c>
      <c r="K31" s="11">
        <f t="shared" si="2"/>
        <v>476.45000000000005</v>
      </c>
      <c r="L31" s="9">
        <f>L$27+(0.25*(5174/5074-1))</f>
        <v>1.1425270792274338</v>
      </c>
    </row>
    <row r="32" spans="1:12" ht="12.75" hidden="1" x14ac:dyDescent="0.2">
      <c r="A32" s="7">
        <f t="shared" si="1"/>
        <v>2013</v>
      </c>
      <c r="B32" s="7">
        <f t="shared" si="1"/>
        <v>2013</v>
      </c>
      <c r="C32" s="20">
        <f>'BLS-Jul2011'!O25</f>
        <v>0</v>
      </c>
      <c r="D32" s="20">
        <f>'BLS-Jul2011'!P25</f>
        <v>0</v>
      </c>
      <c r="E32" s="17">
        <f t="shared" si="8"/>
        <v>0</v>
      </c>
      <c r="F32" s="14" t="e">
        <f t="shared" si="5"/>
        <v>#DIV/0!</v>
      </c>
      <c r="G32" s="8">
        <f t="shared" si="3"/>
        <v>0</v>
      </c>
      <c r="H32" s="11">
        <f t="shared" si="7"/>
        <v>1332.24</v>
      </c>
      <c r="I32" s="11">
        <f t="shared" si="6"/>
        <v>0</v>
      </c>
      <c r="J32" s="11">
        <f t="shared" si="4"/>
        <v>1332.24</v>
      </c>
      <c r="K32" s="11">
        <f t="shared" si="2"/>
        <v>476.45000000000005</v>
      </c>
      <c r="L32" s="9">
        <f>L$27+(0.25*(5224/5074-1))</f>
        <v>1.1449906188411509</v>
      </c>
    </row>
    <row r="33" spans="1:12" ht="12.75" hidden="1" x14ac:dyDescent="0.2">
      <c r="A33" s="6">
        <v>2014</v>
      </c>
      <c r="B33" s="6">
        <v>2014</v>
      </c>
      <c r="C33" s="20">
        <f>'BLS-Jul2011'!O26</f>
        <v>0</v>
      </c>
      <c r="D33" s="20">
        <f>'BLS-Jul2011'!P26</f>
        <v>0</v>
      </c>
      <c r="E33" s="17">
        <f t="shared" si="8"/>
        <v>0</v>
      </c>
      <c r="F33" s="14" t="e">
        <f t="shared" si="5"/>
        <v>#DIV/0!</v>
      </c>
      <c r="G33" s="8">
        <f>ROUND(E33/E$23,4)</f>
        <v>0</v>
      </c>
      <c r="H33" s="11">
        <f t="shared" si="7"/>
        <v>1332.24</v>
      </c>
      <c r="I33" s="11">
        <f t="shared" si="6"/>
        <v>0</v>
      </c>
      <c r="J33" s="11">
        <f t="shared" si="4"/>
        <v>1332.24</v>
      </c>
      <c r="K33" s="11">
        <f t="shared" si="2"/>
        <v>476.45000000000005</v>
      </c>
      <c r="L33" s="9">
        <f>L32</f>
        <v>1.1449906188411509</v>
      </c>
    </row>
    <row r="34" spans="1:12" ht="12.75" hidden="1" x14ac:dyDescent="0.2">
      <c r="A34" s="6">
        <v>2015</v>
      </c>
      <c r="B34" s="6">
        <v>2015</v>
      </c>
      <c r="C34" s="20">
        <f>'BLS-Jul2011'!O27</f>
        <v>0</v>
      </c>
      <c r="D34" s="20">
        <f>'BLS-Jul2011'!P27</f>
        <v>0</v>
      </c>
      <c r="E34" s="17">
        <f t="shared" si="8"/>
        <v>0</v>
      </c>
      <c r="F34" s="14" t="e">
        <f t="shared" si="5"/>
        <v>#DIV/0!</v>
      </c>
      <c r="G34" s="8">
        <f t="shared" si="3"/>
        <v>0</v>
      </c>
      <c r="H34" s="11">
        <f t="shared" si="7"/>
        <v>1332.24</v>
      </c>
      <c r="I34" s="11">
        <f t="shared" si="6"/>
        <v>0</v>
      </c>
      <c r="J34" s="11">
        <f t="shared" si="4"/>
        <v>1332.24</v>
      </c>
      <c r="K34" s="11">
        <f t="shared" si="2"/>
        <v>476.45000000000005</v>
      </c>
      <c r="L34" s="9">
        <f>L32</f>
        <v>1.1449906188411509</v>
      </c>
    </row>
    <row r="35" spans="1:12" ht="12.75" hidden="1" x14ac:dyDescent="0.2">
      <c r="A35" s="6">
        <v>2016</v>
      </c>
      <c r="B35" s="6">
        <v>2016</v>
      </c>
      <c r="C35" s="20">
        <f>'BLS-Jul2011'!O28</f>
        <v>0</v>
      </c>
      <c r="D35" s="20">
        <f>'BLS-Jul2011'!P28</f>
        <v>0</v>
      </c>
      <c r="E35" s="17">
        <f t="shared" si="8"/>
        <v>0</v>
      </c>
      <c r="F35" s="14" t="e">
        <f t="shared" si="5"/>
        <v>#DIV/0!</v>
      </c>
      <c r="G35" s="8">
        <f>ROUND(E35/E$23,4)</f>
        <v>0</v>
      </c>
      <c r="H35" s="11">
        <f t="shared" si="7"/>
        <v>1332.24</v>
      </c>
      <c r="I35" s="11">
        <f>G35*1294</f>
        <v>0</v>
      </c>
      <c r="J35" s="11">
        <f>IF(H35&gt;I35,H35,I35)</f>
        <v>1332.24</v>
      </c>
      <c r="K35" s="11">
        <f t="shared" si="2"/>
        <v>476.45000000000005</v>
      </c>
      <c r="L35" s="9">
        <f>L33</f>
        <v>1.1449906188411509</v>
      </c>
    </row>
    <row r="36" spans="1:12" ht="15.75" x14ac:dyDescent="0.25">
      <c r="A36" s="3"/>
      <c r="B36" s="3"/>
      <c r="C36" s="17"/>
      <c r="D36" s="17"/>
      <c r="E36" s="16"/>
      <c r="F36" s="3"/>
      <c r="G36" s="3"/>
      <c r="H36" s="3"/>
      <c r="I36" s="3"/>
      <c r="J36" s="3"/>
      <c r="K36" s="3"/>
      <c r="L36" s="12"/>
    </row>
    <row r="37" spans="1:12" ht="12.75" x14ac:dyDescent="0.2">
      <c r="A37" s="3"/>
      <c r="B37" s="3"/>
      <c r="C37" s="10"/>
      <c r="D37" s="10"/>
      <c r="E37" s="3"/>
      <c r="F37" s="3"/>
      <c r="G37" s="3"/>
      <c r="H37" s="3"/>
      <c r="I37" s="3"/>
      <c r="J37" s="3"/>
      <c r="K37" s="3"/>
      <c r="L37" s="3"/>
    </row>
    <row r="38" spans="1:12" x14ac:dyDescent="0.2">
      <c r="C38" s="1"/>
      <c r="D38" s="1"/>
    </row>
    <row r="39" spans="1:12" x14ac:dyDescent="0.2">
      <c r="C39" s="1"/>
      <c r="D39" s="1"/>
    </row>
  </sheetData>
  <mergeCells count="2">
    <mergeCell ref="A1:L1"/>
    <mergeCell ref="A2:L2"/>
  </mergeCells>
  <phoneticPr fontId="0" type="noConversion"/>
  <hyperlinks>
    <hyperlink ref="B9" r:id="rId1"/>
  </hyperlinks>
  <pageMargins left="0.75" right="0.75" top="2.04" bottom="1" header="1.28" footer="0.5"/>
  <pageSetup orientation="landscape" r:id="rId2"/>
  <headerFooter alignWithMargins="0">
    <oddHeader>&amp;L&amp;10MDE / Program Finance&amp;C&amp;"Times New Roman,Bold"&amp;12Referendum Cap Calculation with Final Inflation Data
 FY 2005 - FY 2011&amp;R&amp;10 8/04/2011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>
      <selection activeCell="C39" sqref="C39"/>
    </sheetView>
  </sheetViews>
  <sheetFormatPr defaultColWidth="10.6640625" defaultRowHeight="12.75" x14ac:dyDescent="0.2"/>
  <cols>
    <col min="1" max="1" width="20.1640625" style="18" customWidth="1"/>
    <col min="2" max="16384" width="10.6640625" style="18"/>
  </cols>
  <sheetData>
    <row r="1" spans="1:18" ht="15.75" x14ac:dyDescent="0.25">
      <c r="A1" s="36" t="s">
        <v>51</v>
      </c>
      <c r="B1" s="34"/>
      <c r="C1" s="34"/>
      <c r="D1" s="34"/>
      <c r="E1" s="34"/>
      <c r="F1" s="34"/>
      <c r="G1"/>
      <c r="H1"/>
      <c r="I1"/>
      <c r="J1"/>
      <c r="K1"/>
      <c r="L1"/>
      <c r="M1"/>
      <c r="N1"/>
      <c r="O1"/>
      <c r="P1"/>
    </row>
    <row r="2" spans="1:18" ht="15.75" x14ac:dyDescent="0.25">
      <c r="A2" s="36" t="s">
        <v>56</v>
      </c>
      <c r="B2" s="34"/>
      <c r="C2" s="34"/>
      <c r="D2" s="34"/>
      <c r="E2" s="34"/>
      <c r="F2" s="34"/>
      <c r="G2"/>
      <c r="H2"/>
      <c r="I2"/>
      <c r="J2"/>
      <c r="K2"/>
      <c r="L2"/>
      <c r="M2"/>
      <c r="N2"/>
      <c r="O2"/>
      <c r="P2"/>
    </row>
    <row r="3" spans="1:18" x14ac:dyDescent="0.2">
      <c r="A3" s="34"/>
      <c r="B3" s="34"/>
      <c r="C3" s="34"/>
      <c r="D3" s="34"/>
      <c r="E3" s="34"/>
      <c r="F3" s="34"/>
      <c r="G3"/>
      <c r="H3"/>
      <c r="I3"/>
      <c r="J3"/>
      <c r="K3"/>
      <c r="L3"/>
      <c r="M3"/>
      <c r="N3"/>
      <c r="O3"/>
      <c r="P3"/>
    </row>
    <row r="4" spans="1:18" x14ac:dyDescent="0.2">
      <c r="A4" s="22" t="s">
        <v>57</v>
      </c>
      <c r="B4" s="33" t="s">
        <v>58</v>
      </c>
      <c r="C4" s="34"/>
      <c r="D4" s="34"/>
      <c r="E4" s="34"/>
      <c r="F4" s="34"/>
      <c r="G4"/>
      <c r="H4"/>
      <c r="I4"/>
      <c r="J4"/>
      <c r="K4"/>
      <c r="L4"/>
      <c r="M4"/>
      <c r="N4"/>
      <c r="O4"/>
      <c r="P4"/>
    </row>
    <row r="5" spans="1:18" x14ac:dyDescent="0.2">
      <c r="A5" s="37" t="s">
        <v>37</v>
      </c>
      <c r="B5" s="34"/>
      <c r="C5" s="34"/>
      <c r="D5" s="34"/>
      <c r="E5" s="34"/>
      <c r="F5" s="34"/>
      <c r="G5"/>
      <c r="H5"/>
      <c r="I5"/>
      <c r="J5"/>
      <c r="K5"/>
      <c r="L5"/>
      <c r="M5"/>
      <c r="N5"/>
      <c r="O5"/>
      <c r="P5"/>
    </row>
    <row r="6" spans="1:18" x14ac:dyDescent="0.2">
      <c r="A6" s="22" t="s">
        <v>59</v>
      </c>
      <c r="B6" s="33" t="s">
        <v>60</v>
      </c>
      <c r="C6" s="34"/>
      <c r="D6" s="34"/>
      <c r="E6" s="34"/>
      <c r="F6" s="34"/>
      <c r="G6"/>
      <c r="H6"/>
      <c r="I6"/>
      <c r="J6"/>
      <c r="K6"/>
      <c r="L6"/>
      <c r="M6"/>
      <c r="N6"/>
      <c r="O6"/>
      <c r="P6"/>
    </row>
    <row r="7" spans="1:18" x14ac:dyDescent="0.2">
      <c r="A7" s="22" t="s">
        <v>61</v>
      </c>
      <c r="B7" s="33" t="s">
        <v>62</v>
      </c>
      <c r="C7" s="34"/>
      <c r="D7" s="34"/>
      <c r="E7" s="34"/>
      <c r="F7" s="34"/>
      <c r="G7"/>
      <c r="H7"/>
      <c r="I7"/>
      <c r="J7"/>
      <c r="K7"/>
      <c r="L7"/>
      <c r="M7"/>
      <c r="N7"/>
      <c r="O7"/>
      <c r="P7"/>
    </row>
    <row r="8" spans="1:18" x14ac:dyDescent="0.2">
      <c r="A8" s="22" t="s">
        <v>63</v>
      </c>
      <c r="B8" s="33" t="s">
        <v>64</v>
      </c>
      <c r="C8" s="34"/>
      <c r="D8" s="34"/>
      <c r="E8" s="34"/>
      <c r="F8" s="34"/>
      <c r="G8"/>
      <c r="H8"/>
      <c r="I8"/>
      <c r="J8"/>
      <c r="K8"/>
      <c r="L8"/>
      <c r="M8"/>
      <c r="N8"/>
      <c r="O8"/>
      <c r="P8"/>
    </row>
    <row r="9" spans="1:18" x14ac:dyDescent="0.2">
      <c r="A9" s="22" t="s">
        <v>65</v>
      </c>
      <c r="B9" s="35" t="s">
        <v>68</v>
      </c>
      <c r="C9" s="34"/>
      <c r="D9" s="34"/>
      <c r="E9" s="34"/>
      <c r="F9" s="34"/>
      <c r="G9"/>
      <c r="H9"/>
      <c r="I9"/>
      <c r="J9"/>
      <c r="K9"/>
      <c r="L9"/>
      <c r="M9"/>
      <c r="N9"/>
      <c r="O9"/>
      <c r="P9"/>
    </row>
    <row r="10" spans="1:18" x14ac:dyDescent="0.2">
      <c r="A10" s="22"/>
      <c r="B10" s="23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ht="13.5" thickBot="1" x14ac:dyDescent="0.25">
      <c r="A11" s="28" t="s">
        <v>9</v>
      </c>
      <c r="B11" s="24" t="s">
        <v>21</v>
      </c>
      <c r="C11" s="24" t="s">
        <v>22</v>
      </c>
      <c r="D11" s="24" t="s">
        <v>23</v>
      </c>
      <c r="E11" s="24" t="s">
        <v>24</v>
      </c>
      <c r="F11" s="24" t="s">
        <v>25</v>
      </c>
      <c r="G11" s="24" t="s">
        <v>26</v>
      </c>
      <c r="H11" s="24" t="s">
        <v>27</v>
      </c>
      <c r="I11" s="24" t="s">
        <v>28</v>
      </c>
      <c r="J11" s="24" t="s">
        <v>29</v>
      </c>
      <c r="K11" s="24" t="s">
        <v>30</v>
      </c>
      <c r="L11" s="24" t="s">
        <v>31</v>
      </c>
      <c r="M11" s="24" t="s">
        <v>32</v>
      </c>
      <c r="N11" s="24" t="s">
        <v>7</v>
      </c>
      <c r="O11" s="24" t="s">
        <v>33</v>
      </c>
      <c r="P11" s="24" t="s">
        <v>34</v>
      </c>
    </row>
    <row r="12" spans="1:18" ht="13.5" thickTop="1" x14ac:dyDescent="0.2">
      <c r="A12" s="29">
        <v>2000</v>
      </c>
      <c r="B12" s="25">
        <v>168.8</v>
      </c>
      <c r="C12" s="25">
        <v>169.8</v>
      </c>
      <c r="D12" s="25">
        <v>171.2</v>
      </c>
      <c r="E12" s="25">
        <v>171.3</v>
      </c>
      <c r="F12" s="25">
        <v>171.5</v>
      </c>
      <c r="G12" s="25">
        <v>172.4</v>
      </c>
      <c r="H12" s="25">
        <v>172.8</v>
      </c>
      <c r="I12" s="25">
        <v>172.8</v>
      </c>
      <c r="J12" s="25">
        <v>173.7</v>
      </c>
      <c r="K12" s="25">
        <v>174</v>
      </c>
      <c r="L12" s="25">
        <v>174.1</v>
      </c>
      <c r="M12" s="25">
        <v>174</v>
      </c>
      <c r="N12" s="25">
        <v>172.2</v>
      </c>
      <c r="O12" s="25">
        <v>170.8</v>
      </c>
      <c r="P12" s="25">
        <v>173.6</v>
      </c>
      <c r="Q12" s="27"/>
      <c r="R12" s="19"/>
    </row>
    <row r="13" spans="1:18" x14ac:dyDescent="0.2">
      <c r="A13" s="29">
        <v>2001</v>
      </c>
      <c r="B13" s="25">
        <v>175.1</v>
      </c>
      <c r="C13" s="25">
        <v>175.8</v>
      </c>
      <c r="D13" s="25">
        <v>176.2</v>
      </c>
      <c r="E13" s="25">
        <v>176.9</v>
      </c>
      <c r="F13" s="25">
        <v>177.7</v>
      </c>
      <c r="G13" s="25">
        <v>178</v>
      </c>
      <c r="H13" s="25">
        <v>177.5</v>
      </c>
      <c r="I13" s="25">
        <v>177.5</v>
      </c>
      <c r="J13" s="25">
        <v>178.3</v>
      </c>
      <c r="K13" s="25">
        <v>177.7</v>
      </c>
      <c r="L13" s="25">
        <v>177.4</v>
      </c>
      <c r="M13" s="25">
        <v>176.7</v>
      </c>
      <c r="N13" s="25">
        <v>177.1</v>
      </c>
      <c r="O13" s="25">
        <v>176.6</v>
      </c>
      <c r="P13" s="25">
        <v>177.5</v>
      </c>
      <c r="Q13" s="27"/>
      <c r="R13" s="19"/>
    </row>
    <row r="14" spans="1:18" x14ac:dyDescent="0.2">
      <c r="A14" s="29">
        <v>2002</v>
      </c>
      <c r="B14" s="25">
        <v>177.1</v>
      </c>
      <c r="C14" s="25">
        <v>177.8</v>
      </c>
      <c r="D14" s="25">
        <v>178.8</v>
      </c>
      <c r="E14" s="25">
        <v>179.8</v>
      </c>
      <c r="F14" s="25">
        <v>179.8</v>
      </c>
      <c r="G14" s="25">
        <v>179.9</v>
      </c>
      <c r="H14" s="25">
        <v>180.1</v>
      </c>
      <c r="I14" s="25">
        <v>180.7</v>
      </c>
      <c r="J14" s="25">
        <v>181</v>
      </c>
      <c r="K14" s="25">
        <v>181.3</v>
      </c>
      <c r="L14" s="25">
        <v>181.3</v>
      </c>
      <c r="M14" s="25">
        <v>180.9</v>
      </c>
      <c r="N14" s="25">
        <v>179.9</v>
      </c>
      <c r="O14" s="25">
        <v>178.9</v>
      </c>
      <c r="P14" s="25">
        <v>180.9</v>
      </c>
      <c r="Q14" s="27"/>
      <c r="R14" s="19"/>
    </row>
    <row r="15" spans="1:18" x14ac:dyDescent="0.2">
      <c r="A15" s="29">
        <v>2003</v>
      </c>
      <c r="B15" s="25">
        <v>181.7</v>
      </c>
      <c r="C15" s="25">
        <v>183.1</v>
      </c>
      <c r="D15" s="25">
        <v>184.2</v>
      </c>
      <c r="E15" s="25">
        <v>183.8</v>
      </c>
      <c r="F15" s="25">
        <v>183.5</v>
      </c>
      <c r="G15" s="25">
        <v>183.7</v>
      </c>
      <c r="H15" s="25">
        <v>183.9</v>
      </c>
      <c r="I15" s="25">
        <v>184.6</v>
      </c>
      <c r="J15" s="25">
        <v>185.2</v>
      </c>
      <c r="K15" s="25">
        <v>185</v>
      </c>
      <c r="L15" s="25">
        <v>184.5</v>
      </c>
      <c r="M15" s="25">
        <v>184.3</v>
      </c>
      <c r="N15" s="25">
        <v>184</v>
      </c>
      <c r="O15" s="25">
        <v>183.3</v>
      </c>
      <c r="P15" s="25">
        <v>184.6</v>
      </c>
      <c r="Q15" s="27"/>
      <c r="R15" s="19"/>
    </row>
    <row r="16" spans="1:18" x14ac:dyDescent="0.2">
      <c r="A16" s="29">
        <v>2004</v>
      </c>
      <c r="B16" s="25">
        <v>185.2</v>
      </c>
      <c r="C16" s="25">
        <v>186.2</v>
      </c>
      <c r="D16" s="25">
        <v>187.4</v>
      </c>
      <c r="E16" s="25">
        <v>188</v>
      </c>
      <c r="F16" s="25">
        <v>189.1</v>
      </c>
      <c r="G16" s="25">
        <v>189.7</v>
      </c>
      <c r="H16" s="25">
        <v>189.4</v>
      </c>
      <c r="I16" s="25">
        <v>189.5</v>
      </c>
      <c r="J16" s="25">
        <v>189.9</v>
      </c>
      <c r="K16" s="25">
        <v>190.9</v>
      </c>
      <c r="L16" s="25">
        <v>191</v>
      </c>
      <c r="M16" s="25">
        <v>190.3</v>
      </c>
      <c r="N16" s="25">
        <v>188.9</v>
      </c>
      <c r="O16" s="25">
        <v>187.6</v>
      </c>
      <c r="P16" s="25">
        <v>190.2</v>
      </c>
      <c r="Q16" s="27"/>
      <c r="R16" s="19"/>
    </row>
    <row r="17" spans="1:18" x14ac:dyDescent="0.2">
      <c r="A17" s="29">
        <v>2005</v>
      </c>
      <c r="B17" s="25">
        <v>190.7</v>
      </c>
      <c r="C17" s="25">
        <v>191.8</v>
      </c>
      <c r="D17" s="25">
        <v>193.3</v>
      </c>
      <c r="E17" s="25">
        <v>194.6</v>
      </c>
      <c r="F17" s="25">
        <v>194.4</v>
      </c>
      <c r="G17" s="25">
        <v>194.5</v>
      </c>
      <c r="H17" s="25">
        <v>195.4</v>
      </c>
      <c r="I17" s="25">
        <v>196.4</v>
      </c>
      <c r="J17" s="25">
        <v>198.8</v>
      </c>
      <c r="K17" s="25">
        <v>199.2</v>
      </c>
      <c r="L17" s="25">
        <v>197.6</v>
      </c>
      <c r="M17" s="25">
        <v>196.8</v>
      </c>
      <c r="N17" s="25">
        <v>195.3</v>
      </c>
      <c r="O17" s="25">
        <v>193.2</v>
      </c>
      <c r="P17" s="25">
        <v>197.4</v>
      </c>
      <c r="Q17" s="27"/>
      <c r="R17" s="19"/>
    </row>
    <row r="18" spans="1:18" x14ac:dyDescent="0.2">
      <c r="A18" s="29">
        <v>2006</v>
      </c>
      <c r="B18" s="25">
        <v>198.3</v>
      </c>
      <c r="C18" s="25">
        <v>198.7</v>
      </c>
      <c r="D18" s="25">
        <v>199.8</v>
      </c>
      <c r="E18" s="25">
        <v>201.5</v>
      </c>
      <c r="F18" s="25">
        <v>202.5</v>
      </c>
      <c r="G18" s="25">
        <v>202.9</v>
      </c>
      <c r="H18" s="25">
        <v>203.5</v>
      </c>
      <c r="I18" s="25">
        <v>203.9</v>
      </c>
      <c r="J18" s="25">
        <v>202.9</v>
      </c>
      <c r="K18" s="25">
        <v>201.8</v>
      </c>
      <c r="L18" s="25">
        <v>201.5</v>
      </c>
      <c r="M18" s="25">
        <v>201.8</v>
      </c>
      <c r="N18" s="25">
        <v>201.6</v>
      </c>
      <c r="O18" s="25">
        <v>200.6</v>
      </c>
      <c r="P18" s="25">
        <v>202.6</v>
      </c>
      <c r="Q18" s="27"/>
      <c r="R18" s="19"/>
    </row>
    <row r="19" spans="1:18" x14ac:dyDescent="0.2">
      <c r="A19" s="29">
        <v>2007</v>
      </c>
      <c r="B19" s="26">
        <v>202.416</v>
      </c>
      <c r="C19" s="26">
        <v>203.499</v>
      </c>
      <c r="D19" s="26">
        <v>205.352</v>
      </c>
      <c r="E19" s="26">
        <v>206.68600000000001</v>
      </c>
      <c r="F19" s="26">
        <v>207.94900000000001</v>
      </c>
      <c r="G19" s="26">
        <v>208.352</v>
      </c>
      <c r="H19" s="26">
        <v>208.29900000000001</v>
      </c>
      <c r="I19" s="26">
        <v>207.917</v>
      </c>
      <c r="J19" s="26">
        <v>208.49</v>
      </c>
      <c r="K19" s="26">
        <v>208.93600000000001</v>
      </c>
      <c r="L19" s="26">
        <v>210.17699999999999</v>
      </c>
      <c r="M19" s="26">
        <v>210.036</v>
      </c>
      <c r="N19" s="26">
        <v>207.34200000000001</v>
      </c>
      <c r="O19" s="26">
        <v>205.709</v>
      </c>
      <c r="P19" s="26">
        <v>208.976</v>
      </c>
      <c r="Q19" s="27"/>
      <c r="R19" s="19"/>
    </row>
    <row r="20" spans="1:18" x14ac:dyDescent="0.2">
      <c r="A20" s="29">
        <v>2008</v>
      </c>
      <c r="B20" s="26">
        <v>211.08</v>
      </c>
      <c r="C20" s="26">
        <v>211.69300000000001</v>
      </c>
      <c r="D20" s="26">
        <v>213.52799999999999</v>
      </c>
      <c r="E20" s="26">
        <v>214.82300000000001</v>
      </c>
      <c r="F20" s="26">
        <v>216.63200000000001</v>
      </c>
      <c r="G20" s="26">
        <v>218.815</v>
      </c>
      <c r="H20" s="26">
        <v>219.964</v>
      </c>
      <c r="I20" s="26">
        <v>219.08600000000001</v>
      </c>
      <c r="J20" s="26">
        <v>218.78299999999999</v>
      </c>
      <c r="K20" s="26">
        <v>216.57300000000001</v>
      </c>
      <c r="L20" s="26">
        <v>212.42500000000001</v>
      </c>
      <c r="M20" s="26">
        <v>210.22800000000001</v>
      </c>
      <c r="N20" s="26">
        <v>215.303</v>
      </c>
      <c r="O20" s="26">
        <v>214.429</v>
      </c>
      <c r="P20" s="26">
        <v>216.17699999999999</v>
      </c>
      <c r="Q20" s="27"/>
      <c r="R20" s="19"/>
    </row>
    <row r="21" spans="1:18" x14ac:dyDescent="0.2">
      <c r="A21" s="29">
        <v>2009</v>
      </c>
      <c r="B21" s="26">
        <v>211.143</v>
      </c>
      <c r="C21" s="26">
        <v>212.19300000000001</v>
      </c>
      <c r="D21" s="26">
        <v>212.709</v>
      </c>
      <c r="E21" s="26">
        <v>213.24</v>
      </c>
      <c r="F21" s="26">
        <v>213.85599999999999</v>
      </c>
      <c r="G21" s="26">
        <v>215.69300000000001</v>
      </c>
      <c r="H21" s="26">
        <v>215.351</v>
      </c>
      <c r="I21" s="26">
        <v>215.834</v>
      </c>
      <c r="J21" s="26">
        <v>215.96899999999999</v>
      </c>
      <c r="K21" s="26">
        <v>216.17699999999999</v>
      </c>
      <c r="L21" s="26">
        <v>216.33</v>
      </c>
      <c r="M21" s="26">
        <v>215.94900000000001</v>
      </c>
      <c r="N21" s="26">
        <v>214.53700000000001</v>
      </c>
      <c r="O21" s="26">
        <v>213.13900000000001</v>
      </c>
      <c r="P21" s="26">
        <v>215.935</v>
      </c>
      <c r="Q21" s="27"/>
    </row>
    <row r="22" spans="1:18" x14ac:dyDescent="0.2">
      <c r="A22" s="29">
        <v>2010</v>
      </c>
      <c r="B22" s="26">
        <v>216.68700000000001</v>
      </c>
      <c r="C22" s="26">
        <v>216.74100000000001</v>
      </c>
      <c r="D22" s="26">
        <v>217.631</v>
      </c>
      <c r="E22" s="26">
        <v>218.00899999999999</v>
      </c>
      <c r="F22" s="26">
        <v>218.178</v>
      </c>
      <c r="G22" s="26">
        <v>217.965</v>
      </c>
      <c r="H22" s="26">
        <v>218.011</v>
      </c>
      <c r="I22" s="26">
        <v>218.31200000000001</v>
      </c>
      <c r="J22" s="26">
        <v>218.43899999999999</v>
      </c>
      <c r="K22" s="26">
        <v>218.71100000000001</v>
      </c>
      <c r="L22" s="26">
        <v>218.803</v>
      </c>
      <c r="M22" s="26">
        <v>219.179</v>
      </c>
      <c r="N22" s="26">
        <v>218.05600000000001</v>
      </c>
      <c r="O22" s="26">
        <v>217.535</v>
      </c>
      <c r="P22" s="26">
        <v>218.57599999999999</v>
      </c>
    </row>
    <row r="23" spans="1:18" x14ac:dyDescent="0.2">
      <c r="A23" s="29">
        <v>2011</v>
      </c>
      <c r="B23" s="26">
        <v>220.22300000000001</v>
      </c>
      <c r="C23" s="26">
        <v>221.309</v>
      </c>
      <c r="D23" s="26">
        <v>223.46700000000001</v>
      </c>
      <c r="E23" s="26">
        <v>224.90600000000001</v>
      </c>
      <c r="F23" s="26">
        <v>225.964</v>
      </c>
      <c r="G23" s="26">
        <v>225.72200000000001</v>
      </c>
      <c r="H23" s="26"/>
      <c r="I23" s="26"/>
      <c r="J23" s="26"/>
      <c r="K23" s="26"/>
      <c r="L23" s="26"/>
      <c r="M23" s="26"/>
      <c r="N23" s="26"/>
      <c r="O23" s="26">
        <v>223.59800000000001</v>
      </c>
      <c r="P23" s="26"/>
    </row>
    <row r="25" spans="1:18" x14ac:dyDescent="0.2">
      <c r="A25" s="18" t="s">
        <v>35</v>
      </c>
    </row>
    <row r="26" spans="1:18" x14ac:dyDescent="0.2">
      <c r="A26" s="30" t="s">
        <v>43</v>
      </c>
    </row>
    <row r="27" spans="1:18" x14ac:dyDescent="0.2">
      <c r="A27" s="31" t="s">
        <v>38</v>
      </c>
    </row>
    <row r="28" spans="1:18" x14ac:dyDescent="0.2">
      <c r="A28" s="31" t="s">
        <v>39</v>
      </c>
    </row>
    <row r="29" spans="1:18" x14ac:dyDescent="0.2">
      <c r="A29" s="31" t="s">
        <v>69</v>
      </c>
    </row>
  </sheetData>
  <mergeCells count="9">
    <mergeCell ref="B7:F7"/>
    <mergeCell ref="B8:F8"/>
    <mergeCell ref="B9:F9"/>
    <mergeCell ref="A1:F1"/>
    <mergeCell ref="A2:F2"/>
    <mergeCell ref="A3:F3"/>
    <mergeCell ref="B4:F4"/>
    <mergeCell ref="A5:F5"/>
    <mergeCell ref="B6:F6"/>
  </mergeCells>
  <phoneticPr fontId="9" type="noConversion"/>
  <printOptions gridLines="1"/>
  <pageMargins left="0.75" right="0.5" top="1" bottom="1" header="0.5" footer="0.5"/>
  <pageSetup orientation="landscape" r:id="rId1"/>
  <headerFooter alignWithMargins="0">
    <oddHeader>&amp;C&amp;F,
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CPI-Jul2011</vt:lpstr>
      <vt:lpstr>BLS-Jul2011</vt:lpstr>
      <vt:lpstr>'BLS-Jul2011'!Print_Area</vt:lpstr>
      <vt:lpstr>'CPI-Jul2011'!Print_Area</vt:lpstr>
      <vt:lpstr>Print_Area_MI</vt:lpstr>
      <vt:lpstr>'BLS-Jul2011'!Print_Titles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dcfl</dc:creator>
  <cp:lastModifiedBy>Kostelecky, Teri</cp:lastModifiedBy>
  <cp:lastPrinted>2011-07-28T19:49:21Z</cp:lastPrinted>
  <dcterms:created xsi:type="dcterms:W3CDTF">2003-04-02T16:07:23Z</dcterms:created>
  <dcterms:modified xsi:type="dcterms:W3CDTF">2011-10-27T19:00:41Z</dcterms:modified>
</cp:coreProperties>
</file>