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90" yWindow="180" windowWidth="12120" windowHeight="39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Sheet1!$B$2:$S$129</definedName>
  </definedNames>
  <calcPr calcId="125725"/>
</workbook>
</file>

<file path=xl/calcChain.xml><?xml version="1.0" encoding="utf-8"?>
<calcChain xmlns="http://schemas.openxmlformats.org/spreadsheetml/2006/main">
  <c r="A52" i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5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S47" l="1"/>
  <c r="R129"/>
  <c r="R46" s="1"/>
  <c r="Q129"/>
  <c r="Q46" s="1"/>
  <c r="P129"/>
  <c r="P46" s="1"/>
  <c r="P48" s="1"/>
  <c r="O129"/>
  <c r="O46" s="1"/>
  <c r="O48" s="1"/>
  <c r="N129"/>
  <c r="N46" s="1"/>
  <c r="M129"/>
  <c r="M46" s="1"/>
  <c r="L129"/>
  <c r="L46" s="1"/>
  <c r="L48" s="1"/>
  <c r="K129"/>
  <c r="K46" s="1"/>
  <c r="J129"/>
  <c r="J46" s="1"/>
  <c r="I129"/>
  <c r="I46" s="1"/>
  <c r="H129"/>
  <c r="H46" s="1"/>
  <c r="H48" s="1"/>
  <c r="G129"/>
  <c r="G46" s="1"/>
  <c r="G48" s="1"/>
  <c r="F129"/>
  <c r="F46" s="1"/>
  <c r="E129"/>
  <c r="E46" s="1"/>
  <c r="D129"/>
  <c r="D46" s="1"/>
  <c r="R45"/>
  <c r="Q45"/>
  <c r="P45"/>
  <c r="O45"/>
  <c r="N45"/>
  <c r="M45"/>
  <c r="L45"/>
  <c r="K45"/>
  <c r="J45"/>
  <c r="I45"/>
  <c r="H45"/>
  <c r="G45"/>
  <c r="F45"/>
  <c r="E45"/>
  <c r="D45"/>
  <c r="S66"/>
  <c r="S121"/>
  <c r="S52"/>
  <c r="S73"/>
  <c r="S115"/>
  <c r="S128"/>
  <c r="S102"/>
  <c r="S84"/>
  <c r="S55"/>
  <c r="S125"/>
  <c r="S98"/>
  <c r="S97"/>
  <c r="S75"/>
  <c r="S68"/>
  <c r="S63"/>
  <c r="S123"/>
  <c r="S109"/>
  <c r="S124"/>
  <c r="S107"/>
  <c r="S103"/>
  <c r="S101"/>
  <c r="S85"/>
  <c r="S71"/>
  <c r="S65"/>
  <c r="S62"/>
  <c r="S60"/>
  <c r="S79"/>
  <c r="S74"/>
  <c r="S57"/>
  <c r="S96"/>
  <c r="S110"/>
  <c r="S91"/>
  <c r="S72"/>
  <c r="S116"/>
  <c r="S112"/>
  <c r="S58"/>
  <c r="S106"/>
  <c r="S99"/>
  <c r="S88"/>
  <c r="S87"/>
  <c r="S82"/>
  <c r="S81"/>
  <c r="S80"/>
  <c r="S67"/>
  <c r="S76"/>
  <c r="S94"/>
  <c r="S89"/>
  <c r="S53"/>
  <c r="S105"/>
  <c r="S93"/>
  <c r="S127"/>
  <c r="S56"/>
  <c r="S83"/>
  <c r="S122"/>
  <c r="S113"/>
  <c r="S64"/>
  <c r="S86"/>
  <c r="S92"/>
  <c r="S77"/>
  <c r="S114"/>
  <c r="S61"/>
  <c r="S104"/>
  <c r="S90"/>
  <c r="S69"/>
  <c r="S108"/>
  <c r="S118"/>
  <c r="S117"/>
  <c r="S78"/>
  <c r="S120"/>
  <c r="S119"/>
  <c r="S111"/>
  <c r="S59"/>
  <c r="S100"/>
  <c r="S51"/>
  <c r="S70"/>
  <c r="S126"/>
  <c r="S54"/>
  <c r="S95"/>
  <c r="S8"/>
  <c r="S24"/>
  <c r="S21"/>
  <c r="S31"/>
  <c r="S28"/>
  <c r="S33"/>
  <c r="S44"/>
  <c r="S43"/>
  <c r="S42"/>
  <c r="S41"/>
  <c r="S40"/>
  <c r="S39"/>
  <c r="S38"/>
  <c r="S37"/>
  <c r="S36"/>
  <c r="S35"/>
  <c r="S34"/>
  <c r="S32"/>
  <c r="S30"/>
  <c r="S29"/>
  <c r="S27"/>
  <c r="S26"/>
  <c r="S25"/>
  <c r="S23"/>
  <c r="S22"/>
  <c r="S20"/>
  <c r="S19"/>
  <c r="S18"/>
  <c r="S17"/>
  <c r="S16"/>
  <c r="S15"/>
  <c r="S14"/>
  <c r="S13"/>
  <c r="S12"/>
  <c r="S11"/>
  <c r="S10"/>
  <c r="S9"/>
  <c r="S7"/>
  <c r="S6"/>
  <c r="S5"/>
  <c r="S4"/>
  <c r="F48" l="1"/>
  <c r="N48"/>
  <c r="I48"/>
  <c r="Q48"/>
  <c r="K48"/>
  <c r="D48"/>
  <c r="J48"/>
  <c r="R48"/>
  <c r="E48"/>
  <c r="M48"/>
  <c r="S129"/>
  <c r="S46" s="1"/>
  <c r="S45"/>
  <c r="S48" l="1"/>
</calcChain>
</file>

<file path=xl/sharedStrings.xml><?xml version="1.0" encoding="utf-8"?>
<sst xmlns="http://schemas.openxmlformats.org/spreadsheetml/2006/main" count="206" uniqueCount="197">
  <si>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</si>
  <si>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</si>
  <si>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</si>
  <si>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</si>
  <si>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</si>
  <si>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</si>
  <si>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</si>
  <si>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</si>
  <si>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</si>
  <si>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</si>
  <si>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</si>
  <si>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</si>
  <si>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</si>
  <si>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</si>
  <si>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</si>
  <si>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</si>
  <si>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Millard District</t>
  </si>
  <si>
    <t>Morgan District</t>
  </si>
  <si>
    <t>Nebo District</t>
  </si>
  <si>
    <t>North Sanpete District</t>
  </si>
  <si>
    <t>North Summit District</t>
  </si>
  <si>
    <t>Park City District</t>
  </si>
  <si>
    <t>Piute District</t>
  </si>
  <si>
    <t>Rich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</si>
  <si>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</si>
  <si>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</si>
  <si>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</si>
  <si>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</si>
  <si>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</si>
  <si>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</si>
  <si>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</si>
  <si>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</si>
  <si>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</si>
  <si>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</si>
  <si>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</si>
  <si>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Salt Lake District</t>
  </si>
  <si>
    <t>Ogden City District</t>
  </si>
  <si>
    <t>Provo District</t>
  </si>
  <si>
    <t>Logan City District</t>
  </si>
  <si>
    <t>Murray District</t>
  </si>
  <si>
    <t>Canyons District</t>
  </si>
  <si>
    <t>Ogden Preparatory Academy</t>
  </si>
  <si>
    <t>American Preparatory Academy</t>
  </si>
  <si>
    <t>Freedom Academy</t>
  </si>
  <si>
    <t>Pinnacle Canyon Academy</t>
  </si>
  <si>
    <t>City Academy</t>
  </si>
  <si>
    <t>Soldier Hollow Charter School</t>
  </si>
  <si>
    <t>Uintah River High</t>
  </si>
  <si>
    <t>John Hancock Charter School</t>
  </si>
  <si>
    <t>Timpanogos Academy</t>
  </si>
  <si>
    <t>Salt Lake Arts Academy</t>
  </si>
  <si>
    <t>Fast Forward High</t>
  </si>
  <si>
    <t>A1</t>
  </si>
  <si>
    <t>A2</t>
  </si>
  <si>
    <t>Ranches Academy</t>
  </si>
  <si>
    <t>A3</t>
  </si>
  <si>
    <t>A4</t>
  </si>
  <si>
    <t>Summit Academy</t>
  </si>
  <si>
    <t>A5</t>
  </si>
  <si>
    <t>Itineris Early College High</t>
  </si>
  <si>
    <t>A6</t>
  </si>
  <si>
    <t>North Davis Preparatory Academy</t>
  </si>
  <si>
    <t>A7</t>
  </si>
  <si>
    <t>Moab Charter School</t>
  </si>
  <si>
    <t>A8</t>
  </si>
  <si>
    <t>East Hollywood High</t>
  </si>
  <si>
    <t>A9</t>
  </si>
  <si>
    <t>Success Academy</t>
  </si>
  <si>
    <t>1B</t>
  </si>
  <si>
    <t>2B</t>
  </si>
  <si>
    <t>Lincoln Academy</t>
  </si>
  <si>
    <t>3B</t>
  </si>
  <si>
    <t>4B</t>
  </si>
  <si>
    <t>Wasatch Peak Academy</t>
  </si>
  <si>
    <t>5B</t>
  </si>
  <si>
    <t>North Star Academy</t>
  </si>
  <si>
    <t>7B</t>
  </si>
  <si>
    <t>Reagan Academy</t>
  </si>
  <si>
    <t>8B</t>
  </si>
  <si>
    <t>American Leadership Academy</t>
  </si>
  <si>
    <t>9B</t>
  </si>
  <si>
    <t>Navigator Pointe Academy</t>
  </si>
  <si>
    <t>1C</t>
  </si>
  <si>
    <t>Odyssey Charter School</t>
  </si>
  <si>
    <t>2C</t>
  </si>
  <si>
    <t>Intech Collegiate High School</t>
  </si>
  <si>
    <t>3C</t>
  </si>
  <si>
    <t>Entheos Academy</t>
  </si>
  <si>
    <t>4C</t>
  </si>
  <si>
    <t>Lakeview Academy</t>
  </si>
  <si>
    <t>5C</t>
  </si>
  <si>
    <t>Legacy Preparatory Academy</t>
  </si>
  <si>
    <t>6C</t>
  </si>
  <si>
    <t>Liberty Academy</t>
  </si>
  <si>
    <t>7C</t>
  </si>
  <si>
    <t>Monticello Academy</t>
  </si>
  <si>
    <t>8C</t>
  </si>
  <si>
    <t>Mountainville Academy</t>
  </si>
  <si>
    <t>9C</t>
  </si>
  <si>
    <t>Paradigm High School</t>
  </si>
  <si>
    <t>1D</t>
  </si>
  <si>
    <t>Renaissance Academy</t>
  </si>
  <si>
    <t>2D</t>
  </si>
  <si>
    <t>Channing Hall</t>
  </si>
  <si>
    <t>3D</t>
  </si>
  <si>
    <t>Spectrum Academy</t>
  </si>
  <si>
    <t>4D</t>
  </si>
  <si>
    <t>Syracuse Arts Academy</t>
  </si>
  <si>
    <t>5D</t>
  </si>
  <si>
    <t>George Washington Academy</t>
  </si>
  <si>
    <t>6D</t>
  </si>
  <si>
    <t>Noah Webster Academy</t>
  </si>
  <si>
    <t>7D</t>
  </si>
  <si>
    <t>8D</t>
  </si>
  <si>
    <t>Open Classroom</t>
  </si>
  <si>
    <t>9D</t>
  </si>
  <si>
    <t>Canyon Rim Academy</t>
  </si>
  <si>
    <t>1E</t>
  </si>
  <si>
    <t>Guadalupe School</t>
  </si>
  <si>
    <t>2E</t>
  </si>
  <si>
    <t>3E</t>
  </si>
  <si>
    <t>4E</t>
  </si>
  <si>
    <t>Dual Immersion Academy</t>
  </si>
  <si>
    <t>5E</t>
  </si>
  <si>
    <t>Edith Bowen Laboratory School</t>
  </si>
  <si>
    <t>7E</t>
  </si>
  <si>
    <t>Gateway Preparatory Academy</t>
  </si>
  <si>
    <t>8E</t>
  </si>
  <si>
    <t>Merit College Preparatory Academy</t>
  </si>
  <si>
    <t>9E</t>
  </si>
  <si>
    <t>Providence Hall</t>
  </si>
  <si>
    <t>1F</t>
  </si>
  <si>
    <t>Quest Academy</t>
  </si>
  <si>
    <t>2F</t>
  </si>
  <si>
    <t>Rockwell Charter High School</t>
  </si>
  <si>
    <t>3F</t>
  </si>
  <si>
    <t>Venture Academy</t>
  </si>
  <si>
    <t>4F</t>
  </si>
  <si>
    <t>5F</t>
  </si>
  <si>
    <t>Utah Virtual Academy</t>
  </si>
  <si>
    <t>6F</t>
  </si>
  <si>
    <t>7F</t>
  </si>
  <si>
    <t>Excelsior Academy</t>
  </si>
  <si>
    <t>8F</t>
  </si>
  <si>
    <t>Hawthorn Academy</t>
  </si>
  <si>
    <t>9F</t>
  </si>
  <si>
    <t>1G</t>
  </si>
  <si>
    <t>Oquirrh Mountain Charter School</t>
  </si>
  <si>
    <t>2G</t>
  </si>
  <si>
    <t>3G</t>
  </si>
  <si>
    <t>Bear River Charter School</t>
  </si>
  <si>
    <t>4G</t>
  </si>
  <si>
    <t>Maria Montessori Academy</t>
  </si>
  <si>
    <t>5G</t>
  </si>
  <si>
    <t>Quail Run Primary School</t>
  </si>
  <si>
    <t>6G</t>
  </si>
  <si>
    <t>7G</t>
  </si>
  <si>
    <t>Summit Academy High School</t>
  </si>
  <si>
    <t>8G</t>
  </si>
  <si>
    <t>Good Foundations Academy</t>
  </si>
  <si>
    <t>9G</t>
  </si>
  <si>
    <t>Alianza Academy</t>
  </si>
  <si>
    <t>2H</t>
  </si>
  <si>
    <t>Utah Connections Academy</t>
  </si>
  <si>
    <t>3H</t>
  </si>
  <si>
    <t>Endeavor Hall</t>
  </si>
  <si>
    <t>K</t>
  </si>
  <si>
    <t>Resource</t>
  </si>
  <si>
    <t>Special Education</t>
  </si>
  <si>
    <t>Regular Education</t>
  </si>
  <si>
    <t>School District</t>
  </si>
  <si>
    <t>Total</t>
  </si>
  <si>
    <t>K-12 + SC</t>
  </si>
  <si>
    <t>Self-Cont.</t>
  </si>
  <si>
    <t>District Subtotal</t>
  </si>
  <si>
    <t>Charter Subtotal</t>
  </si>
  <si>
    <t>State Total</t>
  </si>
  <si>
    <t>Charter School</t>
  </si>
  <si>
    <t>Utah Schools for the Deaf and Blind</t>
  </si>
  <si>
    <t>sort</t>
  </si>
  <si>
    <t>ID</t>
  </si>
  <si>
    <t>Beehive Science &amp; Technology Academy</t>
  </si>
  <si>
    <t>Thomas Edison</t>
  </si>
  <si>
    <t>Open High School of Utah</t>
  </si>
  <si>
    <t>Salt Lake Center for Science Education</t>
  </si>
  <si>
    <t>Salt Lake School for the Performing Arts</t>
  </si>
  <si>
    <t>Tuacahn High School for the Performing Arts</t>
  </si>
  <si>
    <t>Utah County Academy of Science</t>
  </si>
  <si>
    <t>Vista at Entrada School of Performing Arts</t>
  </si>
  <si>
    <t>Walden School of Liberal Arts</t>
  </si>
  <si>
    <t>Weilenmann School of Discovery</t>
  </si>
  <si>
    <t>Early Light Academy at Daybreak</t>
  </si>
  <si>
    <t>DaVinci Academy</t>
  </si>
  <si>
    <t>Academy for Math, Engineering &amp; Science</t>
  </si>
  <si>
    <t>C.S. Lewis Academy</t>
  </si>
  <si>
    <t>Karl G. Maeser Preparatory Academy</t>
  </si>
  <si>
    <t>Northern Utah Academy for Math, Engineering &amp; Science</t>
  </si>
</sst>
</file>

<file path=xl/styles.xml><?xml version="1.0" encoding="utf-8"?>
<styleSheet xmlns="http://schemas.openxmlformats.org/spreadsheetml/2006/main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_);\(#,##0.000\)"/>
    <numFmt numFmtId="165" formatCode="General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1" fillId="0" borderId="0"/>
    <xf numFmtId="44" fontId="20" fillId="0" borderId="0" applyFont="0" applyFill="0" applyBorder="0" applyAlignment="0" applyProtection="0"/>
    <xf numFmtId="165" fontId="21" fillId="0" borderId="0"/>
    <xf numFmtId="40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1" fillId="0" borderId="0"/>
    <xf numFmtId="9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165" fontId="21" fillId="0" borderId="0"/>
    <xf numFmtId="0" fontId="20" fillId="0" borderId="0"/>
  </cellStyleXfs>
  <cellXfs count="30">
    <xf numFmtId="0" fontId="0" fillId="0" borderId="0" xfId="0"/>
    <xf numFmtId="0" fontId="18" fillId="0" borderId="11" xfId="0" applyFont="1" applyBorder="1"/>
    <xf numFmtId="0" fontId="19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right"/>
    </xf>
    <xf numFmtId="0" fontId="19" fillId="0" borderId="11" xfId="0" applyFont="1" applyBorder="1" applyAlignment="1">
      <alignment horizontal="centerContinuous"/>
    </xf>
    <xf numFmtId="0" fontId="18" fillId="0" borderId="12" xfId="0" applyFont="1" applyBorder="1"/>
    <xf numFmtId="0" fontId="19" fillId="0" borderId="10" xfId="0" applyFont="1" applyBorder="1" applyAlignment="1">
      <alignment horizontal="center"/>
    </xf>
    <xf numFmtId="164" fontId="19" fillId="0" borderId="0" xfId="0" applyNumberFormat="1" applyFont="1" applyBorder="1"/>
    <xf numFmtId="0" fontId="19" fillId="0" borderId="11" xfId="0" applyFont="1" applyBorder="1"/>
    <xf numFmtId="0" fontId="18" fillId="0" borderId="0" xfId="0" applyFont="1" applyBorder="1" applyAlignment="1">
      <alignment horizontal="right"/>
    </xf>
    <xf numFmtId="164" fontId="19" fillId="0" borderId="12" xfId="0" applyNumberFormat="1" applyFont="1" applyBorder="1"/>
    <xf numFmtId="0" fontId="19" fillId="0" borderId="0" xfId="0" applyFont="1" applyBorder="1"/>
    <xf numFmtId="164" fontId="18" fillId="0" borderId="12" xfId="0" applyNumberFormat="1" applyFont="1" applyBorder="1"/>
    <xf numFmtId="0" fontId="18" fillId="0" borderId="0" xfId="0" applyFont="1"/>
    <xf numFmtId="0" fontId="18" fillId="0" borderId="0" xfId="0" applyFont="1" applyAlignment="1">
      <alignment horizontal="right"/>
    </xf>
    <xf numFmtId="164" fontId="18" fillId="0" borderId="0" xfId="0" applyNumberFormat="1" applyFont="1"/>
    <xf numFmtId="0" fontId="19" fillId="0" borderId="12" xfId="0" applyFont="1" applyBorder="1"/>
    <xf numFmtId="0" fontId="18" fillId="0" borderId="0" xfId="0" applyFont="1"/>
    <xf numFmtId="0" fontId="18" fillId="0" borderId="0" xfId="0" applyFont="1" applyAlignment="1">
      <alignment horizontal="right"/>
    </xf>
    <xf numFmtId="164" fontId="19" fillId="0" borderId="0" xfId="0" applyNumberFormat="1" applyFont="1"/>
    <xf numFmtId="164" fontId="19" fillId="0" borderId="11" xfId="0" applyNumberFormat="1" applyFont="1" applyBorder="1"/>
    <xf numFmtId="0" fontId="19" fillId="0" borderId="14" xfId="0" applyFont="1" applyBorder="1" applyAlignment="1">
      <alignment horizontal="center"/>
    </xf>
    <xf numFmtId="164" fontId="18" fillId="0" borderId="15" xfId="0" applyNumberFormat="1" applyFont="1" applyBorder="1"/>
    <xf numFmtId="164" fontId="18" fillId="0" borderId="16" xfId="0" applyNumberFormat="1" applyFont="1" applyBorder="1"/>
    <xf numFmtId="164" fontId="19" fillId="0" borderId="15" xfId="0" applyNumberFormat="1" applyFont="1" applyBorder="1"/>
    <xf numFmtId="164" fontId="19" fillId="0" borderId="16" xfId="0" applyNumberFormat="1" applyFont="1" applyBorder="1"/>
    <xf numFmtId="0" fontId="19" fillId="0" borderId="13" xfId="0" applyFont="1" applyBorder="1" applyAlignment="1">
      <alignment horizontal="centerContinuous"/>
    </xf>
    <xf numFmtId="164" fontId="19" fillId="0" borderId="13" xfId="0" applyNumberFormat="1" applyFont="1" applyBorder="1"/>
    <xf numFmtId="0" fontId="19" fillId="0" borderId="14" xfId="0" applyFont="1" applyBorder="1" applyAlignment="1">
      <alignment horizontal="centerContinuous"/>
    </xf>
    <xf numFmtId="0" fontId="19" fillId="0" borderId="13" xfId="0" applyFont="1" applyBorder="1" applyAlignment="1">
      <alignment horizontal="center"/>
    </xf>
  </cellXfs>
  <cellStyles count="8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/>
    <cellStyle name="Comma 2 2" xfId="45"/>
    <cellStyle name="Comma 3" xfId="46"/>
    <cellStyle name="Comma 4" xfId="51"/>
    <cellStyle name="Currency [0] 2" xfId="53"/>
    <cellStyle name="Currency 10" xfId="60"/>
    <cellStyle name="Currency 11" xfId="63"/>
    <cellStyle name="Currency 12" xfId="64"/>
    <cellStyle name="Currency 13" xfId="65"/>
    <cellStyle name="Currency 14" xfId="66"/>
    <cellStyle name="Currency 15" xfId="67"/>
    <cellStyle name="Currency 16" xfId="68"/>
    <cellStyle name="Currency 17" xfId="69"/>
    <cellStyle name="Currency 18" xfId="70"/>
    <cellStyle name="Currency 19" xfId="71"/>
    <cellStyle name="Currency 2" xfId="49"/>
    <cellStyle name="Currency 20" xfId="72"/>
    <cellStyle name="Currency 21" xfId="73"/>
    <cellStyle name="Currency 22" xfId="74"/>
    <cellStyle name="Currency 23" xfId="75"/>
    <cellStyle name="Currency 24" xfId="76"/>
    <cellStyle name="Currency 25" xfId="77"/>
    <cellStyle name="Currency 26" xfId="78"/>
    <cellStyle name="Currency 3" xfId="52"/>
    <cellStyle name="Currency 4" xfId="57"/>
    <cellStyle name="Currency 5" xfId="59"/>
    <cellStyle name="Currency 6" xfId="58"/>
    <cellStyle name="Currency 7" xfId="62"/>
    <cellStyle name="Currency 8" xfId="56"/>
    <cellStyle name="Currency 9" xfId="6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4"/>
    <cellStyle name="Normal 2 3" xfId="54"/>
    <cellStyle name="Normal 3" xfId="48"/>
    <cellStyle name="Normal 4" xfId="47"/>
    <cellStyle name="Normal 4 2" xfId="80"/>
    <cellStyle name="Normal 5" xfId="50"/>
    <cellStyle name="Normal 5 2" xfId="79"/>
    <cellStyle name="Note" xfId="15" builtinId="10" customBuiltin="1"/>
    <cellStyle name="Output" xfId="10" builtinId="21" customBuiltin="1"/>
    <cellStyle name="Percent 2" xfId="5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9"/>
  <sheetViews>
    <sheetView tabSelected="1" view="pageLayout" topLeftCell="A126" zoomScaleNormal="100" workbookViewId="0">
      <selection activeCell="C93" sqref="C93"/>
    </sheetView>
  </sheetViews>
  <sheetFormatPr defaultColWidth="8.85546875" defaultRowHeight="11.25"/>
  <cols>
    <col min="1" max="1" width="2.7109375" style="17" customWidth="1"/>
    <col min="2" max="2" width="2.85546875" style="13" customWidth="1"/>
    <col min="3" max="3" width="36.7109375" style="13" customWidth="1"/>
    <col min="4" max="18" width="8.85546875" style="13" customWidth="1"/>
    <col min="19" max="19" width="10.28515625" style="13" customWidth="1"/>
    <col min="20" max="16384" width="8.85546875" style="13"/>
  </cols>
  <sheetData>
    <row r="1" spans="1:19" s="17" customFormat="1"/>
    <row r="2" spans="1:19">
      <c r="A2" s="17" t="s">
        <v>179</v>
      </c>
      <c r="B2" s="1"/>
      <c r="C2" s="8"/>
      <c r="D2" s="4" t="s">
        <v>169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8" t="s">
        <v>168</v>
      </c>
      <c r="R2" s="4"/>
      <c r="S2" s="29" t="s">
        <v>171</v>
      </c>
    </row>
    <row r="3" spans="1:19">
      <c r="B3" s="2" t="s">
        <v>180</v>
      </c>
      <c r="C3" s="2" t="s">
        <v>170</v>
      </c>
      <c r="D3" s="6" t="s">
        <v>166</v>
      </c>
      <c r="E3" s="21">
        <v>1</v>
      </c>
      <c r="F3" s="6">
        <v>2</v>
      </c>
      <c r="G3" s="6">
        <v>3</v>
      </c>
      <c r="H3" s="6">
        <v>4</v>
      </c>
      <c r="I3" s="6">
        <v>5</v>
      </c>
      <c r="J3" s="6">
        <v>6</v>
      </c>
      <c r="K3" s="21">
        <v>7</v>
      </c>
      <c r="L3" s="6">
        <v>8</v>
      </c>
      <c r="M3" s="21">
        <v>9</v>
      </c>
      <c r="N3" s="6">
        <v>10</v>
      </c>
      <c r="O3" s="6">
        <v>11</v>
      </c>
      <c r="P3" s="6">
        <v>12</v>
      </c>
      <c r="Q3" s="21" t="s">
        <v>173</v>
      </c>
      <c r="R3" s="6" t="s">
        <v>167</v>
      </c>
      <c r="S3" s="21" t="s">
        <v>172</v>
      </c>
    </row>
    <row r="4" spans="1:19">
      <c r="A4" s="17">
        <f>A3+1</f>
        <v>1</v>
      </c>
      <c r="B4" s="14">
        <v>1</v>
      </c>
      <c r="C4" s="13" t="s">
        <v>0</v>
      </c>
      <c r="D4" s="15">
        <v>5786.9111111111115</v>
      </c>
      <c r="E4" s="22">
        <v>5699.4277777777779</v>
      </c>
      <c r="F4" s="15">
        <v>5732.5055555555555</v>
      </c>
      <c r="G4" s="15">
        <v>5555.2166666666662</v>
      </c>
      <c r="H4" s="15">
        <v>5275.2611111111109</v>
      </c>
      <c r="I4" s="15">
        <v>5313.833333333333</v>
      </c>
      <c r="J4" s="15">
        <v>5075.083333333333</v>
      </c>
      <c r="K4" s="22">
        <v>5242.6499999999996</v>
      </c>
      <c r="L4" s="15">
        <v>4902.7277777777781</v>
      </c>
      <c r="M4" s="22">
        <v>4673.5055555555555</v>
      </c>
      <c r="N4" s="15">
        <v>4574.2777777777774</v>
      </c>
      <c r="O4" s="15">
        <v>4510.7388888888891</v>
      </c>
      <c r="P4" s="15">
        <v>3846.1555555555556</v>
      </c>
      <c r="Q4" s="22">
        <v>1472.1166666666666</v>
      </c>
      <c r="R4" s="15">
        <v>5417.3777777777777</v>
      </c>
      <c r="S4" s="24">
        <f>SUM(D4:Q4)</f>
        <v>67660.411111111127</v>
      </c>
    </row>
    <row r="5" spans="1:19">
      <c r="A5" s="17">
        <f t="shared" ref="A5:A44" si="0">A4+1</f>
        <v>2</v>
      </c>
      <c r="B5" s="14">
        <v>2</v>
      </c>
      <c r="C5" s="13" t="s">
        <v>1</v>
      </c>
      <c r="D5" s="15">
        <v>109.62777777777778</v>
      </c>
      <c r="E5" s="22">
        <v>128.08333333333334</v>
      </c>
      <c r="F5" s="15">
        <v>127.89444444444445</v>
      </c>
      <c r="G5" s="15">
        <v>131.1888888888889</v>
      </c>
      <c r="H5" s="15">
        <v>107.01111111111111</v>
      </c>
      <c r="I5" s="15">
        <v>108.68333333333334</v>
      </c>
      <c r="J5" s="15">
        <v>126.66666666666667</v>
      </c>
      <c r="K5" s="22">
        <v>112.27222222222223</v>
      </c>
      <c r="L5" s="15">
        <v>134.13333333333333</v>
      </c>
      <c r="M5" s="22">
        <v>114.54444444444445</v>
      </c>
      <c r="N5" s="15">
        <v>114.89444444444445</v>
      </c>
      <c r="O5" s="15">
        <v>105.68333333333334</v>
      </c>
      <c r="P5" s="15">
        <v>85.36666666666666</v>
      </c>
      <c r="Q5" s="22">
        <v>16.866666666666667</v>
      </c>
      <c r="R5" s="15">
        <v>192.11666666666667</v>
      </c>
      <c r="S5" s="24">
        <f t="shared" ref="S5:S44" si="1">SUM(D5:Q5)</f>
        <v>1522.9166666666665</v>
      </c>
    </row>
    <row r="6" spans="1:19">
      <c r="A6" s="17">
        <f t="shared" si="0"/>
        <v>3</v>
      </c>
      <c r="B6" s="14">
        <v>3</v>
      </c>
      <c r="C6" s="13" t="s">
        <v>2</v>
      </c>
      <c r="D6" s="15">
        <v>941.17777777777781</v>
      </c>
      <c r="E6" s="22">
        <v>874.65555555555557</v>
      </c>
      <c r="F6" s="15">
        <v>904.99444444444441</v>
      </c>
      <c r="G6" s="15">
        <v>891.7166666666667</v>
      </c>
      <c r="H6" s="15">
        <v>858.97777777777776</v>
      </c>
      <c r="I6" s="15">
        <v>853.58333333333337</v>
      </c>
      <c r="J6" s="15">
        <v>826.95555555555552</v>
      </c>
      <c r="K6" s="22">
        <v>869.62222222222226</v>
      </c>
      <c r="L6" s="15">
        <v>815.42222222222222</v>
      </c>
      <c r="M6" s="22">
        <v>797.21111111111111</v>
      </c>
      <c r="N6" s="15">
        <v>764.55</v>
      </c>
      <c r="O6" s="15">
        <v>752.19444444444446</v>
      </c>
      <c r="P6" s="15">
        <v>691.39444444444439</v>
      </c>
      <c r="Q6" s="22">
        <v>269.08333333333331</v>
      </c>
      <c r="R6" s="15">
        <v>932.7833333333333</v>
      </c>
      <c r="S6" s="24">
        <f t="shared" si="1"/>
        <v>11111.53888888889</v>
      </c>
    </row>
    <row r="7" spans="1:19">
      <c r="A7" s="17">
        <f t="shared" si="0"/>
        <v>4</v>
      </c>
      <c r="B7" s="14">
        <v>4</v>
      </c>
      <c r="C7" s="13" t="s">
        <v>3</v>
      </c>
      <c r="D7" s="15">
        <v>1242.4444444444443</v>
      </c>
      <c r="E7" s="22">
        <v>1218.3</v>
      </c>
      <c r="F7" s="15">
        <v>1356.5222222222221</v>
      </c>
      <c r="G7" s="15">
        <v>1198.9166666666667</v>
      </c>
      <c r="H7" s="15">
        <v>1257.3944444444444</v>
      </c>
      <c r="I7" s="15">
        <v>1130.0055555555555</v>
      </c>
      <c r="J7" s="15">
        <v>1231.588888888889</v>
      </c>
      <c r="K7" s="22">
        <v>1133.6888888888889</v>
      </c>
      <c r="L7" s="15">
        <v>1155.088888888889</v>
      </c>
      <c r="M7" s="22">
        <v>1085.1388888888889</v>
      </c>
      <c r="N7" s="15">
        <v>1079.5166666666667</v>
      </c>
      <c r="O7" s="15">
        <v>1053.9277777777777</v>
      </c>
      <c r="P7" s="15">
        <v>999.26111111111106</v>
      </c>
      <c r="Q7" s="22">
        <v>367.72777777777776</v>
      </c>
      <c r="R7" s="15">
        <v>1438.5666666666666</v>
      </c>
      <c r="S7" s="24">
        <f t="shared" si="1"/>
        <v>15509.52222222222</v>
      </c>
    </row>
    <row r="8" spans="1:19">
      <c r="A8" s="17">
        <f t="shared" si="0"/>
        <v>5</v>
      </c>
      <c r="B8" s="3">
        <v>42</v>
      </c>
      <c r="C8" s="5" t="s">
        <v>40</v>
      </c>
      <c r="D8" s="12">
        <v>2519.0166666666669</v>
      </c>
      <c r="E8" s="23">
        <v>2610.0166666666669</v>
      </c>
      <c r="F8" s="12">
        <v>2598.3444444444444</v>
      </c>
      <c r="G8" s="12">
        <v>2557.5444444444443</v>
      </c>
      <c r="H8" s="12">
        <v>2634.6444444444446</v>
      </c>
      <c r="I8" s="12">
        <v>2567.1333333333332</v>
      </c>
      <c r="J8" s="12">
        <v>2613.5222222222224</v>
      </c>
      <c r="K8" s="23">
        <v>2398.2888888888888</v>
      </c>
      <c r="L8" s="12">
        <v>2441.4555555555557</v>
      </c>
      <c r="M8" s="23">
        <v>2480.2166666666667</v>
      </c>
      <c r="N8" s="12">
        <v>2427.8888888888887</v>
      </c>
      <c r="O8" s="12">
        <v>2545.4277777777779</v>
      </c>
      <c r="P8" s="12">
        <v>2289.1388888888887</v>
      </c>
      <c r="Q8" s="23">
        <v>800.57777777777778</v>
      </c>
      <c r="R8" s="12">
        <v>2679.4777777777776</v>
      </c>
      <c r="S8" s="25">
        <f>SUM(D8:Q8)</f>
        <v>33483.216666666667</v>
      </c>
    </row>
    <row r="9" spans="1:19">
      <c r="A9" s="17">
        <f t="shared" si="0"/>
        <v>6</v>
      </c>
      <c r="B9" s="14">
        <v>5</v>
      </c>
      <c r="C9" s="13" t="s">
        <v>4</v>
      </c>
      <c r="D9" s="15">
        <v>277.43888888888887</v>
      </c>
      <c r="E9" s="22">
        <v>281.26666666666665</v>
      </c>
      <c r="F9" s="15">
        <v>315.82777777777778</v>
      </c>
      <c r="G9" s="15">
        <v>268.42777777777781</v>
      </c>
      <c r="H9" s="15">
        <v>286.39999999999998</v>
      </c>
      <c r="I9" s="15">
        <v>268.53333333333336</v>
      </c>
      <c r="J9" s="15">
        <v>255.5888888888889</v>
      </c>
      <c r="K9" s="22">
        <v>251.55555555555554</v>
      </c>
      <c r="L9" s="15">
        <v>220.17222222222222</v>
      </c>
      <c r="M9" s="22">
        <v>230.61111111111111</v>
      </c>
      <c r="N9" s="15">
        <v>205.03888888888889</v>
      </c>
      <c r="O9" s="15">
        <v>226.05</v>
      </c>
      <c r="P9" s="15">
        <v>185.32777777777778</v>
      </c>
      <c r="Q9" s="22">
        <v>101.05555555555556</v>
      </c>
      <c r="R9" s="15">
        <v>386.0888888888889</v>
      </c>
      <c r="S9" s="24">
        <f t="shared" si="1"/>
        <v>3373.2944444444456</v>
      </c>
    </row>
    <row r="10" spans="1:19">
      <c r="A10" s="17">
        <f t="shared" si="0"/>
        <v>7</v>
      </c>
      <c r="B10" s="14">
        <v>6</v>
      </c>
      <c r="C10" s="13" t="s">
        <v>5</v>
      </c>
      <c r="D10" s="15">
        <v>13</v>
      </c>
      <c r="E10" s="22">
        <v>19.211111111111112</v>
      </c>
      <c r="F10" s="15">
        <v>12.083333333333334</v>
      </c>
      <c r="G10" s="15">
        <v>19.483333333333334</v>
      </c>
      <c r="H10" s="15">
        <v>11</v>
      </c>
      <c r="I10" s="15">
        <v>8.9722222222222214</v>
      </c>
      <c r="J10" s="15">
        <v>10</v>
      </c>
      <c r="K10" s="22">
        <v>18</v>
      </c>
      <c r="L10" s="15">
        <v>12.183333333333334</v>
      </c>
      <c r="M10" s="22">
        <v>10.494444444444444</v>
      </c>
      <c r="N10" s="15">
        <v>10</v>
      </c>
      <c r="O10" s="15">
        <v>9.1333333333333329</v>
      </c>
      <c r="P10" s="15">
        <v>14</v>
      </c>
      <c r="Q10" s="22">
        <v>0.98888888888888893</v>
      </c>
      <c r="R10" s="15">
        <v>18.18888888888889</v>
      </c>
      <c r="S10" s="24">
        <f t="shared" si="1"/>
        <v>168.54999999999998</v>
      </c>
    </row>
    <row r="11" spans="1:19">
      <c r="A11" s="17">
        <f t="shared" si="0"/>
        <v>8</v>
      </c>
      <c r="B11" s="14">
        <v>7</v>
      </c>
      <c r="C11" s="13" t="s">
        <v>6</v>
      </c>
      <c r="D11" s="15">
        <v>5492.5055555555555</v>
      </c>
      <c r="E11" s="22">
        <v>5494.9444444444443</v>
      </c>
      <c r="F11" s="15">
        <v>5544.8277777777776</v>
      </c>
      <c r="G11" s="15">
        <v>5263.7166666666662</v>
      </c>
      <c r="H11" s="15">
        <v>5244.9055555555551</v>
      </c>
      <c r="I11" s="15">
        <v>5178.8111111111111</v>
      </c>
      <c r="J11" s="15">
        <v>5042.5444444444447</v>
      </c>
      <c r="K11" s="22">
        <v>5095.9777777777781</v>
      </c>
      <c r="L11" s="15">
        <v>4792.6777777777779</v>
      </c>
      <c r="M11" s="22">
        <v>4770.5222222222219</v>
      </c>
      <c r="N11" s="15">
        <v>4645.9222222222224</v>
      </c>
      <c r="O11" s="15">
        <v>4595.6222222222223</v>
      </c>
      <c r="P11" s="15">
        <v>4352.7611111111109</v>
      </c>
      <c r="Q11" s="22">
        <v>1772.8222222222223</v>
      </c>
      <c r="R11" s="15">
        <v>5106.0611111111111</v>
      </c>
      <c r="S11" s="24">
        <f t="shared" si="1"/>
        <v>67288.561111111107</v>
      </c>
    </row>
    <row r="12" spans="1:19">
      <c r="A12" s="17">
        <f t="shared" si="0"/>
        <v>9</v>
      </c>
      <c r="B12" s="14">
        <v>8</v>
      </c>
      <c r="C12" s="13" t="s">
        <v>7</v>
      </c>
      <c r="D12" s="15">
        <v>401.31111111111113</v>
      </c>
      <c r="E12" s="22">
        <v>370.87777777777779</v>
      </c>
      <c r="F12" s="15">
        <v>369.19444444444446</v>
      </c>
      <c r="G12" s="15">
        <v>355.19444444444446</v>
      </c>
      <c r="H12" s="15">
        <v>344.20555555555558</v>
      </c>
      <c r="I12" s="15">
        <v>345.69444444444446</v>
      </c>
      <c r="J12" s="15">
        <v>341.82222222222219</v>
      </c>
      <c r="K12" s="22">
        <v>362.84444444444443</v>
      </c>
      <c r="L12" s="15">
        <v>308.99444444444447</v>
      </c>
      <c r="M12" s="22">
        <v>305.28888888888889</v>
      </c>
      <c r="N12" s="15">
        <v>309.17222222222222</v>
      </c>
      <c r="O12" s="15">
        <v>278.8</v>
      </c>
      <c r="P12" s="15">
        <v>278.2</v>
      </c>
      <c r="Q12" s="22">
        <v>164.78333333333333</v>
      </c>
      <c r="R12" s="15">
        <v>479.97222222222223</v>
      </c>
      <c r="S12" s="24">
        <f t="shared" si="1"/>
        <v>4536.3833333333332</v>
      </c>
    </row>
    <row r="13" spans="1:19">
      <c r="A13" s="17">
        <f t="shared" si="0"/>
        <v>10</v>
      </c>
      <c r="B13" s="3">
        <v>9</v>
      </c>
      <c r="C13" s="5" t="s">
        <v>8</v>
      </c>
      <c r="D13" s="12">
        <v>193.07222222222222</v>
      </c>
      <c r="E13" s="23">
        <v>178.97222222222223</v>
      </c>
      <c r="F13" s="12">
        <v>177.78333333333333</v>
      </c>
      <c r="G13" s="12">
        <v>197.71111111111111</v>
      </c>
      <c r="H13" s="12">
        <v>182.88333333333333</v>
      </c>
      <c r="I13" s="12">
        <v>181.46666666666667</v>
      </c>
      <c r="J13" s="12">
        <v>173.26111111111112</v>
      </c>
      <c r="K13" s="23">
        <v>170.02777777777777</v>
      </c>
      <c r="L13" s="12">
        <v>187.1888888888889</v>
      </c>
      <c r="M13" s="23">
        <v>183.80555555555554</v>
      </c>
      <c r="N13" s="12">
        <v>145.85</v>
      </c>
      <c r="O13" s="12">
        <v>156.48888888888888</v>
      </c>
      <c r="P13" s="12">
        <v>133.85</v>
      </c>
      <c r="Q13" s="23">
        <v>49.661111111111111</v>
      </c>
      <c r="R13" s="12">
        <v>324.28888888888889</v>
      </c>
      <c r="S13" s="25">
        <f t="shared" si="1"/>
        <v>2312.0222222222224</v>
      </c>
    </row>
    <row r="14" spans="1:19">
      <c r="A14" s="17">
        <f t="shared" si="0"/>
        <v>11</v>
      </c>
      <c r="B14" s="14">
        <v>10</v>
      </c>
      <c r="C14" s="13" t="s">
        <v>9</v>
      </c>
      <c r="D14" s="15">
        <v>74.466666666666669</v>
      </c>
      <c r="E14" s="22">
        <v>79.038888888888891</v>
      </c>
      <c r="F14" s="15">
        <v>77.727777777777774</v>
      </c>
      <c r="G14" s="15">
        <v>63.594444444444441</v>
      </c>
      <c r="H14" s="15">
        <v>70.661111111111111</v>
      </c>
      <c r="I14" s="15">
        <v>65.55</v>
      </c>
      <c r="J14" s="15">
        <v>66.522222222222226</v>
      </c>
      <c r="K14" s="22">
        <v>75.711111111111109</v>
      </c>
      <c r="L14" s="15">
        <v>81.25555555555556</v>
      </c>
      <c r="M14" s="22">
        <v>64.022222222222226</v>
      </c>
      <c r="N14" s="15">
        <v>72.7</v>
      </c>
      <c r="O14" s="15">
        <v>65.62777777777778</v>
      </c>
      <c r="P14" s="15">
        <v>48.944444444444443</v>
      </c>
      <c r="Q14" s="22">
        <v>13.611111111111111</v>
      </c>
      <c r="R14" s="15">
        <v>99.87222222222222</v>
      </c>
      <c r="S14" s="24">
        <f t="shared" si="1"/>
        <v>919.43333333333339</v>
      </c>
    </row>
    <row r="15" spans="1:19">
      <c r="A15" s="17">
        <f t="shared" si="0"/>
        <v>12</v>
      </c>
      <c r="B15" s="14">
        <v>11</v>
      </c>
      <c r="C15" s="13" t="s">
        <v>10</v>
      </c>
      <c r="D15" s="15">
        <v>89.672222222222217</v>
      </c>
      <c r="E15" s="22">
        <v>117.72777777777777</v>
      </c>
      <c r="F15" s="15">
        <v>111.47777777777777</v>
      </c>
      <c r="G15" s="15">
        <v>108.08888888888889</v>
      </c>
      <c r="H15" s="15">
        <v>107.42777777777778</v>
      </c>
      <c r="I15" s="15">
        <v>119.06111111111112</v>
      </c>
      <c r="J15" s="15">
        <v>99.8</v>
      </c>
      <c r="K15" s="22">
        <v>104.05555555555556</v>
      </c>
      <c r="L15" s="15">
        <v>112.98333333333333</v>
      </c>
      <c r="M15" s="22">
        <v>102.52777777777777</v>
      </c>
      <c r="N15" s="15">
        <v>124.73333333333333</v>
      </c>
      <c r="O15" s="15">
        <v>98.24444444444444</v>
      </c>
      <c r="P15" s="15">
        <v>96.927777777777777</v>
      </c>
      <c r="Q15" s="22">
        <v>56.794444444444444</v>
      </c>
      <c r="R15" s="15">
        <v>116.85555555555555</v>
      </c>
      <c r="S15" s="24">
        <f t="shared" si="1"/>
        <v>1449.5222222222221</v>
      </c>
    </row>
    <row r="16" spans="1:19">
      <c r="A16" s="17">
        <f t="shared" si="0"/>
        <v>13</v>
      </c>
      <c r="B16" s="14">
        <v>12</v>
      </c>
      <c r="C16" s="13" t="s">
        <v>11</v>
      </c>
      <c r="D16" s="15">
        <v>5504.5777777777776</v>
      </c>
      <c r="E16" s="22">
        <v>5592.8388888888885</v>
      </c>
      <c r="F16" s="15">
        <v>5398.7611111111109</v>
      </c>
      <c r="G16" s="15">
        <v>5400.9944444444445</v>
      </c>
      <c r="H16" s="15">
        <v>5084.1000000000004</v>
      </c>
      <c r="I16" s="15">
        <v>5236.0055555555555</v>
      </c>
      <c r="J16" s="15">
        <v>5068.8999999999996</v>
      </c>
      <c r="K16" s="22">
        <v>5002.6111111111113</v>
      </c>
      <c r="L16" s="15">
        <v>4903.416666666667</v>
      </c>
      <c r="M16" s="22">
        <v>4590.7944444444447</v>
      </c>
      <c r="N16" s="15">
        <v>4625.6944444444443</v>
      </c>
      <c r="O16" s="15">
        <v>4300.4555555555553</v>
      </c>
      <c r="P16" s="15">
        <v>3896.0444444444443</v>
      </c>
      <c r="Q16" s="22">
        <v>1714.6555555555556</v>
      </c>
      <c r="R16" s="15">
        <v>5432</v>
      </c>
      <c r="S16" s="24">
        <f t="shared" si="1"/>
        <v>66319.849999999991</v>
      </c>
    </row>
    <row r="17" spans="1:19">
      <c r="A17" s="17">
        <f t="shared" si="0"/>
        <v>14</v>
      </c>
      <c r="B17" s="14">
        <v>13</v>
      </c>
      <c r="C17" s="13" t="s">
        <v>12</v>
      </c>
      <c r="D17" s="15">
        <v>693.80555555555554</v>
      </c>
      <c r="E17" s="22">
        <v>691.54444444444448</v>
      </c>
      <c r="F17" s="15">
        <v>665.19444444444446</v>
      </c>
      <c r="G17" s="15">
        <v>668.13888888888891</v>
      </c>
      <c r="H17" s="15">
        <v>664.97777777777776</v>
      </c>
      <c r="I17" s="15">
        <v>627.25555555555559</v>
      </c>
      <c r="J17" s="15">
        <v>670.87777777777774</v>
      </c>
      <c r="K17" s="22">
        <v>676.81111111111113</v>
      </c>
      <c r="L17" s="15">
        <v>648.18888888888887</v>
      </c>
      <c r="M17" s="22">
        <v>570.15555555555557</v>
      </c>
      <c r="N17" s="15">
        <v>595.76111111111106</v>
      </c>
      <c r="O17" s="15">
        <v>575.67777777777781</v>
      </c>
      <c r="P17" s="15">
        <v>565.31111111111113</v>
      </c>
      <c r="Q17" s="22">
        <v>152.11111111111111</v>
      </c>
      <c r="R17" s="15">
        <v>938.27777777777783</v>
      </c>
      <c r="S17" s="24">
        <f t="shared" si="1"/>
        <v>8465.8111111111102</v>
      </c>
    </row>
    <row r="18" spans="1:19">
      <c r="A18" s="17">
        <f t="shared" si="0"/>
        <v>15</v>
      </c>
      <c r="B18" s="3">
        <v>14</v>
      </c>
      <c r="C18" s="5" t="s">
        <v>13</v>
      </c>
      <c r="D18" s="12">
        <v>4053.1111111111113</v>
      </c>
      <c r="E18" s="23">
        <v>4026.8111111111111</v>
      </c>
      <c r="F18" s="12">
        <v>4033.5333333333333</v>
      </c>
      <c r="G18" s="12">
        <v>4078.6333333333332</v>
      </c>
      <c r="H18" s="12">
        <v>3991.75</v>
      </c>
      <c r="I18" s="12">
        <v>3922.0666666666666</v>
      </c>
      <c r="J18" s="12">
        <v>3815.9888888888891</v>
      </c>
      <c r="K18" s="23">
        <v>3665.5722222222221</v>
      </c>
      <c r="L18" s="12">
        <v>3583.3722222222223</v>
      </c>
      <c r="M18" s="23">
        <v>3494.3166666666666</v>
      </c>
      <c r="N18" s="12">
        <v>3721.4722222222222</v>
      </c>
      <c r="O18" s="12">
        <v>3490.0166666666669</v>
      </c>
      <c r="P18" s="12">
        <v>3282.411111111111</v>
      </c>
      <c r="Q18" s="23">
        <v>1453.0833333333333</v>
      </c>
      <c r="R18" s="12">
        <v>4172.7055555555553</v>
      </c>
      <c r="S18" s="25">
        <f t="shared" si="1"/>
        <v>50612.138888888891</v>
      </c>
    </row>
    <row r="19" spans="1:19">
      <c r="A19" s="17">
        <f t="shared" si="0"/>
        <v>16</v>
      </c>
      <c r="B19" s="14">
        <v>15</v>
      </c>
      <c r="C19" s="13" t="s">
        <v>14</v>
      </c>
      <c r="D19" s="15">
        <v>179.05555555555554</v>
      </c>
      <c r="E19" s="22">
        <v>175.05555555555554</v>
      </c>
      <c r="F19" s="15">
        <v>160.39444444444445</v>
      </c>
      <c r="G19" s="15">
        <v>183.34444444444443</v>
      </c>
      <c r="H19" s="15">
        <v>182.42777777777778</v>
      </c>
      <c r="I19" s="15">
        <v>170.4</v>
      </c>
      <c r="J19" s="15">
        <v>178.48888888888888</v>
      </c>
      <c r="K19" s="22">
        <v>183.85555555555555</v>
      </c>
      <c r="L19" s="15">
        <v>159.62222222222223</v>
      </c>
      <c r="M19" s="22">
        <v>166.45</v>
      </c>
      <c r="N19" s="15">
        <v>187.19444444444446</v>
      </c>
      <c r="O19" s="15">
        <v>153.02777777777777</v>
      </c>
      <c r="P19" s="15">
        <v>168.22777777777779</v>
      </c>
      <c r="Q19" s="22">
        <v>60.211111111111109</v>
      </c>
      <c r="R19" s="15">
        <v>222.07222222222222</v>
      </c>
      <c r="S19" s="24">
        <f t="shared" si="1"/>
        <v>2307.7555555555555</v>
      </c>
    </row>
    <row r="20" spans="1:19">
      <c r="A20" s="17">
        <f t="shared" si="0"/>
        <v>17</v>
      </c>
      <c r="B20" s="14">
        <v>16</v>
      </c>
      <c r="C20" s="13" t="s">
        <v>15</v>
      </c>
      <c r="D20" s="15">
        <v>89.338888888888889</v>
      </c>
      <c r="E20" s="22">
        <v>107.18333333333334</v>
      </c>
      <c r="F20" s="15">
        <v>92.894444444444446</v>
      </c>
      <c r="G20" s="15">
        <v>98.61666666666666</v>
      </c>
      <c r="H20" s="15">
        <v>87.666666666666671</v>
      </c>
      <c r="I20" s="15">
        <v>73.222222222222229</v>
      </c>
      <c r="J20" s="15">
        <v>86.766666666666666</v>
      </c>
      <c r="K20" s="22">
        <v>96.861111111111114</v>
      </c>
      <c r="L20" s="15">
        <v>84.555555555555557</v>
      </c>
      <c r="M20" s="22">
        <v>83.516666666666666</v>
      </c>
      <c r="N20" s="15">
        <v>92.483333333333334</v>
      </c>
      <c r="O20" s="15">
        <v>92.7</v>
      </c>
      <c r="P20" s="15">
        <v>71.816666666666663</v>
      </c>
      <c r="Q20" s="22">
        <v>17.511111111111113</v>
      </c>
      <c r="R20" s="15">
        <v>142.96666666666667</v>
      </c>
      <c r="S20" s="24">
        <f t="shared" si="1"/>
        <v>1175.1333333333332</v>
      </c>
    </row>
    <row r="21" spans="1:19">
      <c r="A21" s="17">
        <f t="shared" si="0"/>
        <v>18</v>
      </c>
      <c r="B21" s="14">
        <v>39</v>
      </c>
      <c r="C21" s="13" t="s">
        <v>38</v>
      </c>
      <c r="D21" s="15">
        <v>576.93333333333328</v>
      </c>
      <c r="E21" s="22">
        <v>511.53333333333336</v>
      </c>
      <c r="F21" s="15">
        <v>498.75</v>
      </c>
      <c r="G21" s="15">
        <v>482.71111111111111</v>
      </c>
      <c r="H21" s="15">
        <v>400.38333333333333</v>
      </c>
      <c r="I21" s="15">
        <v>425.78333333333336</v>
      </c>
      <c r="J21" s="15">
        <v>409.22777777777776</v>
      </c>
      <c r="K21" s="22">
        <v>409.88333333333333</v>
      </c>
      <c r="L21" s="15">
        <v>418.26111111111112</v>
      </c>
      <c r="M21" s="22">
        <v>431.31111111111113</v>
      </c>
      <c r="N21" s="15">
        <v>415.48888888888888</v>
      </c>
      <c r="O21" s="15">
        <v>381.98888888888888</v>
      </c>
      <c r="P21" s="15">
        <v>402.84444444444443</v>
      </c>
      <c r="Q21" s="22">
        <v>112.96666666666667</v>
      </c>
      <c r="R21" s="15">
        <v>596.5333333333333</v>
      </c>
      <c r="S21" s="24">
        <f>SUM(D21:Q21)</f>
        <v>5878.0666666666666</v>
      </c>
    </row>
    <row r="22" spans="1:19">
      <c r="A22" s="17">
        <f t="shared" si="0"/>
        <v>19</v>
      </c>
      <c r="B22" s="14">
        <v>17</v>
      </c>
      <c r="C22" s="13" t="s">
        <v>16</v>
      </c>
      <c r="D22" s="15">
        <v>218.85</v>
      </c>
      <c r="E22" s="22">
        <v>198.4388888888889</v>
      </c>
      <c r="F22" s="15">
        <v>204.21666666666667</v>
      </c>
      <c r="G22" s="15">
        <v>207.92222222222222</v>
      </c>
      <c r="H22" s="15">
        <v>203.38333333333333</v>
      </c>
      <c r="I22" s="15">
        <v>211.3</v>
      </c>
      <c r="J22" s="15">
        <v>202.76666666666668</v>
      </c>
      <c r="K22" s="22">
        <v>211.8388888888889</v>
      </c>
      <c r="L22" s="15">
        <v>217.37222222222223</v>
      </c>
      <c r="M22" s="22">
        <v>243.89444444444445</v>
      </c>
      <c r="N22" s="15">
        <v>192.43333333333334</v>
      </c>
      <c r="O22" s="15">
        <v>218.77777777777777</v>
      </c>
      <c r="P22" s="15">
        <v>224.48888888888888</v>
      </c>
      <c r="Q22" s="22">
        <v>47.255555555555553</v>
      </c>
      <c r="R22" s="15">
        <v>428.63333333333333</v>
      </c>
      <c r="S22" s="24">
        <f t="shared" si="1"/>
        <v>2802.9388888888893</v>
      </c>
    </row>
    <row r="23" spans="1:19">
      <c r="A23" s="17">
        <f t="shared" si="0"/>
        <v>20</v>
      </c>
      <c r="B23" s="3">
        <v>18</v>
      </c>
      <c r="C23" s="5" t="s">
        <v>17</v>
      </c>
      <c r="D23" s="12">
        <v>176.3111111111111</v>
      </c>
      <c r="E23" s="23">
        <v>195.65</v>
      </c>
      <c r="F23" s="12">
        <v>194.8388888888889</v>
      </c>
      <c r="G23" s="12">
        <v>193.98888888888888</v>
      </c>
      <c r="H23" s="12">
        <v>180.01666666666668</v>
      </c>
      <c r="I23" s="12">
        <v>180.79444444444445</v>
      </c>
      <c r="J23" s="12">
        <v>192.0888888888889</v>
      </c>
      <c r="K23" s="23">
        <v>189.28333333333333</v>
      </c>
      <c r="L23" s="12">
        <v>192.73333333333332</v>
      </c>
      <c r="M23" s="23">
        <v>179.8</v>
      </c>
      <c r="N23" s="12">
        <v>193.21111111111111</v>
      </c>
      <c r="O23" s="12">
        <v>166.44444444444446</v>
      </c>
      <c r="P23" s="12">
        <v>164.93333333333334</v>
      </c>
      <c r="Q23" s="23">
        <v>38.544444444444444</v>
      </c>
      <c r="R23" s="12">
        <v>153.27777777777777</v>
      </c>
      <c r="S23" s="25">
        <f t="shared" si="1"/>
        <v>2438.6388888888887</v>
      </c>
    </row>
    <row r="24" spans="1:19">
      <c r="A24" s="17">
        <f t="shared" si="0"/>
        <v>21</v>
      </c>
      <c r="B24" s="14">
        <v>40</v>
      </c>
      <c r="C24" s="13" t="s">
        <v>39</v>
      </c>
      <c r="D24" s="15">
        <v>484.8</v>
      </c>
      <c r="E24" s="22">
        <v>479.14444444444445</v>
      </c>
      <c r="F24" s="15">
        <v>519.70000000000005</v>
      </c>
      <c r="G24" s="15">
        <v>461.65555555555557</v>
      </c>
      <c r="H24" s="15">
        <v>474.07777777777778</v>
      </c>
      <c r="I24" s="15">
        <v>451.3</v>
      </c>
      <c r="J24" s="15">
        <v>461.39444444444445</v>
      </c>
      <c r="K24" s="22">
        <v>501.84444444444443</v>
      </c>
      <c r="L24" s="15">
        <v>484.51111111111112</v>
      </c>
      <c r="M24" s="22">
        <v>470.27777777777777</v>
      </c>
      <c r="N24" s="15">
        <v>487.21111111111111</v>
      </c>
      <c r="O24" s="15">
        <v>466.95555555555558</v>
      </c>
      <c r="P24" s="15">
        <v>474.16666666666669</v>
      </c>
      <c r="Q24" s="22">
        <v>125.27222222222223</v>
      </c>
      <c r="R24" s="15">
        <v>514.06666666666672</v>
      </c>
      <c r="S24" s="24">
        <f>SUM(D24:Q24)</f>
        <v>6342.3111111111102</v>
      </c>
    </row>
    <row r="25" spans="1:19">
      <c r="A25" s="17">
        <f t="shared" si="0"/>
        <v>22</v>
      </c>
      <c r="B25" s="14">
        <v>19</v>
      </c>
      <c r="C25" s="13" t="s">
        <v>18</v>
      </c>
      <c r="D25" s="15">
        <v>2432.1666666666665</v>
      </c>
      <c r="E25" s="22">
        <v>2454.5055555555555</v>
      </c>
      <c r="F25" s="15">
        <v>2338.5</v>
      </c>
      <c r="G25" s="15">
        <v>2433.65</v>
      </c>
      <c r="H25" s="15">
        <v>2308.9277777777779</v>
      </c>
      <c r="I25" s="15">
        <v>2286.9222222222224</v>
      </c>
      <c r="J25" s="15">
        <v>2191.4222222222224</v>
      </c>
      <c r="K25" s="22">
        <v>2276.9499999999998</v>
      </c>
      <c r="L25" s="15">
        <v>2139.9722222222222</v>
      </c>
      <c r="M25" s="22">
        <v>2090.1444444444446</v>
      </c>
      <c r="N25" s="15">
        <v>2057.7722222222224</v>
      </c>
      <c r="O25" s="15">
        <v>1919.5333333333333</v>
      </c>
      <c r="P25" s="15">
        <v>1713.1111111111111</v>
      </c>
      <c r="Q25" s="22">
        <v>802.88888888888891</v>
      </c>
      <c r="R25" s="15">
        <v>2811.4333333333334</v>
      </c>
      <c r="S25" s="24">
        <f t="shared" si="1"/>
        <v>29446.466666666671</v>
      </c>
    </row>
    <row r="26" spans="1:19">
      <c r="A26" s="17">
        <f t="shared" si="0"/>
        <v>23</v>
      </c>
      <c r="B26" s="14">
        <v>20</v>
      </c>
      <c r="C26" s="13" t="s">
        <v>19</v>
      </c>
      <c r="D26" s="15">
        <v>202.86111111111111</v>
      </c>
      <c r="E26" s="22">
        <v>202.35</v>
      </c>
      <c r="F26" s="15">
        <v>187.52222222222221</v>
      </c>
      <c r="G26" s="15">
        <v>168.23888888888888</v>
      </c>
      <c r="H26" s="15">
        <v>180.13888888888889</v>
      </c>
      <c r="I26" s="15">
        <v>196.97777777777779</v>
      </c>
      <c r="J26" s="15">
        <v>183.6</v>
      </c>
      <c r="K26" s="22">
        <v>181.52777777777777</v>
      </c>
      <c r="L26" s="15">
        <v>162.00555555555556</v>
      </c>
      <c r="M26" s="22">
        <v>188.7</v>
      </c>
      <c r="N26" s="15">
        <v>149.1611111111111</v>
      </c>
      <c r="O26" s="15">
        <v>173.08333333333334</v>
      </c>
      <c r="P26" s="15">
        <v>164.08333333333334</v>
      </c>
      <c r="Q26" s="22">
        <v>45.505555555555553</v>
      </c>
      <c r="R26" s="15">
        <v>280.19444444444446</v>
      </c>
      <c r="S26" s="24">
        <f t="shared" si="1"/>
        <v>2385.7555555555555</v>
      </c>
    </row>
    <row r="27" spans="1:19">
      <c r="A27" s="17">
        <f t="shared" si="0"/>
        <v>24</v>
      </c>
      <c r="B27" s="14">
        <v>21</v>
      </c>
      <c r="C27" s="13" t="s">
        <v>20</v>
      </c>
      <c r="D27" s="15">
        <v>75.672222222222217</v>
      </c>
      <c r="E27" s="22">
        <v>67.75555555555556</v>
      </c>
      <c r="F27" s="15">
        <v>91.261111111111106</v>
      </c>
      <c r="G27" s="15">
        <v>82.555555555555557</v>
      </c>
      <c r="H27" s="15">
        <v>77.88333333333334</v>
      </c>
      <c r="I27" s="15">
        <v>76.955555555555549</v>
      </c>
      <c r="J27" s="15">
        <v>72.611111111111114</v>
      </c>
      <c r="K27" s="22">
        <v>69.011111111111106</v>
      </c>
      <c r="L27" s="15">
        <v>81.022222222222226</v>
      </c>
      <c r="M27" s="22">
        <v>65.522222222222226</v>
      </c>
      <c r="N27" s="15">
        <v>65.544444444444451</v>
      </c>
      <c r="O27" s="15">
        <v>64.488888888888894</v>
      </c>
      <c r="P27" s="15">
        <v>82.061111111111117</v>
      </c>
      <c r="Q27" s="22">
        <v>6.6111111111111107</v>
      </c>
      <c r="R27" s="15">
        <v>99.544444444444451</v>
      </c>
      <c r="S27" s="24">
        <f t="shared" si="1"/>
        <v>978.95555555555552</v>
      </c>
    </row>
    <row r="28" spans="1:19">
      <c r="A28" s="17">
        <f t="shared" si="0"/>
        <v>25</v>
      </c>
      <c r="B28" s="3">
        <v>37</v>
      </c>
      <c r="C28" s="5" t="s">
        <v>36</v>
      </c>
      <c r="D28" s="12">
        <v>1135.5777777777778</v>
      </c>
      <c r="E28" s="23">
        <v>1098.6722222222222</v>
      </c>
      <c r="F28" s="12">
        <v>1047.8055555555557</v>
      </c>
      <c r="G28" s="12">
        <v>1048.8611111111111</v>
      </c>
      <c r="H28" s="12">
        <v>1037.2444444444445</v>
      </c>
      <c r="I28" s="12">
        <v>945.5333333333333</v>
      </c>
      <c r="J28" s="12">
        <v>939.85555555555561</v>
      </c>
      <c r="K28" s="23">
        <v>875.55</v>
      </c>
      <c r="L28" s="12">
        <v>870.09444444444443</v>
      </c>
      <c r="M28" s="23">
        <v>811.7833333333333</v>
      </c>
      <c r="N28" s="12">
        <v>814.1</v>
      </c>
      <c r="O28" s="12">
        <v>810.23888888888894</v>
      </c>
      <c r="P28" s="12">
        <v>708.77777777777783</v>
      </c>
      <c r="Q28" s="23">
        <v>328.07222222222219</v>
      </c>
      <c r="R28" s="12">
        <v>1009.9</v>
      </c>
      <c r="S28" s="25">
        <f>SUM(D28:Q28)</f>
        <v>12472.166666666668</v>
      </c>
    </row>
    <row r="29" spans="1:19">
      <c r="A29" s="17">
        <f t="shared" si="0"/>
        <v>26</v>
      </c>
      <c r="B29" s="14">
        <v>22</v>
      </c>
      <c r="C29" s="13" t="s">
        <v>21</v>
      </c>
      <c r="D29" s="15">
        <v>260.21666666666664</v>
      </c>
      <c r="E29" s="22">
        <v>290.56666666666666</v>
      </c>
      <c r="F29" s="15">
        <v>327.92222222222222</v>
      </c>
      <c r="G29" s="15">
        <v>337.22222222222223</v>
      </c>
      <c r="H29" s="15">
        <v>323.88888888888891</v>
      </c>
      <c r="I29" s="15">
        <v>313.71111111111111</v>
      </c>
      <c r="J29" s="15">
        <v>348.61666666666667</v>
      </c>
      <c r="K29" s="22">
        <v>349.03888888888889</v>
      </c>
      <c r="L29" s="15">
        <v>328.55</v>
      </c>
      <c r="M29" s="22">
        <v>366.01666666666665</v>
      </c>
      <c r="N29" s="15">
        <v>365.4111111111111</v>
      </c>
      <c r="O29" s="15">
        <v>352.3388888888889</v>
      </c>
      <c r="P29" s="15">
        <v>343.46111111111111</v>
      </c>
      <c r="Q29" s="22">
        <v>59.288888888888891</v>
      </c>
      <c r="R29" s="15">
        <v>276.57222222222219</v>
      </c>
      <c r="S29" s="24">
        <f t="shared" si="1"/>
        <v>4366.25</v>
      </c>
    </row>
    <row r="30" spans="1:19">
      <c r="A30" s="17">
        <f t="shared" si="0"/>
        <v>27</v>
      </c>
      <c r="B30" s="14">
        <v>23</v>
      </c>
      <c r="C30" s="13" t="s">
        <v>22</v>
      </c>
      <c r="D30" s="15">
        <v>22.677777777777777</v>
      </c>
      <c r="E30" s="22">
        <v>16.094444444444445</v>
      </c>
      <c r="F30" s="15">
        <v>20.388888888888889</v>
      </c>
      <c r="G30" s="15">
        <v>26.05</v>
      </c>
      <c r="H30" s="15">
        <v>21.06111111111111</v>
      </c>
      <c r="I30" s="15">
        <v>18.338888888888889</v>
      </c>
      <c r="J30" s="15">
        <v>23.038888888888888</v>
      </c>
      <c r="K30" s="22">
        <v>25.255555555555556</v>
      </c>
      <c r="L30" s="15">
        <v>27.855555555555554</v>
      </c>
      <c r="M30" s="22">
        <v>33.505555555555553</v>
      </c>
      <c r="N30" s="15">
        <v>23.888888888888889</v>
      </c>
      <c r="O30" s="15">
        <v>25.43888888888889</v>
      </c>
      <c r="P30" s="15">
        <v>26.122222222222224</v>
      </c>
      <c r="Q30" s="22">
        <v>5.1111111111111107</v>
      </c>
      <c r="R30" s="15">
        <v>40.15</v>
      </c>
      <c r="S30" s="24">
        <f t="shared" si="1"/>
        <v>314.82777777777773</v>
      </c>
    </row>
    <row r="31" spans="1:19">
      <c r="A31" s="17">
        <f t="shared" si="0"/>
        <v>28</v>
      </c>
      <c r="B31" s="14">
        <v>38</v>
      </c>
      <c r="C31" s="13" t="s">
        <v>37</v>
      </c>
      <c r="D31" s="15">
        <v>1232.338888888889</v>
      </c>
      <c r="E31" s="22">
        <v>1169.5777777777778</v>
      </c>
      <c r="F31" s="15">
        <v>1099.3666666666666</v>
      </c>
      <c r="G31" s="15">
        <v>1089.0444444444445</v>
      </c>
      <c r="H31" s="15">
        <v>950.68333333333328</v>
      </c>
      <c r="I31" s="15">
        <v>975.42777777777781</v>
      </c>
      <c r="J31" s="15">
        <v>1000.95</v>
      </c>
      <c r="K31" s="22">
        <v>922.87222222222226</v>
      </c>
      <c r="L31" s="15">
        <v>947.3</v>
      </c>
      <c r="M31" s="22">
        <v>935.08888888888885</v>
      </c>
      <c r="N31" s="15">
        <v>910.54444444444448</v>
      </c>
      <c r="O31" s="15">
        <v>925.16111111111115</v>
      </c>
      <c r="P31" s="15">
        <v>830.25</v>
      </c>
      <c r="Q31" s="22">
        <v>627.37222222222226</v>
      </c>
      <c r="R31" s="15">
        <v>1238.0055555555555</v>
      </c>
      <c r="S31" s="24">
        <f>SUM(D31:Q31)</f>
        <v>13615.977777777776</v>
      </c>
    </row>
    <row r="32" spans="1:19">
      <c r="A32" s="17">
        <f t="shared" si="0"/>
        <v>29</v>
      </c>
      <c r="B32" s="14">
        <v>24</v>
      </c>
      <c r="C32" s="13" t="s">
        <v>23</v>
      </c>
      <c r="D32" s="15">
        <v>43.655555555555559</v>
      </c>
      <c r="E32" s="22">
        <v>39.455555555555556</v>
      </c>
      <c r="F32" s="15">
        <v>44.272222222222226</v>
      </c>
      <c r="G32" s="15">
        <v>56.011111111111113</v>
      </c>
      <c r="H32" s="15">
        <v>29.516666666666666</v>
      </c>
      <c r="I32" s="15">
        <v>40.133333333333333</v>
      </c>
      <c r="J32" s="15">
        <v>36.327777777777776</v>
      </c>
      <c r="K32" s="22">
        <v>35.661111111111111</v>
      </c>
      <c r="L32" s="15">
        <v>31.905555555555555</v>
      </c>
      <c r="M32" s="22">
        <v>31.272222222222222</v>
      </c>
      <c r="N32" s="15">
        <v>32.766666666666666</v>
      </c>
      <c r="O32" s="15">
        <v>30.105555555555554</v>
      </c>
      <c r="P32" s="15">
        <v>37.366666666666667</v>
      </c>
      <c r="Q32" s="22">
        <v>4.4555555555555557</v>
      </c>
      <c r="R32" s="15">
        <v>59.166666666666664</v>
      </c>
      <c r="S32" s="24">
        <f t="shared" si="1"/>
        <v>492.90555555555557</v>
      </c>
    </row>
    <row r="33" spans="1:19">
      <c r="A33" s="17">
        <f t="shared" si="0"/>
        <v>30</v>
      </c>
      <c r="B33" s="3">
        <v>36</v>
      </c>
      <c r="C33" s="5" t="s">
        <v>35</v>
      </c>
      <c r="D33" s="12">
        <v>2146.4611111111112</v>
      </c>
      <c r="E33" s="23">
        <v>2082.7111111111112</v>
      </c>
      <c r="F33" s="12">
        <v>2016.5555555555557</v>
      </c>
      <c r="G33" s="12">
        <v>2057.1666666666665</v>
      </c>
      <c r="H33" s="12">
        <v>1857.661111111111</v>
      </c>
      <c r="I33" s="12">
        <v>1782.6444444444444</v>
      </c>
      <c r="J33" s="12">
        <v>1737.9888888888888</v>
      </c>
      <c r="K33" s="23">
        <v>1474.5388888888888</v>
      </c>
      <c r="L33" s="12">
        <v>1498.7722222222221</v>
      </c>
      <c r="M33" s="23">
        <v>1473.2055555555555</v>
      </c>
      <c r="N33" s="12">
        <v>1577.1222222222223</v>
      </c>
      <c r="O33" s="12">
        <v>1542.4888888888888</v>
      </c>
      <c r="P33" s="12">
        <v>1455.2111111111112</v>
      </c>
      <c r="Q33" s="23">
        <v>962.92222222222222</v>
      </c>
      <c r="R33" s="12">
        <v>1926.6777777777777</v>
      </c>
      <c r="S33" s="25">
        <f>SUM(D33:Q33)</f>
        <v>23665.45</v>
      </c>
    </row>
    <row r="34" spans="1:19">
      <c r="A34" s="17">
        <f t="shared" si="0"/>
        <v>31</v>
      </c>
      <c r="B34" s="14">
        <v>25</v>
      </c>
      <c r="C34" s="13" t="s">
        <v>24</v>
      </c>
      <c r="D34" s="15">
        <v>223.33333333333334</v>
      </c>
      <c r="E34" s="22">
        <v>226.28333333333333</v>
      </c>
      <c r="F34" s="15">
        <v>197.25</v>
      </c>
      <c r="G34" s="15">
        <v>259.78888888888889</v>
      </c>
      <c r="H34" s="15">
        <v>206.43333333333334</v>
      </c>
      <c r="I34" s="15">
        <v>205.69444444444446</v>
      </c>
      <c r="J34" s="15">
        <v>205.4388888888889</v>
      </c>
      <c r="K34" s="22">
        <v>232.67777777777778</v>
      </c>
      <c r="L34" s="15">
        <v>221.50555555555556</v>
      </c>
      <c r="M34" s="22">
        <v>224.15</v>
      </c>
      <c r="N34" s="15">
        <v>225.79444444444445</v>
      </c>
      <c r="O34" s="15">
        <v>226.2</v>
      </c>
      <c r="P34" s="15">
        <v>215.59444444444443</v>
      </c>
      <c r="Q34" s="22">
        <v>28.81111111111111</v>
      </c>
      <c r="R34" s="15">
        <v>269.55555555555554</v>
      </c>
      <c r="S34" s="24">
        <f t="shared" si="1"/>
        <v>2898.9555555555548</v>
      </c>
    </row>
    <row r="35" spans="1:19">
      <c r="A35" s="17">
        <f t="shared" si="0"/>
        <v>32</v>
      </c>
      <c r="B35" s="14">
        <v>26</v>
      </c>
      <c r="C35" s="13" t="s">
        <v>25</v>
      </c>
      <c r="D35" s="15">
        <v>365.68333333333334</v>
      </c>
      <c r="E35" s="22">
        <v>353.75</v>
      </c>
      <c r="F35" s="15">
        <v>376.36666666666667</v>
      </c>
      <c r="G35" s="15">
        <v>361.31666666666666</v>
      </c>
      <c r="H35" s="15">
        <v>384.62777777777779</v>
      </c>
      <c r="I35" s="15">
        <v>337.02777777777777</v>
      </c>
      <c r="J35" s="15">
        <v>345.12222222222221</v>
      </c>
      <c r="K35" s="22">
        <v>331.67222222222222</v>
      </c>
      <c r="L35" s="15">
        <v>345.56111111111113</v>
      </c>
      <c r="M35" s="22">
        <v>350.04444444444442</v>
      </c>
      <c r="N35" s="15">
        <v>321.43888888888887</v>
      </c>
      <c r="O35" s="15">
        <v>314.83333333333331</v>
      </c>
      <c r="P35" s="15">
        <v>280.84444444444443</v>
      </c>
      <c r="Q35" s="22">
        <v>49.444444444444443</v>
      </c>
      <c r="R35" s="15">
        <v>487.43333333333334</v>
      </c>
      <c r="S35" s="24">
        <f t="shared" si="1"/>
        <v>4517.7333333333327</v>
      </c>
    </row>
    <row r="36" spans="1:19">
      <c r="A36" s="17">
        <f t="shared" si="0"/>
        <v>33</v>
      </c>
      <c r="B36" s="14">
        <v>27</v>
      </c>
      <c r="C36" s="13" t="s">
        <v>26</v>
      </c>
      <c r="D36" s="15">
        <v>246.52222222222221</v>
      </c>
      <c r="E36" s="22">
        <v>241.3111111111111</v>
      </c>
      <c r="F36" s="15">
        <v>234.35555555555555</v>
      </c>
      <c r="G36" s="15">
        <v>243.64444444444445</v>
      </c>
      <c r="H36" s="15">
        <v>228.78333333333333</v>
      </c>
      <c r="I36" s="15">
        <v>245.4388888888889</v>
      </c>
      <c r="J36" s="15">
        <v>246.35</v>
      </c>
      <c r="K36" s="22">
        <v>235.25555555555556</v>
      </c>
      <c r="L36" s="15">
        <v>225.07777777777778</v>
      </c>
      <c r="M36" s="22">
        <v>236.95</v>
      </c>
      <c r="N36" s="15">
        <v>208.94444444444446</v>
      </c>
      <c r="O36" s="15">
        <v>214.39444444444445</v>
      </c>
      <c r="P36" s="15">
        <v>203.6</v>
      </c>
      <c r="Q36" s="22">
        <v>41.238888888888887</v>
      </c>
      <c r="R36" s="15">
        <v>381.92777777777781</v>
      </c>
      <c r="S36" s="24">
        <f t="shared" si="1"/>
        <v>3051.8666666666663</v>
      </c>
    </row>
    <row r="37" spans="1:19">
      <c r="A37" s="17">
        <f t="shared" si="0"/>
        <v>34</v>
      </c>
      <c r="B37" s="14">
        <v>28</v>
      </c>
      <c r="C37" s="13" t="s">
        <v>27</v>
      </c>
      <c r="D37" s="15">
        <v>113.75555555555556</v>
      </c>
      <c r="E37" s="22">
        <v>120.66666666666667</v>
      </c>
      <c r="F37" s="15">
        <v>115.96666666666667</v>
      </c>
      <c r="G37" s="15">
        <v>115.73888888888889</v>
      </c>
      <c r="H37" s="15">
        <v>121.72777777777777</v>
      </c>
      <c r="I37" s="15">
        <v>94.516666666666666</v>
      </c>
      <c r="J37" s="15">
        <v>116.06111111111112</v>
      </c>
      <c r="K37" s="22">
        <v>107.47222222222223</v>
      </c>
      <c r="L37" s="15">
        <v>111.30555555555556</v>
      </c>
      <c r="M37" s="22">
        <v>122.08888888888889</v>
      </c>
      <c r="N37" s="15">
        <v>102.40555555555555</v>
      </c>
      <c r="O37" s="15">
        <v>98.183333333333337</v>
      </c>
      <c r="P37" s="15">
        <v>93.238888888888894</v>
      </c>
      <c r="Q37" s="22">
        <v>10</v>
      </c>
      <c r="R37" s="15">
        <v>126.77222222222223</v>
      </c>
      <c r="S37" s="24">
        <f t="shared" si="1"/>
        <v>1443.1277777777777</v>
      </c>
    </row>
    <row r="38" spans="1:19">
      <c r="A38" s="17">
        <f t="shared" si="0"/>
        <v>35</v>
      </c>
      <c r="B38" s="3">
        <v>29</v>
      </c>
      <c r="C38" s="5" t="s">
        <v>28</v>
      </c>
      <c r="D38" s="12">
        <v>11.477777777777778</v>
      </c>
      <c r="E38" s="23">
        <v>10.488888888888889</v>
      </c>
      <c r="F38" s="12">
        <v>10.616666666666667</v>
      </c>
      <c r="G38" s="12">
        <v>12.872222222222222</v>
      </c>
      <c r="H38" s="12">
        <v>13.438888888888888</v>
      </c>
      <c r="I38" s="12">
        <v>8.8055555555555554</v>
      </c>
      <c r="J38" s="12">
        <v>22.127777777777776</v>
      </c>
      <c r="K38" s="23">
        <v>24.055555555555557</v>
      </c>
      <c r="L38" s="12">
        <v>25.083333333333332</v>
      </c>
      <c r="M38" s="23">
        <v>22.494444444444444</v>
      </c>
      <c r="N38" s="12">
        <v>14.983333333333333</v>
      </c>
      <c r="O38" s="12">
        <v>16.766666666666666</v>
      </c>
      <c r="P38" s="12">
        <v>15.222222222222221</v>
      </c>
      <c r="Q38" s="23">
        <v>1</v>
      </c>
      <c r="R38" s="12">
        <v>18.994444444444444</v>
      </c>
      <c r="S38" s="25">
        <f t="shared" si="1"/>
        <v>209.43333333333334</v>
      </c>
    </row>
    <row r="39" spans="1:19">
      <c r="A39" s="17">
        <f t="shared" si="0"/>
        <v>36</v>
      </c>
      <c r="B39" s="14">
        <v>30</v>
      </c>
      <c r="C39" s="13" t="s">
        <v>29</v>
      </c>
      <c r="D39" s="15">
        <v>1090.4944444444445</v>
      </c>
      <c r="E39" s="22">
        <v>1061.0944444444444</v>
      </c>
      <c r="F39" s="15">
        <v>1107.0333333333333</v>
      </c>
      <c r="G39" s="15">
        <v>1093.7388888888888</v>
      </c>
      <c r="H39" s="15">
        <v>1042.9055555555556</v>
      </c>
      <c r="I39" s="15">
        <v>1096.5</v>
      </c>
      <c r="J39" s="15">
        <v>1074.2111111111112</v>
      </c>
      <c r="K39" s="22">
        <v>990.82777777777778</v>
      </c>
      <c r="L39" s="15">
        <v>982.36666666666667</v>
      </c>
      <c r="M39" s="22">
        <v>1004.9111111111112</v>
      </c>
      <c r="N39" s="15">
        <v>928.90555555555557</v>
      </c>
      <c r="O39" s="15">
        <v>909.38888888888891</v>
      </c>
      <c r="P39" s="15">
        <v>810.80555555555554</v>
      </c>
      <c r="Q39" s="22">
        <v>415.88333333333333</v>
      </c>
      <c r="R39" s="15">
        <v>1100.9000000000001</v>
      </c>
      <c r="S39" s="24">
        <f t="shared" si="1"/>
        <v>13609.066666666666</v>
      </c>
    </row>
    <row r="40" spans="1:19">
      <c r="A40" s="17">
        <f t="shared" si="0"/>
        <v>37</v>
      </c>
      <c r="B40" s="14">
        <v>31</v>
      </c>
      <c r="C40" s="13" t="s">
        <v>30</v>
      </c>
      <c r="D40" s="15">
        <v>717.08888888888885</v>
      </c>
      <c r="E40" s="22">
        <v>658.2</v>
      </c>
      <c r="F40" s="15">
        <v>624.54999999999995</v>
      </c>
      <c r="G40" s="15">
        <v>623.03888888888889</v>
      </c>
      <c r="H40" s="15">
        <v>569.05555555555554</v>
      </c>
      <c r="I40" s="15">
        <v>559.92777777777781</v>
      </c>
      <c r="J40" s="15">
        <v>489.17222222222222</v>
      </c>
      <c r="K40" s="22">
        <v>521.22777777777776</v>
      </c>
      <c r="L40" s="15">
        <v>504.73888888888888</v>
      </c>
      <c r="M40" s="22">
        <v>385.48888888888888</v>
      </c>
      <c r="N40" s="15">
        <v>388.68888888888887</v>
      </c>
      <c r="O40" s="15">
        <v>376.22222222222223</v>
      </c>
      <c r="P40" s="15">
        <v>330.77777777777777</v>
      </c>
      <c r="Q40" s="22">
        <v>138.23333333333332</v>
      </c>
      <c r="R40" s="15">
        <v>614.86666666666667</v>
      </c>
      <c r="S40" s="24">
        <f t="shared" si="1"/>
        <v>6886.4111111111124</v>
      </c>
    </row>
    <row r="41" spans="1:19">
      <c r="A41" s="17">
        <f t="shared" si="0"/>
        <v>38</v>
      </c>
      <c r="B41" s="14">
        <v>32</v>
      </c>
      <c r="C41" s="13" t="s">
        <v>31</v>
      </c>
      <c r="D41" s="15">
        <v>373.09444444444443</v>
      </c>
      <c r="E41" s="22">
        <v>421.18888888888887</v>
      </c>
      <c r="F41" s="15">
        <v>456.98333333333335</v>
      </c>
      <c r="G41" s="15">
        <v>390.21111111111111</v>
      </c>
      <c r="H41" s="15">
        <v>425.62777777777779</v>
      </c>
      <c r="I41" s="15">
        <v>395.05555555555554</v>
      </c>
      <c r="J41" s="15">
        <v>421.46666666666664</v>
      </c>
      <c r="K41" s="22">
        <v>383.65</v>
      </c>
      <c r="L41" s="15">
        <v>440.27777777777777</v>
      </c>
      <c r="M41" s="22">
        <v>385.74444444444447</v>
      </c>
      <c r="N41" s="15">
        <v>393.84444444444443</v>
      </c>
      <c r="O41" s="15">
        <v>366.22777777777776</v>
      </c>
      <c r="P41" s="15">
        <v>346.81666666666666</v>
      </c>
      <c r="Q41" s="22">
        <v>74.922222222222217</v>
      </c>
      <c r="R41" s="15">
        <v>605.73333333333335</v>
      </c>
      <c r="S41" s="24">
        <f t="shared" si="1"/>
        <v>5275.1111111111113</v>
      </c>
    </row>
    <row r="42" spans="1:19">
      <c r="A42" s="17">
        <f t="shared" si="0"/>
        <v>39</v>
      </c>
      <c r="B42" s="14">
        <v>33</v>
      </c>
      <c r="C42" s="13" t="s">
        <v>32</v>
      </c>
      <c r="D42" s="15">
        <v>2159.1777777777779</v>
      </c>
      <c r="E42" s="22">
        <v>2039.4444444444443</v>
      </c>
      <c r="F42" s="15">
        <v>2140.25</v>
      </c>
      <c r="G42" s="15">
        <v>2108.5833333333335</v>
      </c>
      <c r="H42" s="15">
        <v>2045.9777777777779</v>
      </c>
      <c r="I42" s="15">
        <v>1962.5166666666667</v>
      </c>
      <c r="J42" s="15">
        <v>2057.5500000000002</v>
      </c>
      <c r="K42" s="22">
        <v>2001.5055555555555</v>
      </c>
      <c r="L42" s="15">
        <v>2011.5333333333333</v>
      </c>
      <c r="M42" s="22">
        <v>1901.7444444444445</v>
      </c>
      <c r="N42" s="15">
        <v>1843.6222222222223</v>
      </c>
      <c r="O42" s="15">
        <v>1680.6111111111111</v>
      </c>
      <c r="P42" s="15">
        <v>1514.588888888889</v>
      </c>
      <c r="Q42" s="22">
        <v>567.43888888888887</v>
      </c>
      <c r="R42" s="15">
        <v>2327.9055555555556</v>
      </c>
      <c r="S42" s="24">
        <f t="shared" si="1"/>
        <v>26034.54444444444</v>
      </c>
    </row>
    <row r="43" spans="1:19">
      <c r="A43" s="17">
        <f t="shared" si="0"/>
        <v>40</v>
      </c>
      <c r="B43" s="14">
        <v>34</v>
      </c>
      <c r="C43" s="13" t="s">
        <v>33</v>
      </c>
      <c r="D43" s="15">
        <v>38.68333333333333</v>
      </c>
      <c r="E43" s="22">
        <v>44.772222222222226</v>
      </c>
      <c r="F43" s="15">
        <v>44.483333333333334</v>
      </c>
      <c r="G43" s="15">
        <v>44.005555555555553</v>
      </c>
      <c r="H43" s="15">
        <v>42.1</v>
      </c>
      <c r="I43" s="15">
        <v>36.922222222222224</v>
      </c>
      <c r="J43" s="15">
        <v>42.344444444444441</v>
      </c>
      <c r="K43" s="22">
        <v>43.277777777777779</v>
      </c>
      <c r="L43" s="15">
        <v>38.605555555555554</v>
      </c>
      <c r="M43" s="22">
        <v>35.327777777777776</v>
      </c>
      <c r="N43" s="15">
        <v>41</v>
      </c>
      <c r="O43" s="15">
        <v>33.655555555555559</v>
      </c>
      <c r="P43" s="15">
        <v>39.255555555555553</v>
      </c>
      <c r="Q43" s="22">
        <v>7</v>
      </c>
      <c r="R43" s="15">
        <v>60.05</v>
      </c>
      <c r="S43" s="24">
        <f t="shared" si="1"/>
        <v>531.43333333333328</v>
      </c>
    </row>
    <row r="44" spans="1:19">
      <c r="A44" s="17">
        <f t="shared" si="0"/>
        <v>41</v>
      </c>
      <c r="B44" s="3">
        <v>35</v>
      </c>
      <c r="C44" s="5" t="s">
        <v>34</v>
      </c>
      <c r="D44" s="12">
        <v>2182.1944444444443</v>
      </c>
      <c r="E44" s="23">
        <v>2288.8833333333332</v>
      </c>
      <c r="F44" s="12">
        <v>2307.4499999999998</v>
      </c>
      <c r="G44" s="12">
        <v>2292.2666666666669</v>
      </c>
      <c r="H44" s="12">
        <v>2310.6777777777779</v>
      </c>
      <c r="I44" s="12">
        <v>2273.0555555555557</v>
      </c>
      <c r="J44" s="12">
        <v>2363</v>
      </c>
      <c r="K44" s="23">
        <v>2364.7222222222222</v>
      </c>
      <c r="L44" s="12">
        <v>2424.3333333333335</v>
      </c>
      <c r="M44" s="23">
        <v>2272.1166666666668</v>
      </c>
      <c r="N44" s="12">
        <v>2148.6555555555556</v>
      </c>
      <c r="O44" s="12">
        <v>2222.3055555555557</v>
      </c>
      <c r="P44" s="12">
        <v>2074.6333333333332</v>
      </c>
      <c r="Q44" s="23">
        <v>808.37777777777774</v>
      </c>
      <c r="R44" s="12">
        <v>3084.1111111111113</v>
      </c>
      <c r="S44" s="25">
        <f t="shared" si="1"/>
        <v>30332.672222222223</v>
      </c>
    </row>
    <row r="45" spans="1:19" s="17" customFormat="1">
      <c r="B45" s="9"/>
      <c r="C45" s="11" t="s">
        <v>174</v>
      </c>
      <c r="D45" s="7">
        <f>SUM(D4:D44)</f>
        <v>44190.561111111114</v>
      </c>
      <c r="E45" s="24">
        <f t="shared" ref="E45:S45" si="2">SUM(E4:E44)</f>
        <v>43938.494444444441</v>
      </c>
      <c r="F45" s="7">
        <f t="shared" si="2"/>
        <v>43886.366666666669</v>
      </c>
      <c r="G45" s="7">
        <f t="shared" si="2"/>
        <v>43230.811111111114</v>
      </c>
      <c r="H45" s="7">
        <f t="shared" si="2"/>
        <v>41827.916666666672</v>
      </c>
      <c r="I45" s="7">
        <f t="shared" si="2"/>
        <v>41291.561111111114</v>
      </c>
      <c r="J45" s="7">
        <f t="shared" si="2"/>
        <v>40867.111111111102</v>
      </c>
      <c r="K45" s="24">
        <f t="shared" si="2"/>
        <v>40220.005555555545</v>
      </c>
      <c r="L45" s="7">
        <f t="shared" si="2"/>
        <v>39274.183333333334</v>
      </c>
      <c r="M45" s="24">
        <f t="shared" si="2"/>
        <v>37984.705555555549</v>
      </c>
      <c r="N45" s="7">
        <f t="shared" si="2"/>
        <v>37600.088888888895</v>
      </c>
      <c r="O45" s="7">
        <f t="shared" si="2"/>
        <v>36545.65</v>
      </c>
      <c r="P45" s="7">
        <f t="shared" si="2"/>
        <v>33557.394444444435</v>
      </c>
      <c r="Q45" s="24">
        <f t="shared" si="2"/>
        <v>13792.277777777779</v>
      </c>
      <c r="R45" s="7">
        <f t="shared" si="2"/>
        <v>46612.077777777769</v>
      </c>
      <c r="S45" s="24">
        <f t="shared" si="2"/>
        <v>538207.12777777785</v>
      </c>
    </row>
    <row r="46" spans="1:19" s="17" customFormat="1">
      <c r="B46" s="9"/>
      <c r="C46" s="11" t="s">
        <v>175</v>
      </c>
      <c r="D46" s="7">
        <f>D129</f>
        <v>3848.8277777777776</v>
      </c>
      <c r="E46" s="24">
        <f t="shared" ref="E46:S46" si="3">E129</f>
        <v>4117.2944444444456</v>
      </c>
      <c r="F46" s="7">
        <f t="shared" si="3"/>
        <v>4010.0166666666646</v>
      </c>
      <c r="G46" s="7">
        <f t="shared" si="3"/>
        <v>3895.5333333333338</v>
      </c>
      <c r="H46" s="7">
        <f t="shared" si="3"/>
        <v>3904.7777777777778</v>
      </c>
      <c r="I46" s="7">
        <f t="shared" si="3"/>
        <v>3916.3888888888882</v>
      </c>
      <c r="J46" s="7">
        <f t="shared" si="3"/>
        <v>3972.5388888888892</v>
      </c>
      <c r="K46" s="24">
        <f t="shared" si="3"/>
        <v>3599.9333333333329</v>
      </c>
      <c r="L46" s="7">
        <f t="shared" si="3"/>
        <v>3332.2666666666664</v>
      </c>
      <c r="M46" s="24">
        <f t="shared" si="3"/>
        <v>2987.7055555555562</v>
      </c>
      <c r="N46" s="7">
        <f t="shared" si="3"/>
        <v>2096.338888888889</v>
      </c>
      <c r="O46" s="7">
        <f t="shared" si="3"/>
        <v>1925.3333333333335</v>
      </c>
      <c r="P46" s="7">
        <f t="shared" si="3"/>
        <v>1483.7666666666667</v>
      </c>
      <c r="Q46" s="24">
        <f t="shared" si="3"/>
        <v>402.93333333333334</v>
      </c>
      <c r="R46" s="7">
        <f t="shared" si="3"/>
        <v>4283.2444444444454</v>
      </c>
      <c r="S46" s="24">
        <f t="shared" si="3"/>
        <v>43493.655555555568</v>
      </c>
    </row>
    <row r="47" spans="1:19" s="17" customFormat="1">
      <c r="B47" s="9"/>
      <c r="C47" s="11" t="s">
        <v>178</v>
      </c>
      <c r="D47" s="19">
        <v>1.9722222222222223</v>
      </c>
      <c r="E47" s="24">
        <v>8.8888888888888892E-2</v>
      </c>
      <c r="F47" s="19">
        <v>1.1111111111111112E-2</v>
      </c>
      <c r="G47" s="19">
        <v>1.0055555555555555</v>
      </c>
      <c r="H47" s="19">
        <v>0.40555555555555556</v>
      </c>
      <c r="I47" s="19">
        <v>1</v>
      </c>
      <c r="J47" s="19">
        <v>5.5555555555555558E-3</v>
      </c>
      <c r="K47" s="24">
        <v>0.10555555555555556</v>
      </c>
      <c r="L47" s="19">
        <v>5.5555555555555558E-3</v>
      </c>
      <c r="M47" s="24">
        <v>9.4444444444444442E-2</v>
      </c>
      <c r="N47" s="19">
        <v>0.12222222222222222</v>
      </c>
      <c r="O47" s="19">
        <v>0</v>
      </c>
      <c r="P47" s="19">
        <v>0.11666666666666667</v>
      </c>
      <c r="Q47" s="24">
        <v>244.52222222222221</v>
      </c>
      <c r="R47" s="19">
        <v>1</v>
      </c>
      <c r="S47" s="24">
        <f t="shared" ref="S47" si="4">SUM(D47:Q47)</f>
        <v>249.45555555555555</v>
      </c>
    </row>
    <row r="48" spans="1:19" s="17" customFormat="1">
      <c r="B48" s="3"/>
      <c r="C48" s="16" t="s">
        <v>176</v>
      </c>
      <c r="D48" s="10">
        <f>SUM(D45:D47)</f>
        <v>48041.361111111109</v>
      </c>
      <c r="E48" s="25">
        <f t="shared" ref="E48:S48" si="5">SUM(E45:E47)</f>
        <v>48055.877777777772</v>
      </c>
      <c r="F48" s="10">
        <f t="shared" si="5"/>
        <v>47896.394444444442</v>
      </c>
      <c r="G48" s="10">
        <f t="shared" si="5"/>
        <v>47127.350000000006</v>
      </c>
      <c r="H48" s="10">
        <f t="shared" si="5"/>
        <v>45733.100000000006</v>
      </c>
      <c r="I48" s="10">
        <f t="shared" si="5"/>
        <v>45208.950000000004</v>
      </c>
      <c r="J48" s="10">
        <f t="shared" si="5"/>
        <v>44839.655555555553</v>
      </c>
      <c r="K48" s="25">
        <f t="shared" si="5"/>
        <v>43820.044444444437</v>
      </c>
      <c r="L48" s="10">
        <f t="shared" si="5"/>
        <v>42606.455555555556</v>
      </c>
      <c r="M48" s="25">
        <f t="shared" si="5"/>
        <v>40972.505555555552</v>
      </c>
      <c r="N48" s="10">
        <f t="shared" si="5"/>
        <v>39696.550000000003</v>
      </c>
      <c r="O48" s="10">
        <f t="shared" si="5"/>
        <v>38470.983333333337</v>
      </c>
      <c r="P48" s="10">
        <f t="shared" si="5"/>
        <v>35041.277777777774</v>
      </c>
      <c r="Q48" s="25">
        <f t="shared" si="5"/>
        <v>14439.733333333334</v>
      </c>
      <c r="R48" s="10">
        <f t="shared" si="5"/>
        <v>50896.322222222218</v>
      </c>
      <c r="S48" s="25">
        <f t="shared" si="5"/>
        <v>581950.23888888897</v>
      </c>
    </row>
    <row r="49" spans="1:19" s="17" customFormat="1">
      <c r="B49" s="1"/>
      <c r="C49" s="8"/>
      <c r="D49" s="4" t="s">
        <v>169</v>
      </c>
      <c r="E49" s="26"/>
      <c r="F49" s="4"/>
      <c r="G49" s="4"/>
      <c r="H49" s="4"/>
      <c r="I49" s="4"/>
      <c r="J49" s="4"/>
      <c r="K49" s="26"/>
      <c r="L49" s="4"/>
      <c r="M49" s="26"/>
      <c r="N49" s="4"/>
      <c r="O49" s="4"/>
      <c r="P49" s="4"/>
      <c r="Q49" s="26" t="s">
        <v>168</v>
      </c>
      <c r="R49" s="4"/>
      <c r="S49" s="29" t="s">
        <v>171</v>
      </c>
    </row>
    <row r="50" spans="1:19">
      <c r="B50" s="2" t="s">
        <v>180</v>
      </c>
      <c r="C50" s="2" t="s">
        <v>177</v>
      </c>
      <c r="D50" s="6" t="s">
        <v>166</v>
      </c>
      <c r="E50" s="21">
        <v>1</v>
      </c>
      <c r="F50" s="6">
        <v>2</v>
      </c>
      <c r="G50" s="6">
        <v>3</v>
      </c>
      <c r="H50" s="6">
        <v>4</v>
      </c>
      <c r="I50" s="6">
        <v>5</v>
      </c>
      <c r="J50" s="6">
        <v>6</v>
      </c>
      <c r="K50" s="21">
        <v>7</v>
      </c>
      <c r="L50" s="6">
        <v>8</v>
      </c>
      <c r="M50" s="21">
        <v>9</v>
      </c>
      <c r="N50" s="6">
        <v>10</v>
      </c>
      <c r="O50" s="6">
        <v>11</v>
      </c>
      <c r="P50" s="6">
        <v>12</v>
      </c>
      <c r="Q50" s="21" t="s">
        <v>173</v>
      </c>
      <c r="R50" s="6" t="s">
        <v>167</v>
      </c>
      <c r="S50" s="21" t="s">
        <v>172</v>
      </c>
    </row>
    <row r="51" spans="1:19">
      <c r="A51" s="17">
        <f>A50+1</f>
        <v>1</v>
      </c>
      <c r="B51" s="14">
        <v>83</v>
      </c>
      <c r="C51" s="17" t="s">
        <v>193</v>
      </c>
      <c r="D51" s="15">
        <v>0</v>
      </c>
      <c r="E51" s="22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22">
        <v>0</v>
      </c>
      <c r="L51" s="15">
        <v>0</v>
      </c>
      <c r="M51" s="22">
        <v>137.47222222222223</v>
      </c>
      <c r="N51" s="15">
        <v>124.73888888888889</v>
      </c>
      <c r="O51" s="15">
        <v>121.51111111111111</v>
      </c>
      <c r="P51" s="15">
        <v>92.022222222222226</v>
      </c>
      <c r="Q51" s="22">
        <v>0</v>
      </c>
      <c r="R51" s="15">
        <v>16.133333333333333</v>
      </c>
      <c r="S51" s="24">
        <f t="shared" ref="S51:S82" si="6">SUM(D51:Q51)</f>
        <v>475.74444444444447</v>
      </c>
    </row>
    <row r="52" spans="1:19">
      <c r="A52" s="17">
        <f t="shared" ref="A52:A115" si="7">A51+1</f>
        <v>2</v>
      </c>
      <c r="B52" s="14" t="s">
        <v>160</v>
      </c>
      <c r="C52" s="13" t="s">
        <v>161</v>
      </c>
      <c r="D52" s="15">
        <v>34.283333333333331</v>
      </c>
      <c r="E52" s="22">
        <v>46.338888888888889</v>
      </c>
      <c r="F52" s="15">
        <v>42.966666666666669</v>
      </c>
      <c r="G52" s="15">
        <v>43.65</v>
      </c>
      <c r="H52" s="15">
        <v>42.516666666666666</v>
      </c>
      <c r="I52" s="15">
        <v>70.772222222222226</v>
      </c>
      <c r="J52" s="15">
        <v>64.25</v>
      </c>
      <c r="K52" s="22">
        <v>53.394444444444446</v>
      </c>
      <c r="L52" s="15">
        <v>15.96111111111111</v>
      </c>
      <c r="M52" s="22">
        <v>0</v>
      </c>
      <c r="N52" s="15">
        <v>0</v>
      </c>
      <c r="O52" s="15">
        <v>0</v>
      </c>
      <c r="P52" s="15">
        <v>0</v>
      </c>
      <c r="Q52" s="22">
        <v>1</v>
      </c>
      <c r="R52" s="15">
        <v>50</v>
      </c>
      <c r="S52" s="24">
        <f t="shared" si="6"/>
        <v>415.13333333333333</v>
      </c>
    </row>
    <row r="53" spans="1:19">
      <c r="A53" s="17">
        <f t="shared" si="7"/>
        <v>3</v>
      </c>
      <c r="B53" s="14" t="s">
        <v>78</v>
      </c>
      <c r="C53" s="13" t="s">
        <v>79</v>
      </c>
      <c r="D53" s="15">
        <v>94.983333333333334</v>
      </c>
      <c r="E53" s="22">
        <v>88.9</v>
      </c>
      <c r="F53" s="15">
        <v>100.64444444444445</v>
      </c>
      <c r="G53" s="15">
        <v>100.97222222222223</v>
      </c>
      <c r="H53" s="15">
        <v>114.04444444444445</v>
      </c>
      <c r="I53" s="15">
        <v>115.8</v>
      </c>
      <c r="J53" s="15">
        <v>99.738888888888894</v>
      </c>
      <c r="K53" s="22">
        <v>130.63333333333333</v>
      </c>
      <c r="L53" s="15">
        <v>152.91666666666666</v>
      </c>
      <c r="M53" s="22">
        <v>159.27222222222221</v>
      </c>
      <c r="N53" s="15">
        <v>126.42777777777778</v>
      </c>
      <c r="O53" s="15">
        <v>107.63333333333334</v>
      </c>
      <c r="P53" s="15">
        <v>92.783333333333331</v>
      </c>
      <c r="Q53" s="22">
        <v>14.705555555555556</v>
      </c>
      <c r="R53" s="15">
        <v>180.37222222222223</v>
      </c>
      <c r="S53" s="24">
        <f t="shared" si="6"/>
        <v>1499.4555555555555</v>
      </c>
    </row>
    <row r="54" spans="1:19">
      <c r="A54" s="17">
        <f t="shared" si="7"/>
        <v>4</v>
      </c>
      <c r="B54" s="14">
        <v>74</v>
      </c>
      <c r="C54" s="13" t="s">
        <v>42</v>
      </c>
      <c r="D54" s="15">
        <v>158.97777777777779</v>
      </c>
      <c r="E54" s="22">
        <v>174.76111111111112</v>
      </c>
      <c r="F54" s="15">
        <v>173.61666666666667</v>
      </c>
      <c r="G54" s="15">
        <v>177.59444444444443</v>
      </c>
      <c r="H54" s="15">
        <v>178.41666666666666</v>
      </c>
      <c r="I54" s="15">
        <v>189.0888888888889</v>
      </c>
      <c r="J54" s="15">
        <v>177.88333333333333</v>
      </c>
      <c r="K54" s="22">
        <v>185.25</v>
      </c>
      <c r="L54" s="15">
        <v>183.32777777777778</v>
      </c>
      <c r="M54" s="22">
        <v>141.53888888888889</v>
      </c>
      <c r="N54" s="15">
        <v>61.805555555555557</v>
      </c>
      <c r="O54" s="15">
        <v>0</v>
      </c>
      <c r="P54" s="15">
        <v>0</v>
      </c>
      <c r="Q54" s="22">
        <v>2.4166666666666665</v>
      </c>
      <c r="R54" s="15">
        <v>152.67777777777778</v>
      </c>
      <c r="S54" s="24">
        <f t="shared" si="6"/>
        <v>1804.6777777777781</v>
      </c>
    </row>
    <row r="55" spans="1:19">
      <c r="A55" s="17">
        <f t="shared" si="7"/>
        <v>5</v>
      </c>
      <c r="B55" s="14" t="s">
        <v>149</v>
      </c>
      <c r="C55" s="13" t="s">
        <v>150</v>
      </c>
      <c r="D55" s="15">
        <v>20</v>
      </c>
      <c r="E55" s="22">
        <v>17.744444444444444</v>
      </c>
      <c r="F55" s="15">
        <v>19.93888888888889</v>
      </c>
      <c r="G55" s="15">
        <v>20</v>
      </c>
      <c r="H55" s="15">
        <v>19.461111111111112</v>
      </c>
      <c r="I55" s="15">
        <v>20</v>
      </c>
      <c r="J55" s="15">
        <v>19.838888888888889</v>
      </c>
      <c r="K55" s="22">
        <v>18.611111111111111</v>
      </c>
      <c r="L55" s="15">
        <v>18.8</v>
      </c>
      <c r="M55" s="22">
        <v>0</v>
      </c>
      <c r="N55" s="15">
        <v>0</v>
      </c>
      <c r="O55" s="15">
        <v>0</v>
      </c>
      <c r="P55" s="15">
        <v>0</v>
      </c>
      <c r="Q55" s="22">
        <v>2.0666666666666669</v>
      </c>
      <c r="R55" s="15">
        <v>26.8</v>
      </c>
      <c r="S55" s="24">
        <f t="shared" si="6"/>
        <v>176.46111111111114</v>
      </c>
    </row>
    <row r="56" spans="1:19">
      <c r="A56" s="17">
        <f t="shared" si="7"/>
        <v>6</v>
      </c>
      <c r="B56" s="14" t="s">
        <v>71</v>
      </c>
      <c r="C56" s="13" t="s">
        <v>181</v>
      </c>
      <c r="D56" s="15">
        <v>0</v>
      </c>
      <c r="E56" s="22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22">
        <v>34.866666666666667</v>
      </c>
      <c r="L56" s="15">
        <v>50.93888888888889</v>
      </c>
      <c r="M56" s="22">
        <v>23.638888888888889</v>
      </c>
      <c r="N56" s="15">
        <v>14.855555555555556</v>
      </c>
      <c r="O56" s="15">
        <v>8.8000000000000007</v>
      </c>
      <c r="P56" s="15">
        <v>8.6</v>
      </c>
      <c r="Q56" s="22">
        <v>0</v>
      </c>
      <c r="R56" s="15">
        <v>28.405555555555555</v>
      </c>
      <c r="S56" s="24">
        <f t="shared" si="6"/>
        <v>141.69999999999999</v>
      </c>
    </row>
    <row r="57" spans="1:19">
      <c r="A57" s="17">
        <f t="shared" si="7"/>
        <v>7</v>
      </c>
      <c r="B57" s="14" t="s">
        <v>115</v>
      </c>
      <c r="C57" s="13" t="s">
        <v>116</v>
      </c>
      <c r="D57" s="15">
        <v>77.288888888888891</v>
      </c>
      <c r="E57" s="22">
        <v>74.2</v>
      </c>
      <c r="F57" s="15">
        <v>72.811111111111117</v>
      </c>
      <c r="G57" s="15">
        <v>75.933333333333337</v>
      </c>
      <c r="H57" s="15">
        <v>73.988888888888894</v>
      </c>
      <c r="I57" s="15">
        <v>76.166666666666671</v>
      </c>
      <c r="J57" s="15">
        <v>73.599999999999994</v>
      </c>
      <c r="K57" s="22">
        <v>0</v>
      </c>
      <c r="L57" s="15">
        <v>0</v>
      </c>
      <c r="M57" s="22">
        <v>0</v>
      </c>
      <c r="N57" s="15">
        <v>0</v>
      </c>
      <c r="O57" s="15">
        <v>0</v>
      </c>
      <c r="P57" s="15">
        <v>0</v>
      </c>
      <c r="Q57" s="22">
        <v>1</v>
      </c>
      <c r="R57" s="15">
        <v>47.727777777777774</v>
      </c>
      <c r="S57" s="24">
        <f t="shared" si="6"/>
        <v>524.98888888888894</v>
      </c>
    </row>
    <row r="58" spans="1:19">
      <c r="A58" s="17">
        <f t="shared" si="7"/>
        <v>8</v>
      </c>
      <c r="B58" s="14" t="s">
        <v>102</v>
      </c>
      <c r="C58" s="13" t="s">
        <v>103</v>
      </c>
      <c r="D58" s="15">
        <v>73.344444444444449</v>
      </c>
      <c r="E58" s="22">
        <v>73.644444444444446</v>
      </c>
      <c r="F58" s="15">
        <v>76.327777777777783</v>
      </c>
      <c r="G58" s="15">
        <v>76.166666666666671</v>
      </c>
      <c r="H58" s="15">
        <v>76.38333333333334</v>
      </c>
      <c r="I58" s="15">
        <v>73.849999999999994</v>
      </c>
      <c r="J58" s="15">
        <v>73.161111111111111</v>
      </c>
      <c r="K58" s="22">
        <v>64.722222222222229</v>
      </c>
      <c r="L58" s="15">
        <v>59.205555555555556</v>
      </c>
      <c r="M58" s="22">
        <v>0</v>
      </c>
      <c r="N58" s="15">
        <v>0</v>
      </c>
      <c r="O58" s="15">
        <v>0</v>
      </c>
      <c r="P58" s="15">
        <v>0</v>
      </c>
      <c r="Q58" s="22">
        <v>1.7</v>
      </c>
      <c r="R58" s="15">
        <v>61.638888888888886</v>
      </c>
      <c r="S58" s="24">
        <f t="shared" si="6"/>
        <v>648.5055555555557</v>
      </c>
    </row>
    <row r="59" spans="1:19">
      <c r="A59" s="17">
        <f t="shared" si="7"/>
        <v>9</v>
      </c>
      <c r="B59" s="14">
        <v>87</v>
      </c>
      <c r="C59" s="13" t="s">
        <v>45</v>
      </c>
      <c r="D59" s="15">
        <v>0</v>
      </c>
      <c r="E59" s="22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22">
        <v>0</v>
      </c>
      <c r="L59" s="15">
        <v>22.111111111111111</v>
      </c>
      <c r="M59" s="22">
        <v>39.894444444444446</v>
      </c>
      <c r="N59" s="15">
        <v>44.65</v>
      </c>
      <c r="O59" s="15">
        <v>36.677777777777777</v>
      </c>
      <c r="P59" s="15">
        <v>42.95</v>
      </c>
      <c r="Q59" s="22">
        <v>10.122222222222222</v>
      </c>
      <c r="R59" s="15">
        <v>27.3</v>
      </c>
      <c r="S59" s="24">
        <f t="shared" si="6"/>
        <v>196.40555555555559</v>
      </c>
    </row>
    <row r="60" spans="1:19">
      <c r="A60" s="17">
        <f t="shared" si="7"/>
        <v>10</v>
      </c>
      <c r="B60" s="14" t="s">
        <v>120</v>
      </c>
      <c r="C60" s="17" t="s">
        <v>194</v>
      </c>
      <c r="D60" s="15">
        <v>57.394444444444446</v>
      </c>
      <c r="E60" s="22">
        <v>48.4</v>
      </c>
      <c r="F60" s="15">
        <v>34.06111111111111</v>
      </c>
      <c r="G60" s="15">
        <v>87.577777777777783</v>
      </c>
      <c r="H60" s="15">
        <v>123.20555555555555</v>
      </c>
      <c r="I60" s="15">
        <v>61.87777777777778</v>
      </c>
      <c r="J60" s="15">
        <v>28.844444444444445</v>
      </c>
      <c r="K60" s="22">
        <v>0.10555555555555556</v>
      </c>
      <c r="L60" s="15">
        <v>6.1111111111111109E-2</v>
      </c>
      <c r="M60" s="22">
        <v>0</v>
      </c>
      <c r="N60" s="15">
        <v>0</v>
      </c>
      <c r="O60" s="15">
        <v>0</v>
      </c>
      <c r="P60" s="15">
        <v>0</v>
      </c>
      <c r="Q60" s="22">
        <v>0.78888888888888886</v>
      </c>
      <c r="R60" s="15">
        <v>51.083333333333336</v>
      </c>
      <c r="S60" s="24">
        <f t="shared" si="6"/>
        <v>442.31666666666672</v>
      </c>
    </row>
    <row r="61" spans="1:19">
      <c r="A61" s="17">
        <f t="shared" si="7"/>
        <v>11</v>
      </c>
      <c r="B61" s="14" t="s">
        <v>55</v>
      </c>
      <c r="C61" s="13" t="s">
        <v>192</v>
      </c>
      <c r="D61" s="15">
        <v>8.8277777777777775</v>
      </c>
      <c r="E61" s="22">
        <v>162.61111111111111</v>
      </c>
      <c r="F61" s="15">
        <v>170.95555555555555</v>
      </c>
      <c r="G61" s="15">
        <v>7</v>
      </c>
      <c r="H61" s="15">
        <v>4</v>
      </c>
      <c r="I61" s="15">
        <v>6.3722222222222218</v>
      </c>
      <c r="J61" s="15">
        <v>156.63888888888889</v>
      </c>
      <c r="K61" s="22">
        <v>58.927777777777777</v>
      </c>
      <c r="L61" s="15">
        <v>68.322222222222223</v>
      </c>
      <c r="M61" s="22">
        <v>85.094444444444449</v>
      </c>
      <c r="N61" s="15">
        <v>59.233333333333334</v>
      </c>
      <c r="O61" s="15">
        <v>50.083333333333336</v>
      </c>
      <c r="P61" s="15">
        <v>42.594444444444441</v>
      </c>
      <c r="Q61" s="22">
        <v>15.822222222222223</v>
      </c>
      <c r="R61" s="15">
        <v>66.855555555555554</v>
      </c>
      <c r="S61" s="24">
        <f t="shared" si="6"/>
        <v>896.48333333333335</v>
      </c>
    </row>
    <row r="62" spans="1:19">
      <c r="A62" s="17">
        <f t="shared" si="7"/>
        <v>12</v>
      </c>
      <c r="B62" s="14" t="s">
        <v>121</v>
      </c>
      <c r="C62" s="13" t="s">
        <v>122</v>
      </c>
      <c r="D62" s="15">
        <v>99.62222222222222</v>
      </c>
      <c r="E62" s="22">
        <v>55.266666666666666</v>
      </c>
      <c r="F62" s="15">
        <v>59.616666666666667</v>
      </c>
      <c r="G62" s="15">
        <v>50.605555555555554</v>
      </c>
      <c r="H62" s="15">
        <v>41.05</v>
      </c>
      <c r="I62" s="15">
        <v>39.444444444444443</v>
      </c>
      <c r="J62" s="15">
        <v>30.394444444444446</v>
      </c>
      <c r="K62" s="22">
        <v>27.06111111111111</v>
      </c>
      <c r="L62" s="15">
        <v>21.838888888888889</v>
      </c>
      <c r="M62" s="22">
        <v>0</v>
      </c>
      <c r="N62" s="15">
        <v>0</v>
      </c>
      <c r="O62" s="15">
        <v>0</v>
      </c>
      <c r="P62" s="15">
        <v>0</v>
      </c>
      <c r="Q62" s="22">
        <v>2</v>
      </c>
      <c r="R62" s="15">
        <v>36.716666666666669</v>
      </c>
      <c r="S62" s="24">
        <f t="shared" si="6"/>
        <v>426.90000000000003</v>
      </c>
    </row>
    <row r="63" spans="1:19">
      <c r="A63" s="17">
        <f t="shared" si="7"/>
        <v>13</v>
      </c>
      <c r="B63" s="14" t="s">
        <v>140</v>
      </c>
      <c r="C63" s="13" t="s">
        <v>191</v>
      </c>
      <c r="D63" s="15">
        <v>71.472222222222229</v>
      </c>
      <c r="E63" s="22">
        <v>74.216666666666669</v>
      </c>
      <c r="F63" s="15">
        <v>72.411111111111111</v>
      </c>
      <c r="G63" s="15">
        <v>74</v>
      </c>
      <c r="H63" s="15">
        <v>73</v>
      </c>
      <c r="I63" s="15">
        <v>72.933333333333337</v>
      </c>
      <c r="J63" s="15">
        <v>76.555555555555557</v>
      </c>
      <c r="K63" s="22">
        <v>77.322222222222223</v>
      </c>
      <c r="L63" s="15">
        <v>77.12222222222222</v>
      </c>
      <c r="M63" s="22">
        <v>69.477777777777774</v>
      </c>
      <c r="N63" s="15">
        <v>0</v>
      </c>
      <c r="O63" s="15">
        <v>0</v>
      </c>
      <c r="P63" s="15">
        <v>0</v>
      </c>
      <c r="Q63" s="22">
        <v>5.5666666666666664</v>
      </c>
      <c r="R63" s="15">
        <v>77.533333333333331</v>
      </c>
      <c r="S63" s="24">
        <f t="shared" si="6"/>
        <v>744.0777777777779</v>
      </c>
    </row>
    <row r="64" spans="1:19">
      <c r="A64" s="17">
        <f t="shared" si="7"/>
        <v>14</v>
      </c>
      <c r="B64" s="14" t="s">
        <v>64</v>
      </c>
      <c r="C64" s="13" t="s">
        <v>65</v>
      </c>
      <c r="D64" s="15">
        <v>0</v>
      </c>
      <c r="E64" s="22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22">
        <v>0</v>
      </c>
      <c r="L64" s="15">
        <v>0</v>
      </c>
      <c r="M64" s="22">
        <v>47.155555555555559</v>
      </c>
      <c r="N64" s="15">
        <v>70.777777777777771</v>
      </c>
      <c r="O64" s="15">
        <v>87.00555555555556</v>
      </c>
      <c r="P64" s="15">
        <v>75.588888888888889</v>
      </c>
      <c r="Q64" s="22">
        <v>2.0444444444444443</v>
      </c>
      <c r="R64" s="15">
        <v>32.633333333333333</v>
      </c>
      <c r="S64" s="24">
        <f t="shared" si="6"/>
        <v>282.57222222222219</v>
      </c>
    </row>
    <row r="65" spans="1:19">
      <c r="A65" s="17">
        <f t="shared" si="7"/>
        <v>15</v>
      </c>
      <c r="B65" s="14" t="s">
        <v>123</v>
      </c>
      <c r="C65" s="13" t="s">
        <v>124</v>
      </c>
      <c r="D65" s="15">
        <v>40</v>
      </c>
      <c r="E65" s="22">
        <v>45.994444444444447</v>
      </c>
      <c r="F65" s="15">
        <v>47.55</v>
      </c>
      <c r="G65" s="15">
        <v>51.983333333333334</v>
      </c>
      <c r="H65" s="15">
        <v>52.988888888888887</v>
      </c>
      <c r="I65" s="15">
        <v>48.894444444444446</v>
      </c>
      <c r="J65" s="15">
        <v>0</v>
      </c>
      <c r="K65" s="22">
        <v>0</v>
      </c>
      <c r="L65" s="15">
        <v>0</v>
      </c>
      <c r="M65" s="22">
        <v>0</v>
      </c>
      <c r="N65" s="15">
        <v>0</v>
      </c>
      <c r="O65" s="15">
        <v>0</v>
      </c>
      <c r="P65" s="15">
        <v>0</v>
      </c>
      <c r="Q65" s="22">
        <v>4.6722222222222225</v>
      </c>
      <c r="R65" s="15">
        <v>33.022222222222226</v>
      </c>
      <c r="S65" s="24">
        <f t="shared" si="6"/>
        <v>292.08333333333331</v>
      </c>
    </row>
    <row r="66" spans="1:19">
      <c r="A66" s="17">
        <f t="shared" si="7"/>
        <v>16</v>
      </c>
      <c r="B66" s="14" t="s">
        <v>164</v>
      </c>
      <c r="C66" s="13" t="s">
        <v>165</v>
      </c>
      <c r="D66" s="15">
        <v>0</v>
      </c>
      <c r="E66" s="22">
        <v>59.43333333333333</v>
      </c>
      <c r="F66" s="15">
        <v>57.105555555555554</v>
      </c>
      <c r="G66" s="15">
        <v>50.977777777777774</v>
      </c>
      <c r="H66" s="15">
        <v>49.427777777777777</v>
      </c>
      <c r="I66" s="15">
        <v>48.961111111111109</v>
      </c>
      <c r="J66" s="15">
        <v>24.572222222222223</v>
      </c>
      <c r="K66" s="22">
        <v>0</v>
      </c>
      <c r="L66" s="15">
        <v>0</v>
      </c>
      <c r="M66" s="22">
        <v>0</v>
      </c>
      <c r="N66" s="15">
        <v>0</v>
      </c>
      <c r="O66" s="15">
        <v>0</v>
      </c>
      <c r="P66" s="15">
        <v>0</v>
      </c>
      <c r="Q66" s="22">
        <v>1</v>
      </c>
      <c r="R66" s="15">
        <v>27.777777777777779</v>
      </c>
      <c r="S66" s="24">
        <f t="shared" si="6"/>
        <v>291.47777777777776</v>
      </c>
    </row>
    <row r="67" spans="1:19">
      <c r="A67" s="17">
        <f t="shared" si="7"/>
        <v>17</v>
      </c>
      <c r="B67" s="14" t="s">
        <v>86</v>
      </c>
      <c r="C67" s="13" t="s">
        <v>87</v>
      </c>
      <c r="D67" s="15">
        <v>52</v>
      </c>
      <c r="E67" s="22">
        <v>50.3</v>
      </c>
      <c r="F67" s="15">
        <v>51.722222222222221</v>
      </c>
      <c r="G67" s="15">
        <v>53.166666666666664</v>
      </c>
      <c r="H67" s="15">
        <v>51.977777777777774</v>
      </c>
      <c r="I67" s="15">
        <v>53.177777777777777</v>
      </c>
      <c r="J67" s="15">
        <v>53.672222222222224</v>
      </c>
      <c r="K67" s="22">
        <v>55.788888888888891</v>
      </c>
      <c r="L67" s="15">
        <v>53.761111111111113</v>
      </c>
      <c r="M67" s="22">
        <v>40.488888888888887</v>
      </c>
      <c r="N67" s="15">
        <v>0</v>
      </c>
      <c r="O67" s="15">
        <v>0</v>
      </c>
      <c r="P67" s="15">
        <v>0</v>
      </c>
      <c r="Q67" s="22">
        <v>0.73333333333333328</v>
      </c>
      <c r="R67" s="15">
        <v>41.87777777777778</v>
      </c>
      <c r="S67" s="24">
        <f t="shared" si="6"/>
        <v>516.78888888888889</v>
      </c>
    </row>
    <row r="68" spans="1:19">
      <c r="A68" s="17">
        <f t="shared" si="7"/>
        <v>18</v>
      </c>
      <c r="B68" s="14" t="s">
        <v>141</v>
      </c>
      <c r="C68" s="13" t="s">
        <v>142</v>
      </c>
      <c r="D68" s="15">
        <v>73.488888888888894</v>
      </c>
      <c r="E68" s="22">
        <v>79.37222222222222</v>
      </c>
      <c r="F68" s="15">
        <v>77.472222222222229</v>
      </c>
      <c r="G68" s="15">
        <v>75.349999999999994</v>
      </c>
      <c r="H68" s="15">
        <v>75.338888888888889</v>
      </c>
      <c r="I68" s="15">
        <v>79.24444444444444</v>
      </c>
      <c r="J68" s="15">
        <v>71.588888888888889</v>
      </c>
      <c r="K68" s="22">
        <v>71.099999999999994</v>
      </c>
      <c r="L68" s="15">
        <v>57.094444444444441</v>
      </c>
      <c r="M68" s="22">
        <v>0</v>
      </c>
      <c r="N68" s="15">
        <v>0</v>
      </c>
      <c r="O68" s="15">
        <v>0</v>
      </c>
      <c r="P68" s="15">
        <v>0</v>
      </c>
      <c r="Q68" s="22">
        <v>1.0166666666666666</v>
      </c>
      <c r="R68" s="15">
        <v>52.6</v>
      </c>
      <c r="S68" s="24">
        <f t="shared" si="6"/>
        <v>661.06666666666661</v>
      </c>
    </row>
    <row r="69" spans="1:19">
      <c r="A69" s="17">
        <f t="shared" si="7"/>
        <v>19</v>
      </c>
      <c r="B69" s="14">
        <v>98</v>
      </c>
      <c r="C69" s="13" t="s">
        <v>51</v>
      </c>
      <c r="D69" s="15">
        <v>0</v>
      </c>
      <c r="E69" s="22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22">
        <v>0</v>
      </c>
      <c r="L69" s="15">
        <v>0</v>
      </c>
      <c r="M69" s="22">
        <v>26.527777777777779</v>
      </c>
      <c r="N69" s="15">
        <v>49.261111111111113</v>
      </c>
      <c r="O69" s="15">
        <v>56.944444444444443</v>
      </c>
      <c r="P69" s="15">
        <v>56.694444444444443</v>
      </c>
      <c r="Q69" s="22">
        <v>0</v>
      </c>
      <c r="R69" s="15">
        <v>34.87777777777778</v>
      </c>
      <c r="S69" s="24">
        <f t="shared" si="6"/>
        <v>189.42777777777781</v>
      </c>
    </row>
    <row r="70" spans="1:19">
      <c r="A70" s="17">
        <f t="shared" si="7"/>
        <v>20</v>
      </c>
      <c r="B70" s="14">
        <v>82</v>
      </c>
      <c r="C70" s="13" t="s">
        <v>43</v>
      </c>
      <c r="D70" s="15">
        <v>75.094444444444449</v>
      </c>
      <c r="E70" s="22">
        <v>77.166666666666671</v>
      </c>
      <c r="F70" s="15">
        <v>75.094444444444449</v>
      </c>
      <c r="G70" s="15">
        <v>75.516666666666666</v>
      </c>
      <c r="H70" s="15">
        <v>76.62777777777778</v>
      </c>
      <c r="I70" s="15">
        <v>72.716666666666669</v>
      </c>
      <c r="J70" s="15">
        <v>69.483333333333334</v>
      </c>
      <c r="K70" s="22">
        <v>88.472222222222229</v>
      </c>
      <c r="L70" s="15">
        <v>71.455555555555549</v>
      </c>
      <c r="M70" s="22">
        <v>0</v>
      </c>
      <c r="N70" s="15">
        <v>0</v>
      </c>
      <c r="O70" s="15">
        <v>0</v>
      </c>
      <c r="P70" s="15">
        <v>0</v>
      </c>
      <c r="Q70" s="22">
        <v>0</v>
      </c>
      <c r="R70" s="15">
        <v>68.62222222222222</v>
      </c>
      <c r="S70" s="24">
        <f t="shared" si="6"/>
        <v>681.62777777777774</v>
      </c>
    </row>
    <row r="71" spans="1:19">
      <c r="A71" s="17">
        <f t="shared" si="7"/>
        <v>21</v>
      </c>
      <c r="B71" s="14" t="s">
        <v>125</v>
      </c>
      <c r="C71" s="13" t="s">
        <v>126</v>
      </c>
      <c r="D71" s="15">
        <v>65.2</v>
      </c>
      <c r="E71" s="22">
        <v>63.172222222222224</v>
      </c>
      <c r="F71" s="15">
        <v>72.349999999999994</v>
      </c>
      <c r="G71" s="15">
        <v>75.577777777777783</v>
      </c>
      <c r="H71" s="15">
        <v>70.811111111111117</v>
      </c>
      <c r="I71" s="15">
        <v>74.772222222222226</v>
      </c>
      <c r="J71" s="15">
        <v>57.65</v>
      </c>
      <c r="K71" s="22">
        <v>62.15</v>
      </c>
      <c r="L71" s="15">
        <v>57.31666666666667</v>
      </c>
      <c r="M71" s="22">
        <v>0</v>
      </c>
      <c r="N71" s="15">
        <v>0</v>
      </c>
      <c r="O71" s="15">
        <v>0</v>
      </c>
      <c r="P71" s="15">
        <v>0</v>
      </c>
      <c r="Q71" s="22">
        <v>6</v>
      </c>
      <c r="R71" s="15">
        <v>63.461111111111109</v>
      </c>
      <c r="S71" s="24">
        <f t="shared" si="6"/>
        <v>605.00000000000011</v>
      </c>
    </row>
    <row r="72" spans="1:19">
      <c r="A72" s="17">
        <f t="shared" si="7"/>
        <v>22</v>
      </c>
      <c r="B72" s="14" t="s">
        <v>108</v>
      </c>
      <c r="C72" s="13" t="s">
        <v>109</v>
      </c>
      <c r="D72" s="15">
        <v>124.2</v>
      </c>
      <c r="E72" s="22">
        <v>151.8388888888889</v>
      </c>
      <c r="F72" s="15">
        <v>118.32777777777778</v>
      </c>
      <c r="G72" s="15">
        <v>109.48888888888889</v>
      </c>
      <c r="H72" s="15">
        <v>125.43888888888888</v>
      </c>
      <c r="I72" s="15">
        <v>94.055555555555557</v>
      </c>
      <c r="J72" s="15">
        <v>67.55</v>
      </c>
      <c r="K72" s="22">
        <v>61.677777777777777</v>
      </c>
      <c r="L72" s="15">
        <v>41.744444444444447</v>
      </c>
      <c r="M72" s="22">
        <v>0</v>
      </c>
      <c r="N72" s="15">
        <v>0</v>
      </c>
      <c r="O72" s="15">
        <v>0</v>
      </c>
      <c r="P72" s="15">
        <v>0</v>
      </c>
      <c r="Q72" s="22">
        <v>5.2944444444444443</v>
      </c>
      <c r="R72" s="15">
        <v>69.222222222222229</v>
      </c>
      <c r="S72" s="24">
        <f t="shared" si="6"/>
        <v>899.61666666666667</v>
      </c>
    </row>
    <row r="73" spans="1:19">
      <c r="A73" s="17">
        <f t="shared" si="7"/>
        <v>23</v>
      </c>
      <c r="B73" s="14" t="s">
        <v>158</v>
      </c>
      <c r="C73" s="13" t="s">
        <v>159</v>
      </c>
      <c r="D73" s="15">
        <v>69.294444444444451</v>
      </c>
      <c r="E73" s="22">
        <v>69.305555555555557</v>
      </c>
      <c r="F73" s="15">
        <v>68.738888888888894</v>
      </c>
      <c r="G73" s="15">
        <v>63.594444444444441</v>
      </c>
      <c r="H73" s="15">
        <v>58.722222222222221</v>
      </c>
      <c r="I73" s="15">
        <v>39.838888888888889</v>
      </c>
      <c r="J73" s="15">
        <v>22.56111111111111</v>
      </c>
      <c r="K73" s="22">
        <v>0</v>
      </c>
      <c r="L73" s="15">
        <v>0</v>
      </c>
      <c r="M73" s="22">
        <v>0</v>
      </c>
      <c r="N73" s="15">
        <v>0</v>
      </c>
      <c r="O73" s="15">
        <v>0</v>
      </c>
      <c r="P73" s="15">
        <v>0</v>
      </c>
      <c r="Q73" s="22">
        <v>2.0777777777777779</v>
      </c>
      <c r="R73" s="15">
        <v>26.516666666666666</v>
      </c>
      <c r="S73" s="24">
        <f t="shared" si="6"/>
        <v>394.13333333333338</v>
      </c>
    </row>
    <row r="74" spans="1:19">
      <c r="A74" s="17">
        <f t="shared" si="7"/>
        <v>24</v>
      </c>
      <c r="B74" s="14" t="s">
        <v>117</v>
      </c>
      <c r="C74" s="13" t="s">
        <v>118</v>
      </c>
      <c r="D74" s="15">
        <v>24.794444444444444</v>
      </c>
      <c r="E74" s="22">
        <v>25.672222222222221</v>
      </c>
      <c r="F74" s="15">
        <v>25.005555555555556</v>
      </c>
      <c r="G74" s="15">
        <v>24.388888888888889</v>
      </c>
      <c r="H74" s="15">
        <v>21.122222222222224</v>
      </c>
      <c r="I74" s="15">
        <v>0</v>
      </c>
      <c r="J74" s="15">
        <v>0</v>
      </c>
      <c r="K74" s="22">
        <v>0</v>
      </c>
      <c r="L74" s="15">
        <v>0</v>
      </c>
      <c r="M74" s="22">
        <v>0</v>
      </c>
      <c r="N74" s="15">
        <v>0</v>
      </c>
      <c r="O74" s="15">
        <v>0</v>
      </c>
      <c r="P74" s="15">
        <v>0</v>
      </c>
      <c r="Q74" s="22">
        <v>0</v>
      </c>
      <c r="R74" s="15">
        <v>8.25</v>
      </c>
      <c r="S74" s="24">
        <f t="shared" si="6"/>
        <v>120.98333333333333</v>
      </c>
    </row>
    <row r="75" spans="1:19">
      <c r="A75" s="17">
        <f t="shared" si="7"/>
        <v>25</v>
      </c>
      <c r="B75" s="14" t="s">
        <v>143</v>
      </c>
      <c r="C75" s="13" t="s">
        <v>144</v>
      </c>
      <c r="D75" s="15">
        <v>77.677777777777777</v>
      </c>
      <c r="E75" s="22">
        <v>78</v>
      </c>
      <c r="F75" s="15">
        <v>77.966666666666669</v>
      </c>
      <c r="G75" s="15">
        <v>77.044444444444451</v>
      </c>
      <c r="H75" s="15">
        <v>76.916666666666671</v>
      </c>
      <c r="I75" s="15">
        <v>79.222222222222229</v>
      </c>
      <c r="J75" s="15">
        <v>102.32777777777778</v>
      </c>
      <c r="K75" s="22">
        <v>95.955555555555549</v>
      </c>
      <c r="L75" s="15">
        <v>75.227777777777774</v>
      </c>
      <c r="M75" s="22">
        <v>58.56666666666667</v>
      </c>
      <c r="N75" s="15">
        <v>0</v>
      </c>
      <c r="O75" s="15">
        <v>0</v>
      </c>
      <c r="P75" s="15">
        <v>0</v>
      </c>
      <c r="Q75" s="22">
        <v>4.9333333333333336</v>
      </c>
      <c r="R75" s="15">
        <v>73.677777777777777</v>
      </c>
      <c r="S75" s="24">
        <f t="shared" si="6"/>
        <v>803.83888888888885</v>
      </c>
    </row>
    <row r="76" spans="1:19">
      <c r="A76" s="17">
        <f t="shared" si="7"/>
        <v>26</v>
      </c>
      <c r="B76" s="14" t="s">
        <v>84</v>
      </c>
      <c r="C76" s="13" t="s">
        <v>85</v>
      </c>
      <c r="D76" s="15">
        <v>0</v>
      </c>
      <c r="E76" s="22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22">
        <v>0</v>
      </c>
      <c r="L76" s="15">
        <v>0</v>
      </c>
      <c r="M76" s="22">
        <v>57.827777777777776</v>
      </c>
      <c r="N76" s="15">
        <v>33.216666666666669</v>
      </c>
      <c r="O76" s="15">
        <v>30.666666666666668</v>
      </c>
      <c r="P76" s="15">
        <v>30.05</v>
      </c>
      <c r="Q76" s="22">
        <v>1</v>
      </c>
      <c r="R76" s="15">
        <v>11.572222222222223</v>
      </c>
      <c r="S76" s="24">
        <f t="shared" si="6"/>
        <v>152.76111111111112</v>
      </c>
    </row>
    <row r="77" spans="1:19">
      <c r="A77" s="17">
        <f t="shared" si="7"/>
        <v>27</v>
      </c>
      <c r="B77" s="14" t="s">
        <v>58</v>
      </c>
      <c r="C77" s="13" t="s">
        <v>59</v>
      </c>
      <c r="D77" s="15">
        <v>0</v>
      </c>
      <c r="E77" s="22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22">
        <v>0</v>
      </c>
      <c r="L77" s="15">
        <v>0</v>
      </c>
      <c r="M77" s="22">
        <v>0</v>
      </c>
      <c r="N77" s="15">
        <v>0</v>
      </c>
      <c r="O77" s="15">
        <v>127.62222222222222</v>
      </c>
      <c r="P77" s="15">
        <v>119.15555555555555</v>
      </c>
      <c r="Q77" s="22">
        <v>0</v>
      </c>
      <c r="R77" s="15">
        <v>2</v>
      </c>
      <c r="S77" s="24">
        <f t="shared" si="6"/>
        <v>246.77777777777777</v>
      </c>
    </row>
    <row r="78" spans="1:19">
      <c r="A78" s="17">
        <f t="shared" si="7"/>
        <v>28</v>
      </c>
      <c r="B78" s="14">
        <v>93</v>
      </c>
      <c r="C78" s="13" t="s">
        <v>48</v>
      </c>
      <c r="D78" s="15">
        <v>20.022222222222222</v>
      </c>
      <c r="E78" s="22">
        <v>17.361111111111111</v>
      </c>
      <c r="F78" s="15">
        <v>21.005555555555556</v>
      </c>
      <c r="G78" s="15">
        <v>22.461111111111112</v>
      </c>
      <c r="H78" s="15">
        <v>20.383333333333333</v>
      </c>
      <c r="I78" s="15">
        <v>22.022222222222222</v>
      </c>
      <c r="J78" s="15">
        <v>22.005555555555556</v>
      </c>
      <c r="K78" s="22">
        <v>17.06111111111111</v>
      </c>
      <c r="L78" s="15">
        <v>20.011111111111113</v>
      </c>
      <c r="M78" s="22">
        <v>0</v>
      </c>
      <c r="N78" s="15">
        <v>0</v>
      </c>
      <c r="O78" s="15">
        <v>0</v>
      </c>
      <c r="P78" s="15">
        <v>0</v>
      </c>
      <c r="Q78" s="22">
        <v>2.6277777777777778</v>
      </c>
      <c r="R78" s="15">
        <v>18.627777777777776</v>
      </c>
      <c r="S78" s="24">
        <f t="shared" si="6"/>
        <v>184.96111111111108</v>
      </c>
    </row>
    <row r="79" spans="1:19">
      <c r="A79" s="17">
        <f t="shared" si="7"/>
        <v>29</v>
      </c>
      <c r="B79" s="14" t="s">
        <v>119</v>
      </c>
      <c r="C79" s="17" t="s">
        <v>195</v>
      </c>
      <c r="D79" s="15">
        <v>0</v>
      </c>
      <c r="E79" s="22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22">
        <v>102.7</v>
      </c>
      <c r="L79" s="15">
        <v>100.81666666666666</v>
      </c>
      <c r="M79" s="22">
        <v>127</v>
      </c>
      <c r="N79" s="15">
        <v>104.47222222222223</v>
      </c>
      <c r="O79" s="15">
        <v>90.061111111111117</v>
      </c>
      <c r="P79" s="15">
        <v>75.861111111111114</v>
      </c>
      <c r="Q79" s="22">
        <v>7.7777777777777779E-2</v>
      </c>
      <c r="R79" s="15">
        <v>40.049999999999997</v>
      </c>
      <c r="S79" s="24">
        <f t="shared" si="6"/>
        <v>600.98888888888882</v>
      </c>
    </row>
    <row r="80" spans="1:19">
      <c r="A80" s="17">
        <f t="shared" si="7"/>
        <v>30</v>
      </c>
      <c r="B80" s="14" t="s">
        <v>88</v>
      </c>
      <c r="C80" s="13" t="s">
        <v>89</v>
      </c>
      <c r="D80" s="15">
        <v>70.988888888888894</v>
      </c>
      <c r="E80" s="22">
        <v>74.827777777777783</v>
      </c>
      <c r="F80" s="15">
        <v>74.677777777777777</v>
      </c>
      <c r="G80" s="15">
        <v>98.49444444444444</v>
      </c>
      <c r="H80" s="15">
        <v>96.4</v>
      </c>
      <c r="I80" s="15">
        <v>98.805555555555557</v>
      </c>
      <c r="J80" s="15">
        <v>72.444444444444443</v>
      </c>
      <c r="K80" s="22">
        <v>59.077777777777776</v>
      </c>
      <c r="L80" s="15">
        <v>44.81111111111111</v>
      </c>
      <c r="M80" s="22">
        <v>19</v>
      </c>
      <c r="N80" s="15">
        <v>0</v>
      </c>
      <c r="O80" s="15">
        <v>0</v>
      </c>
      <c r="P80" s="15">
        <v>0</v>
      </c>
      <c r="Q80" s="22">
        <v>0.17777777777777778</v>
      </c>
      <c r="R80" s="15">
        <v>59.833333333333336</v>
      </c>
      <c r="S80" s="24">
        <f t="shared" si="6"/>
        <v>709.70555555555563</v>
      </c>
    </row>
    <row r="81" spans="1:19">
      <c r="A81" s="17">
        <f t="shared" si="7"/>
        <v>31</v>
      </c>
      <c r="B81" s="14" t="s">
        <v>90</v>
      </c>
      <c r="C81" s="13" t="s">
        <v>91</v>
      </c>
      <c r="D81" s="15">
        <v>106.27777777777777</v>
      </c>
      <c r="E81" s="22">
        <v>78.977777777777774</v>
      </c>
      <c r="F81" s="15">
        <v>76.894444444444446</v>
      </c>
      <c r="G81" s="15">
        <v>76.466666666666669</v>
      </c>
      <c r="H81" s="15">
        <v>77.738888888888894</v>
      </c>
      <c r="I81" s="15">
        <v>77.433333333333337</v>
      </c>
      <c r="J81" s="15">
        <v>97.166666666666671</v>
      </c>
      <c r="K81" s="22">
        <v>94.86666666666666</v>
      </c>
      <c r="L81" s="15">
        <v>89.855555555555554</v>
      </c>
      <c r="M81" s="22">
        <v>78.400000000000006</v>
      </c>
      <c r="N81" s="15">
        <v>51.81111111111111</v>
      </c>
      <c r="O81" s="15">
        <v>36.288888888888891</v>
      </c>
      <c r="P81" s="15">
        <v>16.661111111111111</v>
      </c>
      <c r="Q81" s="22">
        <v>11</v>
      </c>
      <c r="R81" s="15">
        <v>64.155555555555551</v>
      </c>
      <c r="S81" s="24">
        <f t="shared" si="6"/>
        <v>969.83888888888885</v>
      </c>
    </row>
    <row r="82" spans="1:19">
      <c r="A82" s="17">
        <f t="shared" si="7"/>
        <v>32</v>
      </c>
      <c r="B82" s="14" t="s">
        <v>92</v>
      </c>
      <c r="C82" s="13" t="s">
        <v>93</v>
      </c>
      <c r="D82" s="15">
        <v>71.37222222222222</v>
      </c>
      <c r="E82" s="22">
        <v>55.422222222222224</v>
      </c>
      <c r="F82" s="15">
        <v>45.177777777777777</v>
      </c>
      <c r="G82" s="15">
        <v>49.1</v>
      </c>
      <c r="H82" s="15">
        <v>43.855555555555554</v>
      </c>
      <c r="I82" s="15">
        <v>42.961111111111109</v>
      </c>
      <c r="J82" s="15">
        <v>38</v>
      </c>
      <c r="K82" s="22">
        <v>24.922222222222221</v>
      </c>
      <c r="L82" s="15">
        <v>25.45</v>
      </c>
      <c r="M82" s="22">
        <v>22.972222222222221</v>
      </c>
      <c r="N82" s="15">
        <v>15.205555555555556</v>
      </c>
      <c r="O82" s="15">
        <v>11.927777777777777</v>
      </c>
      <c r="P82" s="15">
        <v>0.34444444444444444</v>
      </c>
      <c r="Q82" s="22">
        <v>5</v>
      </c>
      <c r="R82" s="15">
        <v>81.87777777777778</v>
      </c>
      <c r="S82" s="24">
        <f t="shared" si="6"/>
        <v>451.71111111111111</v>
      </c>
    </row>
    <row r="83" spans="1:19">
      <c r="A83" s="17">
        <f t="shared" si="7"/>
        <v>33</v>
      </c>
      <c r="B83" s="14" t="s">
        <v>69</v>
      </c>
      <c r="C83" s="13" t="s">
        <v>70</v>
      </c>
      <c r="D83" s="15">
        <v>44.211111111111109</v>
      </c>
      <c r="E83" s="22">
        <v>52.444444444444443</v>
      </c>
      <c r="F83" s="15">
        <v>51.544444444444444</v>
      </c>
      <c r="G83" s="15">
        <v>49.894444444444446</v>
      </c>
      <c r="H83" s="15">
        <v>51.094444444444441</v>
      </c>
      <c r="I83" s="15">
        <v>75.388888888888886</v>
      </c>
      <c r="J83" s="15">
        <v>77.738888888888894</v>
      </c>
      <c r="K83" s="22">
        <v>84.25555555555556</v>
      </c>
      <c r="L83" s="15">
        <v>74.7</v>
      </c>
      <c r="M83" s="22">
        <v>68.711111111111109</v>
      </c>
      <c r="N83" s="15">
        <v>0</v>
      </c>
      <c r="O83" s="15">
        <v>0</v>
      </c>
      <c r="P83" s="15">
        <v>0</v>
      </c>
      <c r="Q83" s="22">
        <v>4.8888888888888893</v>
      </c>
      <c r="R83" s="15">
        <v>77.977777777777774</v>
      </c>
      <c r="S83" s="24">
        <f t="shared" ref="S83:S114" si="8">SUM(D83:Q83)</f>
        <v>634.87222222222226</v>
      </c>
    </row>
    <row r="84" spans="1:19">
      <c r="A84" s="17">
        <f t="shared" si="7"/>
        <v>34</v>
      </c>
      <c r="B84" s="14" t="s">
        <v>151</v>
      </c>
      <c r="C84" s="13" t="s">
        <v>152</v>
      </c>
      <c r="D84" s="15">
        <v>73.961111111111109</v>
      </c>
      <c r="E84" s="22">
        <v>65.561111111111117</v>
      </c>
      <c r="F84" s="15">
        <v>67.261111111111106</v>
      </c>
      <c r="G84" s="15">
        <v>71.977777777777774</v>
      </c>
      <c r="H84" s="15">
        <v>65.144444444444446</v>
      </c>
      <c r="I84" s="15">
        <v>68.855555555555554</v>
      </c>
      <c r="J84" s="15">
        <v>50.572222222222223</v>
      </c>
      <c r="K84" s="22">
        <v>0</v>
      </c>
      <c r="L84" s="15">
        <v>0</v>
      </c>
      <c r="M84" s="22">
        <v>0</v>
      </c>
      <c r="N84" s="15">
        <v>0</v>
      </c>
      <c r="O84" s="15">
        <v>0</v>
      </c>
      <c r="P84" s="15">
        <v>0</v>
      </c>
      <c r="Q84" s="22">
        <v>6.916666666666667</v>
      </c>
      <c r="R84" s="15">
        <v>46.133333333333333</v>
      </c>
      <c r="S84" s="24">
        <f t="shared" si="8"/>
        <v>470.25000000000006</v>
      </c>
    </row>
    <row r="85" spans="1:19">
      <c r="A85" s="17">
        <f t="shared" si="7"/>
        <v>35</v>
      </c>
      <c r="B85" s="14" t="s">
        <v>127</v>
      </c>
      <c r="C85" s="13" t="s">
        <v>128</v>
      </c>
      <c r="D85" s="15">
        <v>0</v>
      </c>
      <c r="E85" s="22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22">
        <v>28.55</v>
      </c>
      <c r="L85" s="15">
        <v>31.06111111111111</v>
      </c>
      <c r="M85" s="22">
        <v>176.48888888888888</v>
      </c>
      <c r="N85" s="15">
        <v>131.67222222222222</v>
      </c>
      <c r="O85" s="15">
        <v>106.76111111111111</v>
      </c>
      <c r="P85" s="15">
        <v>69.733333333333334</v>
      </c>
      <c r="Q85" s="22">
        <v>21.211111111111112</v>
      </c>
      <c r="R85" s="15">
        <v>52.65</v>
      </c>
      <c r="S85" s="24">
        <f t="shared" si="8"/>
        <v>565.47777777777776</v>
      </c>
    </row>
    <row r="86" spans="1:19">
      <c r="A86" s="17">
        <f t="shared" si="7"/>
        <v>36</v>
      </c>
      <c r="B86" s="14" t="s">
        <v>62</v>
      </c>
      <c r="C86" s="13" t="s">
        <v>63</v>
      </c>
      <c r="D86" s="15">
        <v>15.577777777777778</v>
      </c>
      <c r="E86" s="22">
        <v>16.383333333333333</v>
      </c>
      <c r="F86" s="15">
        <v>14.422222222222222</v>
      </c>
      <c r="G86" s="15">
        <v>9.3333333333333339</v>
      </c>
      <c r="H86" s="15">
        <v>6.583333333333333</v>
      </c>
      <c r="I86" s="15">
        <v>6.2833333333333332</v>
      </c>
      <c r="J86" s="15">
        <v>5.5055555555555555</v>
      </c>
      <c r="K86" s="22">
        <v>0</v>
      </c>
      <c r="L86" s="15">
        <v>0</v>
      </c>
      <c r="M86" s="22">
        <v>0</v>
      </c>
      <c r="N86" s="15">
        <v>0</v>
      </c>
      <c r="O86" s="15">
        <v>0</v>
      </c>
      <c r="P86" s="15">
        <v>0</v>
      </c>
      <c r="Q86" s="22">
        <v>0</v>
      </c>
      <c r="R86" s="15">
        <v>6.6055555555555552</v>
      </c>
      <c r="S86" s="24">
        <f t="shared" si="8"/>
        <v>74.088888888888903</v>
      </c>
    </row>
    <row r="87" spans="1:19">
      <c r="A87" s="17">
        <f t="shared" si="7"/>
        <v>37</v>
      </c>
      <c r="B87" s="14" t="s">
        <v>94</v>
      </c>
      <c r="C87" s="13" t="s">
        <v>95</v>
      </c>
      <c r="D87" s="15">
        <v>73.083333333333329</v>
      </c>
      <c r="E87" s="22">
        <v>72.711111111111109</v>
      </c>
      <c r="F87" s="15">
        <v>72.111111111111114</v>
      </c>
      <c r="G87" s="15">
        <v>72.522222222222226</v>
      </c>
      <c r="H87" s="15">
        <v>72.86666666666666</v>
      </c>
      <c r="I87" s="15">
        <v>72.016666666666666</v>
      </c>
      <c r="J87" s="15">
        <v>70.966666666666669</v>
      </c>
      <c r="K87" s="22">
        <v>74.605555555555554</v>
      </c>
      <c r="L87" s="15">
        <v>64.538888888888891</v>
      </c>
      <c r="M87" s="22">
        <v>61.727777777777774</v>
      </c>
      <c r="N87" s="15">
        <v>0</v>
      </c>
      <c r="O87" s="15">
        <v>0</v>
      </c>
      <c r="P87" s="15">
        <v>0</v>
      </c>
      <c r="Q87" s="22">
        <v>18.161111111111111</v>
      </c>
      <c r="R87" s="15">
        <v>31.394444444444446</v>
      </c>
      <c r="S87" s="24">
        <f t="shared" si="8"/>
        <v>725.31111111111102</v>
      </c>
    </row>
    <row r="88" spans="1:19">
      <c r="A88" s="17">
        <f t="shared" si="7"/>
        <v>38</v>
      </c>
      <c r="B88" s="14" t="s">
        <v>96</v>
      </c>
      <c r="C88" s="13" t="s">
        <v>97</v>
      </c>
      <c r="D88" s="15">
        <v>70.455555555555549</v>
      </c>
      <c r="E88" s="22">
        <v>80.166666666666671</v>
      </c>
      <c r="F88" s="15">
        <v>78.977777777777774</v>
      </c>
      <c r="G88" s="15">
        <v>77.655555555555551</v>
      </c>
      <c r="H88" s="15">
        <v>105.22222222222223</v>
      </c>
      <c r="I88" s="15">
        <v>98.7</v>
      </c>
      <c r="J88" s="15">
        <v>91.227777777777774</v>
      </c>
      <c r="K88" s="22">
        <v>58.805555555555557</v>
      </c>
      <c r="L88" s="15">
        <v>42.966666666666669</v>
      </c>
      <c r="M88" s="22">
        <v>25.988888888888887</v>
      </c>
      <c r="N88" s="15">
        <v>0</v>
      </c>
      <c r="O88" s="15">
        <v>0</v>
      </c>
      <c r="P88" s="15">
        <v>0</v>
      </c>
      <c r="Q88" s="22">
        <v>5.7555555555555555</v>
      </c>
      <c r="R88" s="15">
        <v>58.255555555555553</v>
      </c>
      <c r="S88" s="24">
        <f t="shared" si="8"/>
        <v>735.92222222222233</v>
      </c>
    </row>
    <row r="89" spans="1:19">
      <c r="A89" s="17">
        <f t="shared" si="7"/>
        <v>39</v>
      </c>
      <c r="B89" s="14" t="s">
        <v>80</v>
      </c>
      <c r="C89" s="13" t="s">
        <v>81</v>
      </c>
      <c r="D89" s="15">
        <v>52.31111111111111</v>
      </c>
      <c r="E89" s="22">
        <v>55.644444444444446</v>
      </c>
      <c r="F89" s="15">
        <v>75.855555555555554</v>
      </c>
      <c r="G89" s="15">
        <v>52.338888888888889</v>
      </c>
      <c r="H89" s="15">
        <v>52.416666666666664</v>
      </c>
      <c r="I89" s="15">
        <v>52.016666666666666</v>
      </c>
      <c r="J89" s="15">
        <v>51.016666666666666</v>
      </c>
      <c r="K89" s="22">
        <v>52.022222222222226</v>
      </c>
      <c r="L89" s="15">
        <v>45.544444444444444</v>
      </c>
      <c r="M89" s="22">
        <v>32.038888888888891</v>
      </c>
      <c r="N89" s="15">
        <v>0</v>
      </c>
      <c r="O89" s="15">
        <v>0</v>
      </c>
      <c r="P89" s="15">
        <v>0</v>
      </c>
      <c r="Q89" s="22">
        <v>5.7166666666666668</v>
      </c>
      <c r="R89" s="15">
        <v>45.677777777777777</v>
      </c>
      <c r="S89" s="24">
        <f t="shared" si="8"/>
        <v>526.92222222222222</v>
      </c>
    </row>
    <row r="90" spans="1:19">
      <c r="A90" s="17">
        <f t="shared" si="7"/>
        <v>40</v>
      </c>
      <c r="B90" s="14" t="s">
        <v>52</v>
      </c>
      <c r="C90" s="17" t="s">
        <v>196</v>
      </c>
      <c r="D90" s="15">
        <v>0</v>
      </c>
      <c r="E90" s="22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22">
        <v>0</v>
      </c>
      <c r="L90" s="15">
        <v>0</v>
      </c>
      <c r="M90" s="22">
        <v>0</v>
      </c>
      <c r="N90" s="15">
        <v>161.60555555555555</v>
      </c>
      <c r="O90" s="15">
        <v>148.78888888888889</v>
      </c>
      <c r="P90" s="15">
        <v>121.56666666666666</v>
      </c>
      <c r="Q90" s="22">
        <v>0</v>
      </c>
      <c r="R90" s="15">
        <v>0.92777777777777781</v>
      </c>
      <c r="S90" s="24">
        <f t="shared" si="8"/>
        <v>431.96111111111111</v>
      </c>
    </row>
    <row r="91" spans="1:19">
      <c r="A91" s="17">
        <f t="shared" si="7"/>
        <v>41</v>
      </c>
      <c r="B91" s="14" t="s">
        <v>110</v>
      </c>
      <c r="C91" s="13" t="s">
        <v>111</v>
      </c>
      <c r="D91" s="15">
        <v>84.033333333333331</v>
      </c>
      <c r="E91" s="22">
        <v>83.522222222222226</v>
      </c>
      <c r="F91" s="15">
        <v>82.61666666666666</v>
      </c>
      <c r="G91" s="15">
        <v>82.522222222222226</v>
      </c>
      <c r="H91" s="15">
        <v>86.266666666666666</v>
      </c>
      <c r="I91" s="15">
        <v>86.266666666666666</v>
      </c>
      <c r="J91" s="15">
        <v>69.805555555555557</v>
      </c>
      <c r="K91" s="22">
        <v>0</v>
      </c>
      <c r="L91" s="15">
        <v>0</v>
      </c>
      <c r="M91" s="22">
        <v>0</v>
      </c>
      <c r="N91" s="15">
        <v>0</v>
      </c>
      <c r="O91" s="15">
        <v>0</v>
      </c>
      <c r="P91" s="15">
        <v>0</v>
      </c>
      <c r="Q91" s="22">
        <v>2</v>
      </c>
      <c r="R91" s="15">
        <v>51.227777777777774</v>
      </c>
      <c r="S91" s="24">
        <f t="shared" si="8"/>
        <v>577.0333333333333</v>
      </c>
    </row>
    <row r="92" spans="1:19">
      <c r="A92" s="17">
        <f t="shared" si="7"/>
        <v>42</v>
      </c>
      <c r="B92" s="14" t="s">
        <v>60</v>
      </c>
      <c r="C92" s="13" t="s">
        <v>61</v>
      </c>
      <c r="D92" s="15">
        <v>101.92777777777778</v>
      </c>
      <c r="E92" s="22">
        <v>107.07222222222222</v>
      </c>
      <c r="F92" s="15">
        <v>104.42222222222222</v>
      </c>
      <c r="G92" s="15">
        <v>106.86111111111111</v>
      </c>
      <c r="H92" s="15">
        <v>107.62777777777778</v>
      </c>
      <c r="I92" s="15">
        <v>106.13888888888889</v>
      </c>
      <c r="J92" s="15">
        <v>101.52222222222223</v>
      </c>
      <c r="K92" s="22">
        <v>97.87777777777778</v>
      </c>
      <c r="L92" s="15">
        <v>69.216666666666669</v>
      </c>
      <c r="M92" s="22">
        <v>75.666666666666671</v>
      </c>
      <c r="N92" s="15">
        <v>0</v>
      </c>
      <c r="O92" s="15">
        <v>0</v>
      </c>
      <c r="P92" s="15">
        <v>0</v>
      </c>
      <c r="Q92" s="22">
        <v>0</v>
      </c>
      <c r="R92" s="15">
        <v>67.677777777777777</v>
      </c>
      <c r="S92" s="24">
        <f t="shared" si="8"/>
        <v>978.33333333333326</v>
      </c>
    </row>
    <row r="93" spans="1:19">
      <c r="A93" s="17">
        <f t="shared" si="7"/>
        <v>43</v>
      </c>
      <c r="B93" s="14" t="s">
        <v>74</v>
      </c>
      <c r="C93" s="13" t="s">
        <v>75</v>
      </c>
      <c r="D93" s="15">
        <v>52</v>
      </c>
      <c r="E93" s="22">
        <v>51.361111111111114</v>
      </c>
      <c r="F93" s="15">
        <v>50.994444444444447</v>
      </c>
      <c r="G93" s="15">
        <v>52</v>
      </c>
      <c r="H93" s="15">
        <v>51</v>
      </c>
      <c r="I93" s="15">
        <v>50</v>
      </c>
      <c r="J93" s="15">
        <v>52</v>
      </c>
      <c r="K93" s="22">
        <v>53.994444444444447</v>
      </c>
      <c r="L93" s="15">
        <v>52.583333333333336</v>
      </c>
      <c r="M93" s="22">
        <v>40.5</v>
      </c>
      <c r="N93" s="15">
        <v>0</v>
      </c>
      <c r="O93" s="15">
        <v>0</v>
      </c>
      <c r="P93" s="15">
        <v>0</v>
      </c>
      <c r="Q93" s="22">
        <v>1</v>
      </c>
      <c r="R93" s="15">
        <v>39.56666666666667</v>
      </c>
      <c r="S93" s="24">
        <f t="shared" si="8"/>
        <v>507.43333333333334</v>
      </c>
    </row>
    <row r="94" spans="1:19">
      <c r="A94" s="17">
        <f t="shared" si="7"/>
        <v>44</v>
      </c>
      <c r="B94" s="14" t="s">
        <v>82</v>
      </c>
      <c r="C94" s="13" t="s">
        <v>83</v>
      </c>
      <c r="D94" s="15">
        <v>86.422222222222217</v>
      </c>
      <c r="E94" s="22">
        <v>101.21111111111111</v>
      </c>
      <c r="F94" s="15">
        <v>68.538888888888891</v>
      </c>
      <c r="G94" s="15">
        <v>53.261111111111113</v>
      </c>
      <c r="H94" s="15">
        <v>74.111111111111114</v>
      </c>
      <c r="I94" s="15">
        <v>50.883333333333333</v>
      </c>
      <c r="J94" s="15">
        <v>55.93333333333333</v>
      </c>
      <c r="K94" s="22">
        <v>0</v>
      </c>
      <c r="L94" s="15">
        <v>0</v>
      </c>
      <c r="M94" s="22">
        <v>0</v>
      </c>
      <c r="N94" s="15">
        <v>0</v>
      </c>
      <c r="O94" s="15">
        <v>0</v>
      </c>
      <c r="P94" s="15">
        <v>0</v>
      </c>
      <c r="Q94" s="22">
        <v>5.5555555555555558E-3</v>
      </c>
      <c r="R94" s="15">
        <v>52.305555555555557</v>
      </c>
      <c r="S94" s="24">
        <f t="shared" si="8"/>
        <v>490.36666666666667</v>
      </c>
    </row>
    <row r="95" spans="1:19">
      <c r="A95" s="17">
        <f t="shared" si="7"/>
        <v>45</v>
      </c>
      <c r="B95" s="14">
        <v>68</v>
      </c>
      <c r="C95" s="13" t="s">
        <v>41</v>
      </c>
      <c r="D95" s="15">
        <v>103.16666666666667</v>
      </c>
      <c r="E95" s="22">
        <v>103.02777777777777</v>
      </c>
      <c r="F95" s="15">
        <v>101.35555555555555</v>
      </c>
      <c r="G95" s="15">
        <v>104.47222222222223</v>
      </c>
      <c r="H95" s="15">
        <v>100.02777777777777</v>
      </c>
      <c r="I95" s="15">
        <v>103.51666666666667</v>
      </c>
      <c r="J95" s="15">
        <v>100.30555555555556</v>
      </c>
      <c r="K95" s="22">
        <v>97.05</v>
      </c>
      <c r="L95" s="15">
        <v>97.788888888888891</v>
      </c>
      <c r="M95" s="22">
        <v>85.561111111111117</v>
      </c>
      <c r="N95" s="15">
        <v>0</v>
      </c>
      <c r="O95" s="15">
        <v>0</v>
      </c>
      <c r="P95" s="15">
        <v>0</v>
      </c>
      <c r="Q95" s="22">
        <v>5.3833333333333337</v>
      </c>
      <c r="R95" s="15">
        <v>82.205555555555549</v>
      </c>
      <c r="S95" s="24">
        <f t="shared" si="8"/>
        <v>1001.6555555555555</v>
      </c>
    </row>
    <row r="96" spans="1:19">
      <c r="A96" s="17">
        <f t="shared" si="7"/>
        <v>46</v>
      </c>
      <c r="B96" s="14" t="s">
        <v>113</v>
      </c>
      <c r="C96" s="13" t="s">
        <v>114</v>
      </c>
      <c r="D96" s="15">
        <v>43.994444444444447</v>
      </c>
      <c r="E96" s="22">
        <v>56.37777777777778</v>
      </c>
      <c r="F96" s="15">
        <v>47.388888888888886</v>
      </c>
      <c r="G96" s="15">
        <v>61.783333333333331</v>
      </c>
      <c r="H96" s="15">
        <v>47.266666666666666</v>
      </c>
      <c r="I96" s="15">
        <v>24.166666666666668</v>
      </c>
      <c r="J96" s="15">
        <v>37.81666666666667</v>
      </c>
      <c r="K96" s="22">
        <v>18.427777777777777</v>
      </c>
      <c r="L96" s="15">
        <v>22.027777777777779</v>
      </c>
      <c r="M96" s="22">
        <v>0</v>
      </c>
      <c r="N96" s="15">
        <v>0</v>
      </c>
      <c r="O96" s="15">
        <v>0</v>
      </c>
      <c r="P96" s="15">
        <v>0</v>
      </c>
      <c r="Q96" s="22">
        <v>12.511111111111111</v>
      </c>
      <c r="R96" s="15">
        <v>26.005555555555556</v>
      </c>
      <c r="S96" s="24">
        <f t="shared" si="8"/>
        <v>371.76111111111118</v>
      </c>
    </row>
    <row r="97" spans="1:19">
      <c r="A97" s="17">
        <f t="shared" si="7"/>
        <v>47</v>
      </c>
      <c r="B97" s="14" t="s">
        <v>145</v>
      </c>
      <c r="C97" s="13" t="s">
        <v>183</v>
      </c>
      <c r="D97" s="15">
        <v>0</v>
      </c>
      <c r="E97" s="22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22">
        <v>0</v>
      </c>
      <c r="L97" s="15">
        <v>0</v>
      </c>
      <c r="M97" s="22">
        <v>65.738888888888894</v>
      </c>
      <c r="N97" s="15">
        <v>90.811111111111117</v>
      </c>
      <c r="O97" s="15">
        <v>91.138888888888886</v>
      </c>
      <c r="P97" s="15">
        <v>32.427777777777777</v>
      </c>
      <c r="Q97" s="22">
        <v>0.71111111111111114</v>
      </c>
      <c r="R97" s="15">
        <v>29.105555555555554</v>
      </c>
      <c r="S97" s="24">
        <f t="shared" si="8"/>
        <v>280.82777777777778</v>
      </c>
    </row>
    <row r="98" spans="1:19">
      <c r="A98" s="17">
        <f t="shared" si="7"/>
        <v>48</v>
      </c>
      <c r="B98" s="14" t="s">
        <v>146</v>
      </c>
      <c r="C98" s="13" t="s">
        <v>147</v>
      </c>
      <c r="D98" s="15">
        <v>83.25</v>
      </c>
      <c r="E98" s="22">
        <v>102.76666666666667</v>
      </c>
      <c r="F98" s="15">
        <v>88.477777777777774</v>
      </c>
      <c r="G98" s="15">
        <v>99.62222222222222</v>
      </c>
      <c r="H98" s="15">
        <v>77.666666666666671</v>
      </c>
      <c r="I98" s="15">
        <v>69.288888888888891</v>
      </c>
      <c r="J98" s="15">
        <v>61.744444444444447</v>
      </c>
      <c r="K98" s="22">
        <v>40.155555555555559</v>
      </c>
      <c r="L98" s="15">
        <v>31.488888888888887</v>
      </c>
      <c r="M98" s="22">
        <v>26.461111111111112</v>
      </c>
      <c r="N98" s="15">
        <v>0</v>
      </c>
      <c r="O98" s="15">
        <v>0</v>
      </c>
      <c r="P98" s="15">
        <v>0</v>
      </c>
      <c r="Q98" s="22">
        <v>6.8277777777777775</v>
      </c>
      <c r="R98" s="15">
        <v>76.961111111111109</v>
      </c>
      <c r="S98" s="24">
        <f t="shared" si="8"/>
        <v>687.75</v>
      </c>
    </row>
    <row r="99" spans="1:19">
      <c r="A99" s="17">
        <f t="shared" si="7"/>
        <v>49</v>
      </c>
      <c r="B99" s="14" t="s">
        <v>98</v>
      </c>
      <c r="C99" s="13" t="s">
        <v>99</v>
      </c>
      <c r="D99" s="15">
        <v>0</v>
      </c>
      <c r="E99" s="22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22">
        <v>0</v>
      </c>
      <c r="L99" s="15">
        <v>0</v>
      </c>
      <c r="M99" s="22">
        <v>132.15</v>
      </c>
      <c r="N99" s="15">
        <v>146.52777777777777</v>
      </c>
      <c r="O99" s="15">
        <v>138.68333333333334</v>
      </c>
      <c r="P99" s="15">
        <v>123.37222222222222</v>
      </c>
      <c r="Q99" s="22">
        <v>0</v>
      </c>
      <c r="R99" s="15">
        <v>49.37777777777778</v>
      </c>
      <c r="S99" s="24">
        <f t="shared" si="8"/>
        <v>540.73333333333335</v>
      </c>
    </row>
    <row r="100" spans="1:19">
      <c r="A100" s="17">
        <f t="shared" si="7"/>
        <v>50</v>
      </c>
      <c r="B100" s="14">
        <v>86</v>
      </c>
      <c r="C100" s="13" t="s">
        <v>44</v>
      </c>
      <c r="D100" s="15">
        <v>24.777777777777779</v>
      </c>
      <c r="E100" s="22">
        <v>22.683333333333334</v>
      </c>
      <c r="F100" s="15">
        <v>34.783333333333331</v>
      </c>
      <c r="G100" s="15">
        <v>30.233333333333334</v>
      </c>
      <c r="H100" s="15">
        <v>33.87222222222222</v>
      </c>
      <c r="I100" s="15">
        <v>23.694444444444443</v>
      </c>
      <c r="J100" s="15">
        <v>37.338888888888889</v>
      </c>
      <c r="K100" s="22">
        <v>42.68888888888889</v>
      </c>
      <c r="L100" s="15">
        <v>53.25</v>
      </c>
      <c r="M100" s="22">
        <v>35.777777777777779</v>
      </c>
      <c r="N100" s="15">
        <v>33.661111111111111</v>
      </c>
      <c r="O100" s="15">
        <v>36.261111111111113</v>
      </c>
      <c r="P100" s="15">
        <v>28.427777777777777</v>
      </c>
      <c r="Q100" s="22">
        <v>44.772222222222226</v>
      </c>
      <c r="R100" s="15">
        <v>93.094444444444449</v>
      </c>
      <c r="S100" s="24">
        <f t="shared" si="8"/>
        <v>482.22222222222217</v>
      </c>
    </row>
    <row r="101" spans="1:19">
      <c r="A101" s="17">
        <f t="shared" si="7"/>
        <v>51</v>
      </c>
      <c r="B101" s="14" t="s">
        <v>129</v>
      </c>
      <c r="C101" s="13" t="s">
        <v>130</v>
      </c>
      <c r="D101" s="15">
        <v>123.65555555555555</v>
      </c>
      <c r="E101" s="22">
        <v>124.97777777777777</v>
      </c>
      <c r="F101" s="15">
        <v>124.52222222222223</v>
      </c>
      <c r="G101" s="15">
        <v>126.77222222222223</v>
      </c>
      <c r="H101" s="15">
        <v>124.50555555555556</v>
      </c>
      <c r="I101" s="15">
        <v>127.83333333333333</v>
      </c>
      <c r="J101" s="15">
        <v>215.5</v>
      </c>
      <c r="K101" s="22">
        <v>212.44444444444446</v>
      </c>
      <c r="L101" s="15">
        <v>151.69999999999999</v>
      </c>
      <c r="M101" s="22">
        <v>67.416666666666671</v>
      </c>
      <c r="N101" s="15">
        <v>0</v>
      </c>
      <c r="O101" s="15">
        <v>0</v>
      </c>
      <c r="P101" s="15">
        <v>0</v>
      </c>
      <c r="Q101" s="22">
        <v>1</v>
      </c>
      <c r="R101" s="15">
        <v>145.19444444444446</v>
      </c>
      <c r="S101" s="24">
        <f t="shared" si="8"/>
        <v>1400.327777777778</v>
      </c>
    </row>
    <row r="102" spans="1:19">
      <c r="A102" s="17">
        <f t="shared" si="7"/>
        <v>52</v>
      </c>
      <c r="B102" s="14" t="s">
        <v>153</v>
      </c>
      <c r="C102" s="13" t="s">
        <v>154</v>
      </c>
      <c r="D102" s="15">
        <v>62.455555555555556</v>
      </c>
      <c r="E102" s="22">
        <v>61.805555555555557</v>
      </c>
      <c r="F102" s="15">
        <v>57.794444444444444</v>
      </c>
      <c r="G102" s="15">
        <v>65.05</v>
      </c>
      <c r="H102" s="15">
        <v>49.305555555555557</v>
      </c>
      <c r="I102" s="15">
        <v>49.288888888888891</v>
      </c>
      <c r="J102" s="15">
        <v>49.611111111111114</v>
      </c>
      <c r="K102" s="22">
        <v>25.05</v>
      </c>
      <c r="L102" s="15">
        <v>35.572222222222223</v>
      </c>
      <c r="M102" s="22">
        <v>0</v>
      </c>
      <c r="N102" s="15">
        <v>0</v>
      </c>
      <c r="O102" s="15">
        <v>0</v>
      </c>
      <c r="P102" s="15">
        <v>0</v>
      </c>
      <c r="Q102" s="22">
        <v>9.2944444444444443</v>
      </c>
      <c r="R102" s="15">
        <v>60.894444444444446</v>
      </c>
      <c r="S102" s="24">
        <f t="shared" si="8"/>
        <v>465.22777777777782</v>
      </c>
    </row>
    <row r="103" spans="1:19">
      <c r="A103" s="17">
        <f t="shared" si="7"/>
        <v>53</v>
      </c>
      <c r="B103" s="14" t="s">
        <v>131</v>
      </c>
      <c r="C103" s="13" t="s">
        <v>132</v>
      </c>
      <c r="D103" s="15">
        <v>99.566666666666663</v>
      </c>
      <c r="E103" s="22">
        <v>100.61666666666666</v>
      </c>
      <c r="F103" s="15">
        <v>101.92777777777778</v>
      </c>
      <c r="G103" s="15">
        <v>99.344444444444449</v>
      </c>
      <c r="H103" s="15">
        <v>89.316666666666663</v>
      </c>
      <c r="I103" s="15">
        <v>96.338888888888889</v>
      </c>
      <c r="J103" s="15">
        <v>69.944444444444443</v>
      </c>
      <c r="K103" s="22">
        <v>37.294444444444444</v>
      </c>
      <c r="L103" s="15">
        <v>18.172222222222221</v>
      </c>
      <c r="M103" s="22">
        <v>0</v>
      </c>
      <c r="N103" s="15">
        <v>0</v>
      </c>
      <c r="O103" s="15">
        <v>0</v>
      </c>
      <c r="P103" s="15">
        <v>0</v>
      </c>
      <c r="Q103" s="22">
        <v>10.611111111111111</v>
      </c>
      <c r="R103" s="15">
        <v>76.838888888888889</v>
      </c>
      <c r="S103" s="24">
        <f t="shared" si="8"/>
        <v>723.13333333333333</v>
      </c>
    </row>
    <row r="104" spans="1:19">
      <c r="A104" s="17">
        <f t="shared" si="7"/>
        <v>54</v>
      </c>
      <c r="B104" s="14" t="s">
        <v>53</v>
      </c>
      <c r="C104" s="13" t="s">
        <v>54</v>
      </c>
      <c r="D104" s="15">
        <v>51.755555555555553</v>
      </c>
      <c r="E104" s="22">
        <v>50.105555555555554</v>
      </c>
      <c r="F104" s="15">
        <v>51.43888888888889</v>
      </c>
      <c r="G104" s="15">
        <v>50.711111111111109</v>
      </c>
      <c r="H104" s="15">
        <v>52</v>
      </c>
      <c r="I104" s="15">
        <v>49.45</v>
      </c>
      <c r="J104" s="15">
        <v>49.205555555555556</v>
      </c>
      <c r="K104" s="22">
        <v>0</v>
      </c>
      <c r="L104" s="15">
        <v>0</v>
      </c>
      <c r="M104" s="22">
        <v>0</v>
      </c>
      <c r="N104" s="15">
        <v>0</v>
      </c>
      <c r="O104" s="15">
        <v>0</v>
      </c>
      <c r="P104" s="15">
        <v>0</v>
      </c>
      <c r="Q104" s="22">
        <v>1.3611111111111112</v>
      </c>
      <c r="R104" s="15">
        <v>43.45</v>
      </c>
      <c r="S104" s="24">
        <f t="shared" si="8"/>
        <v>356.02777777777777</v>
      </c>
    </row>
    <row r="105" spans="1:19">
      <c r="A105" s="17">
        <f t="shared" si="7"/>
        <v>55</v>
      </c>
      <c r="B105" s="14" t="s">
        <v>76</v>
      </c>
      <c r="C105" s="13" t="s">
        <v>77</v>
      </c>
      <c r="D105" s="15">
        <v>77.566666666666663</v>
      </c>
      <c r="E105" s="22">
        <v>78.044444444444451</v>
      </c>
      <c r="F105" s="15">
        <v>76.433333333333337</v>
      </c>
      <c r="G105" s="15">
        <v>78.788888888888891</v>
      </c>
      <c r="H105" s="15">
        <v>73.688888888888883</v>
      </c>
      <c r="I105" s="15">
        <v>80.638888888888886</v>
      </c>
      <c r="J105" s="15">
        <v>78.144444444444446</v>
      </c>
      <c r="K105" s="22">
        <v>59.488888888888887</v>
      </c>
      <c r="L105" s="15">
        <v>58.916666666666664</v>
      </c>
      <c r="M105" s="22">
        <v>0</v>
      </c>
      <c r="N105" s="15">
        <v>0</v>
      </c>
      <c r="O105" s="15">
        <v>0</v>
      </c>
      <c r="P105" s="15">
        <v>0</v>
      </c>
      <c r="Q105" s="22">
        <v>2</v>
      </c>
      <c r="R105" s="15">
        <v>96.855555555555554</v>
      </c>
      <c r="S105" s="24">
        <f t="shared" si="8"/>
        <v>663.71111111111122</v>
      </c>
    </row>
    <row r="106" spans="1:19">
      <c r="A106" s="17">
        <f t="shared" si="7"/>
        <v>56</v>
      </c>
      <c r="B106" s="14" t="s">
        <v>100</v>
      </c>
      <c r="C106" s="13" t="s">
        <v>101</v>
      </c>
      <c r="D106" s="15">
        <v>86.62777777777778</v>
      </c>
      <c r="E106" s="22">
        <v>65.644444444444446</v>
      </c>
      <c r="F106" s="15">
        <v>73.827777777777783</v>
      </c>
      <c r="G106" s="15">
        <v>72.772222222222226</v>
      </c>
      <c r="H106" s="15">
        <v>62.277777777777779</v>
      </c>
      <c r="I106" s="15">
        <v>69.261111111111106</v>
      </c>
      <c r="J106" s="15">
        <v>73.672222222222217</v>
      </c>
      <c r="K106" s="22">
        <v>43.68888888888889</v>
      </c>
      <c r="L106" s="15">
        <v>46.694444444444443</v>
      </c>
      <c r="M106" s="22">
        <v>23.411111111111111</v>
      </c>
      <c r="N106" s="15">
        <v>0</v>
      </c>
      <c r="O106" s="15">
        <v>0</v>
      </c>
      <c r="P106" s="15">
        <v>0</v>
      </c>
      <c r="Q106" s="22">
        <v>1.2388888888888889</v>
      </c>
      <c r="R106" s="15">
        <v>43.961111111111109</v>
      </c>
      <c r="S106" s="24">
        <f t="shared" si="8"/>
        <v>619.11666666666679</v>
      </c>
    </row>
    <row r="107" spans="1:19">
      <c r="A107" s="17">
        <f t="shared" si="7"/>
        <v>57</v>
      </c>
      <c r="B107" s="14" t="s">
        <v>133</v>
      </c>
      <c r="C107" s="13" t="s">
        <v>134</v>
      </c>
      <c r="D107" s="15">
        <v>0</v>
      </c>
      <c r="E107" s="22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22">
        <v>169.36111111111111</v>
      </c>
      <c r="L107" s="15">
        <v>137.57222222222222</v>
      </c>
      <c r="M107" s="22">
        <v>63.344444444444441</v>
      </c>
      <c r="N107" s="15">
        <v>63.555555555555557</v>
      </c>
      <c r="O107" s="15">
        <v>51.588888888888889</v>
      </c>
      <c r="P107" s="15">
        <v>40.111111111111114</v>
      </c>
      <c r="Q107" s="22">
        <v>45.81111111111111</v>
      </c>
      <c r="R107" s="15">
        <v>43.6</v>
      </c>
      <c r="S107" s="24">
        <f t="shared" si="8"/>
        <v>571.34444444444443</v>
      </c>
    </row>
    <row r="108" spans="1:19">
      <c r="A108" s="17">
        <f t="shared" si="7"/>
        <v>58</v>
      </c>
      <c r="B108" s="14">
        <v>97</v>
      </c>
      <c r="C108" s="13" t="s">
        <v>50</v>
      </c>
      <c r="D108" s="15">
        <v>0</v>
      </c>
      <c r="E108" s="22">
        <v>0</v>
      </c>
      <c r="F108" s="15">
        <v>0</v>
      </c>
      <c r="G108" s="15">
        <v>0</v>
      </c>
      <c r="H108" s="15">
        <v>0</v>
      </c>
      <c r="I108" s="15">
        <v>75.338888888888889</v>
      </c>
      <c r="J108" s="15">
        <v>74.577777777777783</v>
      </c>
      <c r="K108" s="22">
        <v>80.461111111111109</v>
      </c>
      <c r="L108" s="15">
        <v>69.094444444444449</v>
      </c>
      <c r="M108" s="22">
        <v>0</v>
      </c>
      <c r="N108" s="15">
        <v>0</v>
      </c>
      <c r="O108" s="15">
        <v>0</v>
      </c>
      <c r="P108" s="15">
        <v>0</v>
      </c>
      <c r="Q108" s="22">
        <v>1.1111111111111112E-2</v>
      </c>
      <c r="R108" s="15">
        <v>17.772222222222222</v>
      </c>
      <c r="S108" s="24">
        <f t="shared" si="8"/>
        <v>299.48333333333335</v>
      </c>
    </row>
    <row r="109" spans="1:19">
      <c r="A109" s="17">
        <f t="shared" si="7"/>
        <v>59</v>
      </c>
      <c r="B109" s="14" t="s">
        <v>137</v>
      </c>
      <c r="C109" s="13" t="s">
        <v>184</v>
      </c>
      <c r="D109" s="15">
        <v>0</v>
      </c>
      <c r="E109" s="22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60.227777777777774</v>
      </c>
      <c r="K109" s="22">
        <v>61.972222222222221</v>
      </c>
      <c r="L109" s="15">
        <v>79.2</v>
      </c>
      <c r="M109" s="22">
        <v>53.261111111111113</v>
      </c>
      <c r="N109" s="15">
        <v>52.15</v>
      </c>
      <c r="O109" s="15">
        <v>21.111111111111111</v>
      </c>
      <c r="P109" s="15">
        <v>0</v>
      </c>
      <c r="Q109" s="22">
        <v>0</v>
      </c>
      <c r="R109" s="15">
        <v>31.033333333333335</v>
      </c>
      <c r="S109" s="24">
        <f t="shared" si="8"/>
        <v>327.92222222222216</v>
      </c>
    </row>
    <row r="110" spans="1:19">
      <c r="A110" s="17">
        <f t="shared" si="7"/>
        <v>60</v>
      </c>
      <c r="B110" s="14" t="s">
        <v>112</v>
      </c>
      <c r="C110" s="13" t="s">
        <v>185</v>
      </c>
      <c r="D110" s="15">
        <v>0</v>
      </c>
      <c r="E110" s="22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22">
        <v>0</v>
      </c>
      <c r="L110" s="15">
        <v>0</v>
      </c>
      <c r="M110" s="22">
        <v>74.838888888888889</v>
      </c>
      <c r="N110" s="15">
        <v>47.8</v>
      </c>
      <c r="O110" s="15">
        <v>39.200000000000003</v>
      </c>
      <c r="P110" s="15">
        <v>42.927777777777777</v>
      </c>
      <c r="Q110" s="22">
        <v>5.5555555555555552E-2</v>
      </c>
      <c r="R110" s="15">
        <v>8.9944444444444436</v>
      </c>
      <c r="S110" s="24">
        <f t="shared" si="8"/>
        <v>204.82222222222222</v>
      </c>
    </row>
    <row r="111" spans="1:19">
      <c r="A111" s="17">
        <f t="shared" si="7"/>
        <v>61</v>
      </c>
      <c r="B111" s="14">
        <v>89</v>
      </c>
      <c r="C111" s="13" t="s">
        <v>46</v>
      </c>
      <c r="D111" s="15">
        <v>40.783333333333331</v>
      </c>
      <c r="E111" s="22">
        <v>35.177777777777777</v>
      </c>
      <c r="F111" s="15">
        <v>30.977777777777778</v>
      </c>
      <c r="G111" s="15">
        <v>27.777777777777779</v>
      </c>
      <c r="H111" s="15">
        <v>28.822222222222223</v>
      </c>
      <c r="I111" s="15">
        <v>32.272222222222226</v>
      </c>
      <c r="J111" s="15">
        <v>30.838888888888889</v>
      </c>
      <c r="K111" s="22">
        <v>14.983333333333333</v>
      </c>
      <c r="L111" s="15">
        <v>9.2166666666666668</v>
      </c>
      <c r="M111" s="22">
        <v>0</v>
      </c>
      <c r="N111" s="15">
        <v>0</v>
      </c>
      <c r="O111" s="15">
        <v>0</v>
      </c>
      <c r="P111" s="15">
        <v>0</v>
      </c>
      <c r="Q111" s="22">
        <v>0</v>
      </c>
      <c r="R111" s="15">
        <v>41.488888888888887</v>
      </c>
      <c r="S111" s="24">
        <f t="shared" si="8"/>
        <v>250.85000000000002</v>
      </c>
    </row>
    <row r="112" spans="1:19">
      <c r="A112" s="17">
        <f t="shared" si="7"/>
        <v>62</v>
      </c>
      <c r="B112" s="14" t="s">
        <v>104</v>
      </c>
      <c r="C112" s="13" t="s">
        <v>105</v>
      </c>
      <c r="D112" s="15">
        <v>36.261111111111113</v>
      </c>
      <c r="E112" s="22">
        <v>26.433333333333334</v>
      </c>
      <c r="F112" s="15">
        <v>27.933333333333334</v>
      </c>
      <c r="G112" s="15">
        <v>29.588888888888889</v>
      </c>
      <c r="H112" s="15">
        <v>28.472222222222221</v>
      </c>
      <c r="I112" s="15">
        <v>31.211111111111112</v>
      </c>
      <c r="J112" s="15">
        <v>35.638888888888886</v>
      </c>
      <c r="K112" s="22">
        <v>32.15</v>
      </c>
      <c r="L112" s="15">
        <v>39.43888888888889</v>
      </c>
      <c r="M112" s="22">
        <v>27.266666666666666</v>
      </c>
      <c r="N112" s="15">
        <v>27.327777777777779</v>
      </c>
      <c r="O112" s="15">
        <v>18.172222222222221</v>
      </c>
      <c r="P112" s="15">
        <v>0</v>
      </c>
      <c r="Q112" s="22">
        <v>25.272222222222222</v>
      </c>
      <c r="R112" s="15">
        <v>271.27222222222224</v>
      </c>
      <c r="S112" s="24">
        <f t="shared" si="8"/>
        <v>385.16666666666669</v>
      </c>
    </row>
    <row r="113" spans="1:19">
      <c r="A113" s="17">
        <f t="shared" si="7"/>
        <v>63</v>
      </c>
      <c r="B113" s="14" t="s">
        <v>66</v>
      </c>
      <c r="C113" s="13" t="s">
        <v>67</v>
      </c>
      <c r="D113" s="15">
        <v>0</v>
      </c>
      <c r="E113" s="22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22">
        <v>0</v>
      </c>
      <c r="L113" s="15">
        <v>0</v>
      </c>
      <c r="M113" s="22">
        <v>52.255555555555553</v>
      </c>
      <c r="N113" s="15">
        <v>105.14444444444445</v>
      </c>
      <c r="O113" s="15">
        <v>96.044444444444451</v>
      </c>
      <c r="P113" s="15">
        <v>79</v>
      </c>
      <c r="Q113" s="22">
        <v>0</v>
      </c>
      <c r="R113" s="15">
        <v>1.4666666666666666</v>
      </c>
      <c r="S113" s="24">
        <f t="shared" si="8"/>
        <v>332.44444444444446</v>
      </c>
    </row>
    <row r="114" spans="1:19">
      <c r="A114" s="17">
        <f t="shared" si="7"/>
        <v>64</v>
      </c>
      <c r="B114" s="14" t="s">
        <v>56</v>
      </c>
      <c r="C114" s="13" t="s">
        <v>57</v>
      </c>
      <c r="D114" s="15">
        <v>95.3</v>
      </c>
      <c r="E114" s="22">
        <v>102.97222222222223</v>
      </c>
      <c r="F114" s="15">
        <v>104</v>
      </c>
      <c r="G114" s="15">
        <v>102.05555555555556</v>
      </c>
      <c r="H114" s="15">
        <v>104</v>
      </c>
      <c r="I114" s="15">
        <v>104</v>
      </c>
      <c r="J114" s="15">
        <v>127.07222222222222</v>
      </c>
      <c r="K114" s="22">
        <v>126.15555555555555</v>
      </c>
      <c r="L114" s="15">
        <v>124.56111111111112</v>
      </c>
      <c r="M114" s="22">
        <v>0</v>
      </c>
      <c r="N114" s="15">
        <v>0</v>
      </c>
      <c r="O114" s="15">
        <v>0</v>
      </c>
      <c r="P114" s="15">
        <v>0</v>
      </c>
      <c r="Q114" s="22">
        <v>3</v>
      </c>
      <c r="R114" s="15">
        <v>69.611111111111114</v>
      </c>
      <c r="S114" s="24">
        <f t="shared" si="8"/>
        <v>993.11666666666667</v>
      </c>
    </row>
    <row r="115" spans="1:19">
      <c r="A115" s="17">
        <f t="shared" si="7"/>
        <v>65</v>
      </c>
      <c r="B115" s="14" t="s">
        <v>156</v>
      </c>
      <c r="C115" s="13" t="s">
        <v>157</v>
      </c>
      <c r="D115" s="15">
        <v>0</v>
      </c>
      <c r="E115" s="22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22">
        <v>0</v>
      </c>
      <c r="L115" s="15">
        <v>0</v>
      </c>
      <c r="M115" s="22">
        <v>171.26111111111112</v>
      </c>
      <c r="N115" s="15">
        <v>78.144444444444446</v>
      </c>
      <c r="O115" s="15">
        <v>43.516666666666666</v>
      </c>
      <c r="P115" s="15">
        <v>4.583333333333333</v>
      </c>
      <c r="Q115" s="22">
        <v>1.4833333333333334</v>
      </c>
      <c r="R115" s="15">
        <v>31.616666666666667</v>
      </c>
      <c r="S115" s="24">
        <f t="shared" ref="S115:S128" si="9">SUM(D115:Q115)</f>
        <v>298.98888888888888</v>
      </c>
    </row>
    <row r="116" spans="1:19">
      <c r="A116" s="17">
        <f t="shared" ref="A116:A128" si="10">A115+1</f>
        <v>66</v>
      </c>
      <c r="B116" s="14" t="s">
        <v>106</v>
      </c>
      <c r="C116" s="13" t="s">
        <v>107</v>
      </c>
      <c r="D116" s="15">
        <v>110.53888888888889</v>
      </c>
      <c r="E116" s="22">
        <v>107.33888888888889</v>
      </c>
      <c r="F116" s="15">
        <v>106.7</v>
      </c>
      <c r="G116" s="15">
        <v>106.82777777777778</v>
      </c>
      <c r="H116" s="15">
        <v>106.01111111111111</v>
      </c>
      <c r="I116" s="15">
        <v>107.63333333333334</v>
      </c>
      <c r="J116" s="15">
        <v>105.29444444444445</v>
      </c>
      <c r="K116" s="22">
        <v>94.761111111111106</v>
      </c>
      <c r="L116" s="15">
        <v>93.8</v>
      </c>
      <c r="M116" s="22">
        <v>63.038888888888891</v>
      </c>
      <c r="N116" s="15">
        <v>0</v>
      </c>
      <c r="O116" s="15">
        <v>0</v>
      </c>
      <c r="P116" s="15">
        <v>0</v>
      </c>
      <c r="Q116" s="22">
        <v>2.0555555555555554</v>
      </c>
      <c r="R116" s="15">
        <v>89.5</v>
      </c>
      <c r="S116" s="24">
        <f t="shared" si="9"/>
        <v>1003.9999999999999</v>
      </c>
    </row>
    <row r="117" spans="1:19">
      <c r="A117" s="17">
        <f t="shared" si="10"/>
        <v>67</v>
      </c>
      <c r="B117" s="14">
        <v>94</v>
      </c>
      <c r="C117" s="13" t="s">
        <v>182</v>
      </c>
      <c r="D117" s="15">
        <v>150.73888888888888</v>
      </c>
      <c r="E117" s="22">
        <v>150.01666666666668</v>
      </c>
      <c r="F117" s="15">
        <v>134.72222222222223</v>
      </c>
      <c r="G117" s="15">
        <v>137.51666666666668</v>
      </c>
      <c r="H117" s="15">
        <v>106.63888888888889</v>
      </c>
      <c r="I117" s="15">
        <v>136.93333333333334</v>
      </c>
      <c r="J117" s="15">
        <v>108.46666666666667</v>
      </c>
      <c r="K117" s="22">
        <v>102.53888888888889</v>
      </c>
      <c r="L117" s="15">
        <v>83.422222222222217</v>
      </c>
      <c r="M117" s="22">
        <v>28.894444444444446</v>
      </c>
      <c r="N117" s="15">
        <v>0</v>
      </c>
      <c r="O117" s="15">
        <v>0</v>
      </c>
      <c r="P117" s="15">
        <v>0</v>
      </c>
      <c r="Q117" s="22">
        <v>17.077777777777779</v>
      </c>
      <c r="R117" s="15">
        <v>111.03333333333333</v>
      </c>
      <c r="S117" s="24">
        <f t="shared" si="9"/>
        <v>1156.9666666666669</v>
      </c>
    </row>
    <row r="118" spans="1:19">
      <c r="A118" s="17">
        <f t="shared" si="10"/>
        <v>68</v>
      </c>
      <c r="B118" s="14">
        <v>95</v>
      </c>
      <c r="C118" s="13" t="s">
        <v>49</v>
      </c>
      <c r="D118" s="15">
        <v>25.583333333333332</v>
      </c>
      <c r="E118" s="22">
        <v>50</v>
      </c>
      <c r="F118" s="15">
        <v>50</v>
      </c>
      <c r="G118" s="15">
        <v>49.994444444444447</v>
      </c>
      <c r="H118" s="15">
        <v>50</v>
      </c>
      <c r="I118" s="15">
        <v>49.977777777777774</v>
      </c>
      <c r="J118" s="15">
        <v>58.055555555555557</v>
      </c>
      <c r="K118" s="22">
        <v>50.56666666666667</v>
      </c>
      <c r="L118" s="15">
        <v>29.1</v>
      </c>
      <c r="M118" s="22">
        <v>0</v>
      </c>
      <c r="N118" s="15">
        <v>0</v>
      </c>
      <c r="O118" s="15">
        <v>0</v>
      </c>
      <c r="P118" s="15">
        <v>0</v>
      </c>
      <c r="Q118" s="22">
        <v>0</v>
      </c>
      <c r="R118" s="15">
        <v>29.516666666666666</v>
      </c>
      <c r="S118" s="24">
        <f t="shared" si="9"/>
        <v>413.27777777777777</v>
      </c>
    </row>
    <row r="119" spans="1:19">
      <c r="A119" s="17">
        <f t="shared" si="10"/>
        <v>69</v>
      </c>
      <c r="B119" s="14">
        <v>90</v>
      </c>
      <c r="C119" s="13" t="s">
        <v>186</v>
      </c>
      <c r="D119" s="15">
        <v>0</v>
      </c>
      <c r="E119" s="22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22">
        <v>0</v>
      </c>
      <c r="L119" s="15">
        <v>0</v>
      </c>
      <c r="M119" s="22">
        <v>85.62777777777778</v>
      </c>
      <c r="N119" s="15">
        <v>78.027777777777771</v>
      </c>
      <c r="O119" s="15">
        <v>84.8</v>
      </c>
      <c r="P119" s="15">
        <v>70.694444444444443</v>
      </c>
      <c r="Q119" s="22">
        <v>0</v>
      </c>
      <c r="R119" s="15">
        <v>30.933333333333334</v>
      </c>
      <c r="S119" s="24">
        <f t="shared" si="9"/>
        <v>319.15000000000003</v>
      </c>
    </row>
    <row r="120" spans="1:19">
      <c r="A120" s="17">
        <f t="shared" si="10"/>
        <v>70</v>
      </c>
      <c r="B120" s="14">
        <v>92</v>
      </c>
      <c r="C120" s="13" t="s">
        <v>47</v>
      </c>
      <c r="D120" s="15">
        <v>0</v>
      </c>
      <c r="E120" s="22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22">
        <v>0</v>
      </c>
      <c r="L120" s="15">
        <v>0</v>
      </c>
      <c r="M120" s="22">
        <v>13.761111111111111</v>
      </c>
      <c r="N120" s="15">
        <v>15.494444444444444</v>
      </c>
      <c r="O120" s="15">
        <v>14.25</v>
      </c>
      <c r="P120" s="15">
        <v>8.8222222222222229</v>
      </c>
      <c r="Q120" s="22">
        <v>0</v>
      </c>
      <c r="R120" s="15">
        <v>13.766666666666667</v>
      </c>
      <c r="S120" s="24">
        <f t="shared" si="9"/>
        <v>52.327777777777776</v>
      </c>
    </row>
    <row r="121" spans="1:19">
      <c r="A121" s="17">
        <f t="shared" si="10"/>
        <v>71</v>
      </c>
      <c r="B121" s="14" t="s">
        <v>162</v>
      </c>
      <c r="C121" s="13" t="s">
        <v>163</v>
      </c>
      <c r="D121" s="15">
        <v>9.4333333333333336</v>
      </c>
      <c r="E121" s="22">
        <v>13.611111111111111</v>
      </c>
      <c r="F121" s="15">
        <v>16.2</v>
      </c>
      <c r="G121" s="15">
        <v>15.25</v>
      </c>
      <c r="H121" s="15">
        <v>24.522222222222222</v>
      </c>
      <c r="I121" s="15">
        <v>18.18888888888889</v>
      </c>
      <c r="J121" s="15">
        <v>25.022222222222222</v>
      </c>
      <c r="K121" s="22">
        <v>29.2</v>
      </c>
      <c r="L121" s="15">
        <v>31.183333333333334</v>
      </c>
      <c r="M121" s="22">
        <v>38.844444444444441</v>
      </c>
      <c r="N121" s="15">
        <v>19.8</v>
      </c>
      <c r="O121" s="15">
        <v>15.511111111111111</v>
      </c>
      <c r="P121" s="15">
        <v>8.5388888888888896</v>
      </c>
      <c r="Q121" s="22">
        <v>0</v>
      </c>
      <c r="R121" s="15">
        <v>30.877777777777776</v>
      </c>
      <c r="S121" s="24">
        <f t="shared" si="9"/>
        <v>265.30555555555554</v>
      </c>
    </row>
    <row r="122" spans="1:19">
      <c r="A122" s="17">
        <f t="shared" si="10"/>
        <v>72</v>
      </c>
      <c r="B122" s="14" t="s">
        <v>68</v>
      </c>
      <c r="C122" s="13" t="s">
        <v>187</v>
      </c>
      <c r="D122" s="15">
        <v>0</v>
      </c>
      <c r="E122" s="22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22">
        <v>0</v>
      </c>
      <c r="L122" s="15">
        <v>0</v>
      </c>
      <c r="M122" s="22">
        <v>0</v>
      </c>
      <c r="N122" s="15">
        <v>134.61666666666667</v>
      </c>
      <c r="O122" s="15">
        <v>130.22222222222223</v>
      </c>
      <c r="P122" s="15">
        <v>115.95555555555555</v>
      </c>
      <c r="Q122" s="22">
        <v>0</v>
      </c>
      <c r="R122" s="15">
        <v>5</v>
      </c>
      <c r="S122" s="24">
        <f t="shared" si="9"/>
        <v>380.79444444444448</v>
      </c>
    </row>
    <row r="123" spans="1:19">
      <c r="A123" s="17">
        <f t="shared" si="10"/>
        <v>73</v>
      </c>
      <c r="B123" s="14" t="s">
        <v>138</v>
      </c>
      <c r="C123" s="13" t="s">
        <v>139</v>
      </c>
      <c r="D123" s="15">
        <v>128.33333333333334</v>
      </c>
      <c r="E123" s="22">
        <v>128.71111111111111</v>
      </c>
      <c r="F123" s="15">
        <v>110.91111111111111</v>
      </c>
      <c r="G123" s="15">
        <v>115.12777777777778</v>
      </c>
      <c r="H123" s="15">
        <v>150.07777777777778</v>
      </c>
      <c r="I123" s="15">
        <v>156.97222222222223</v>
      </c>
      <c r="J123" s="15">
        <v>158.99444444444444</v>
      </c>
      <c r="K123" s="22">
        <v>210.75</v>
      </c>
      <c r="L123" s="15">
        <v>278.4111111111111</v>
      </c>
      <c r="M123" s="22">
        <v>191.73888888888888</v>
      </c>
      <c r="N123" s="15">
        <v>134.62777777777777</v>
      </c>
      <c r="O123" s="15">
        <v>100.97777777777777</v>
      </c>
      <c r="P123" s="15">
        <v>63.572222222222223</v>
      </c>
      <c r="Q123" s="22">
        <v>15.816666666666666</v>
      </c>
      <c r="R123" s="15">
        <v>192.11666666666667</v>
      </c>
      <c r="S123" s="24">
        <f t="shared" si="9"/>
        <v>1945.0222222222221</v>
      </c>
    </row>
    <row r="124" spans="1:19">
      <c r="A124" s="17">
        <f t="shared" si="10"/>
        <v>74</v>
      </c>
      <c r="B124" s="14" t="s">
        <v>135</v>
      </c>
      <c r="C124" s="13" t="s">
        <v>136</v>
      </c>
      <c r="D124" s="15">
        <v>47.661111111111111</v>
      </c>
      <c r="E124" s="22">
        <v>47.9</v>
      </c>
      <c r="F124" s="15">
        <v>48.727777777777774</v>
      </c>
      <c r="G124" s="15">
        <v>48.338888888888889</v>
      </c>
      <c r="H124" s="15">
        <v>47.894444444444446</v>
      </c>
      <c r="I124" s="15">
        <v>47.905555555555559</v>
      </c>
      <c r="J124" s="15">
        <v>49.511111111111113</v>
      </c>
      <c r="K124" s="22">
        <v>48</v>
      </c>
      <c r="L124" s="15">
        <v>43.511111111111113</v>
      </c>
      <c r="M124" s="22">
        <v>44.027777777777779</v>
      </c>
      <c r="N124" s="15">
        <v>0</v>
      </c>
      <c r="O124" s="15">
        <v>0</v>
      </c>
      <c r="P124" s="15">
        <v>0</v>
      </c>
      <c r="Q124" s="22">
        <v>8.2777777777777786</v>
      </c>
      <c r="R124" s="15">
        <v>37.87222222222222</v>
      </c>
      <c r="S124" s="24">
        <f t="shared" si="9"/>
        <v>481.75555555555559</v>
      </c>
    </row>
    <row r="125" spans="1:19">
      <c r="A125" s="17">
        <f t="shared" si="10"/>
        <v>75</v>
      </c>
      <c r="B125" s="14" t="s">
        <v>148</v>
      </c>
      <c r="C125" s="13" t="s">
        <v>188</v>
      </c>
      <c r="D125" s="15">
        <v>93.605555555555554</v>
      </c>
      <c r="E125" s="22">
        <v>96.272222222222226</v>
      </c>
      <c r="F125" s="15">
        <v>104.53888888888889</v>
      </c>
      <c r="G125" s="15">
        <v>75.138888888888886</v>
      </c>
      <c r="H125" s="15">
        <v>96.75555555555556</v>
      </c>
      <c r="I125" s="15">
        <v>100.51111111111111</v>
      </c>
      <c r="J125" s="15">
        <v>99.61666666666666</v>
      </c>
      <c r="K125" s="22">
        <v>97.955555555555549</v>
      </c>
      <c r="L125" s="15">
        <v>61.361111111111114</v>
      </c>
      <c r="M125" s="22">
        <v>0</v>
      </c>
      <c r="N125" s="15">
        <v>0</v>
      </c>
      <c r="O125" s="15">
        <v>0</v>
      </c>
      <c r="P125" s="15">
        <v>0</v>
      </c>
      <c r="Q125" s="22">
        <v>8.2888888888888896</v>
      </c>
      <c r="R125" s="15">
        <v>93.45</v>
      </c>
      <c r="S125" s="24">
        <f t="shared" si="9"/>
        <v>834.04444444444437</v>
      </c>
    </row>
    <row r="126" spans="1:19">
      <c r="A126" s="17">
        <f t="shared" si="10"/>
        <v>76</v>
      </c>
      <c r="B126" s="14">
        <v>81</v>
      </c>
      <c r="C126" s="13" t="s">
        <v>189</v>
      </c>
      <c r="D126" s="15">
        <v>34.583333333333336</v>
      </c>
      <c r="E126" s="22">
        <v>39.700000000000003</v>
      </c>
      <c r="F126" s="15">
        <v>23.93888888888889</v>
      </c>
      <c r="G126" s="15">
        <v>31.483333333333334</v>
      </c>
      <c r="H126" s="15">
        <v>15.855555555555556</v>
      </c>
      <c r="I126" s="15">
        <v>25.844444444444445</v>
      </c>
      <c r="J126" s="15">
        <v>19.933333333333334</v>
      </c>
      <c r="K126" s="22">
        <v>23.822222222222223</v>
      </c>
      <c r="L126" s="15">
        <v>16.294444444444444</v>
      </c>
      <c r="M126" s="22">
        <v>27.577777777777779</v>
      </c>
      <c r="N126" s="15">
        <v>18.916666666666668</v>
      </c>
      <c r="O126" s="15">
        <v>23.083333333333332</v>
      </c>
      <c r="P126" s="15">
        <v>20.727777777777778</v>
      </c>
      <c r="Q126" s="22">
        <v>4.8166666666666664</v>
      </c>
      <c r="R126" s="15">
        <v>63.055555555555557</v>
      </c>
      <c r="S126" s="24">
        <f t="shared" si="9"/>
        <v>326.57777777777778</v>
      </c>
    </row>
    <row r="127" spans="1:19">
      <c r="A127" s="17">
        <f t="shared" si="10"/>
        <v>77</v>
      </c>
      <c r="B127" s="14" t="s">
        <v>72</v>
      </c>
      <c r="C127" s="13" t="s">
        <v>73</v>
      </c>
      <c r="D127" s="15">
        <v>51</v>
      </c>
      <c r="E127" s="22">
        <v>50.477777777777774</v>
      </c>
      <c r="F127" s="15">
        <v>50.344444444444441</v>
      </c>
      <c r="G127" s="15">
        <v>49.733333333333334</v>
      </c>
      <c r="H127" s="15">
        <v>49.533333333333331</v>
      </c>
      <c r="I127" s="15">
        <v>47.922222222222224</v>
      </c>
      <c r="J127" s="15">
        <v>71.849999999999994</v>
      </c>
      <c r="K127" s="22">
        <v>0</v>
      </c>
      <c r="L127" s="15">
        <v>0</v>
      </c>
      <c r="M127" s="22">
        <v>0</v>
      </c>
      <c r="N127" s="15">
        <v>0</v>
      </c>
      <c r="O127" s="15">
        <v>0</v>
      </c>
      <c r="P127" s="15">
        <v>0</v>
      </c>
      <c r="Q127" s="22">
        <v>1</v>
      </c>
      <c r="R127" s="15">
        <v>36.705555555555556</v>
      </c>
      <c r="S127" s="24">
        <f t="shared" si="9"/>
        <v>371.86111111111109</v>
      </c>
    </row>
    <row r="128" spans="1:19">
      <c r="A128" s="17">
        <f t="shared" si="10"/>
        <v>78</v>
      </c>
      <c r="B128" s="14" t="s">
        <v>155</v>
      </c>
      <c r="C128" s="13" t="s">
        <v>190</v>
      </c>
      <c r="D128" s="15">
        <v>47.6</v>
      </c>
      <c r="E128" s="22">
        <v>73.62777777777778</v>
      </c>
      <c r="F128" s="15">
        <v>63.888888888888886</v>
      </c>
      <c r="G128" s="15">
        <v>71.672222222222217</v>
      </c>
      <c r="H128" s="15">
        <v>70.11666666666666</v>
      </c>
      <c r="I128" s="15">
        <v>63.238888888888887</v>
      </c>
      <c r="J128" s="15">
        <v>47.93888888888889</v>
      </c>
      <c r="K128" s="22">
        <v>46.18888888888889</v>
      </c>
      <c r="L128" s="15">
        <v>31.727777777777778</v>
      </c>
      <c r="M128" s="22">
        <v>0</v>
      </c>
      <c r="N128" s="15">
        <v>0</v>
      </c>
      <c r="O128" s="15">
        <v>0</v>
      </c>
      <c r="P128" s="15">
        <v>0</v>
      </c>
      <c r="Q128" s="22">
        <v>3.7555555555555555</v>
      </c>
      <c r="R128" s="15">
        <v>44.31666666666667</v>
      </c>
      <c r="S128" s="24">
        <f t="shared" si="9"/>
        <v>519.75555555555559</v>
      </c>
    </row>
    <row r="129" spans="2:19" s="17" customFormat="1">
      <c r="B129" s="18"/>
      <c r="C129" s="8" t="s">
        <v>175</v>
      </c>
      <c r="D129" s="20">
        <f>SUM(D51:D128)</f>
        <v>3848.8277777777776</v>
      </c>
      <c r="E129" s="27">
        <f t="shared" ref="E129:R129" si="11">SUM(E51:E128)</f>
        <v>4117.2944444444456</v>
      </c>
      <c r="F129" s="20">
        <f t="shared" si="11"/>
        <v>4010.0166666666646</v>
      </c>
      <c r="G129" s="20">
        <f t="shared" si="11"/>
        <v>3895.5333333333338</v>
      </c>
      <c r="H129" s="20">
        <f t="shared" si="11"/>
        <v>3904.7777777777778</v>
      </c>
      <c r="I129" s="20">
        <f t="shared" si="11"/>
        <v>3916.3888888888882</v>
      </c>
      <c r="J129" s="20">
        <f t="shared" si="11"/>
        <v>3972.5388888888892</v>
      </c>
      <c r="K129" s="27">
        <f t="shared" si="11"/>
        <v>3599.9333333333329</v>
      </c>
      <c r="L129" s="20">
        <f t="shared" si="11"/>
        <v>3332.2666666666664</v>
      </c>
      <c r="M129" s="27">
        <f t="shared" si="11"/>
        <v>2987.7055555555562</v>
      </c>
      <c r="N129" s="20">
        <f t="shared" si="11"/>
        <v>2096.338888888889</v>
      </c>
      <c r="O129" s="20">
        <f t="shared" si="11"/>
        <v>1925.3333333333335</v>
      </c>
      <c r="P129" s="20">
        <f t="shared" si="11"/>
        <v>1483.7666666666667</v>
      </c>
      <c r="Q129" s="27">
        <f t="shared" si="11"/>
        <v>402.93333333333334</v>
      </c>
      <c r="R129" s="20">
        <f t="shared" si="11"/>
        <v>4283.2444444444454</v>
      </c>
      <c r="S129" s="27">
        <f>SUM(S51:S128)</f>
        <v>43493.655555555568</v>
      </c>
    </row>
  </sheetData>
  <sortState ref="B50:S127">
    <sortCondition ref="C50:C127"/>
  </sortState>
  <printOptions horizontalCentered="1"/>
  <pageMargins left="0.7" right="0.7" top="0.75" bottom="0.75" header="0.3" footer="0.3"/>
  <pageSetup scale="60" orientation="landscape" r:id="rId1"/>
  <headerFooter>
    <oddHeader>&amp;C&amp;"Arial,Bold"&amp;12Average Daily Membership (ADM), FY 2012</oddHeader>
    <oddFooter>&amp;L&amp;"Arial,Regular"&amp;7SOURCE: MSP_Input_Data_Year_End_2012.xlsx based on Year End UTREX data collection</oddFooter>
  </headerFooter>
  <rowBreaks count="1" manualBreakCount="1">
    <brk id="48" max="16383" man="1"/>
  </rowBreaks>
  <ignoredErrors>
    <ignoredError sqref="S4:S8 S31:S33 S24:S28 S29:S30 S9:S21 S34:S44 S22:S23 E45:P45 S4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Utah State Office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Raphael, Randy</dc:creator>
  <cp:lastModifiedBy>Valued Computer Owner</cp:lastModifiedBy>
  <cp:lastPrinted>2012-12-12T20:15:17Z</cp:lastPrinted>
  <dcterms:created xsi:type="dcterms:W3CDTF">2012-12-12T18:41:09Z</dcterms:created>
  <dcterms:modified xsi:type="dcterms:W3CDTF">2012-12-17T22:02:20Z</dcterms:modified>
</cp:coreProperties>
</file>