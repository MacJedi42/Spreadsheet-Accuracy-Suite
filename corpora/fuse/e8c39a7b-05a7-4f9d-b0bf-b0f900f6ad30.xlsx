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0115" windowHeight="7995"/>
  </bookViews>
  <sheets>
    <sheet name="English" sheetId="2" r:id="rId1"/>
    <sheet name="Sheet3" sheetId="3" r:id="rId2"/>
  </sheets>
  <calcPr calcId="125725" concurrentCalc="0"/>
</workbook>
</file>

<file path=xl/calcChain.xml><?xml version="1.0" encoding="utf-8"?>
<calcChain xmlns="http://schemas.openxmlformats.org/spreadsheetml/2006/main">
  <c r="D88" i="2"/>
  <c r="C67"/>
  <c r="C87"/>
  <c r="C60"/>
  <c r="C35"/>
  <c r="C31"/>
  <c r="C29"/>
  <c r="C47"/>
  <c r="C14"/>
  <c r="C13"/>
  <c r="C11"/>
  <c r="C4"/>
  <c r="C18"/>
  <c r="C88"/>
  <c r="F47"/>
  <c r="F87"/>
  <c r="F88"/>
  <c r="F18"/>
  <c r="F60"/>
</calcChain>
</file>

<file path=xl/sharedStrings.xml><?xml version="1.0" encoding="utf-8"?>
<sst xmlns="http://schemas.openxmlformats.org/spreadsheetml/2006/main" count="327" uniqueCount="137">
  <si>
    <t xml:space="preserve">1957/1978/ 1995 </t>
  </si>
  <si>
    <t>1993/1995</t>
  </si>
  <si>
    <t xml:space="preserve">1965/1995 </t>
  </si>
  <si>
    <t xml:space="preserve">1993/2000 </t>
  </si>
  <si>
    <t xml:space="preserve">1993/1998 </t>
  </si>
  <si>
    <t xml:space="preserve">1993/2004 </t>
  </si>
  <si>
    <t xml:space="preserve">1992/1995 </t>
  </si>
  <si>
    <t xml:space="preserve">1957/1995 </t>
  </si>
  <si>
    <t xml:space="preserve">1964/1995 </t>
  </si>
  <si>
    <t>A.Strictly Protected Areas</t>
  </si>
  <si>
    <t>Great Gobi "A" and "B"</t>
  </si>
  <si>
    <t>#</t>
  </si>
  <si>
    <t>Type</t>
  </si>
  <si>
    <t>Year (s) designated</t>
  </si>
  <si>
    <t>SPA</t>
  </si>
  <si>
    <t>Khukh Serkh</t>
  </si>
  <si>
    <t>Bogd Khan Mountain</t>
  </si>
  <si>
    <t>Khasagt Khairkhan</t>
  </si>
  <si>
    <t>Khan Khentii</t>
  </si>
  <si>
    <t>Numrug</t>
  </si>
  <si>
    <t>Dornod Mongol</t>
  </si>
  <si>
    <t>Mongol Daguur</t>
  </si>
  <si>
    <t>Otgontenger Mountain</t>
  </si>
  <si>
    <t>Uvs Nuur (lake)</t>
  </si>
  <si>
    <t>Small Gobi "A" and "B"</t>
  </si>
  <si>
    <t>Khoridol Saridag</t>
  </si>
  <si>
    <t>Ulaan Taiga</t>
  </si>
  <si>
    <t>Zed Khantai Buteelyn Nuruu</t>
  </si>
  <si>
    <t>SPA Subtotal</t>
  </si>
  <si>
    <t>B.National Parks</t>
  </si>
  <si>
    <t>Khuvsgul</t>
  </si>
  <si>
    <t>NP</t>
  </si>
  <si>
    <t>Khorgo Terkhyn Tsagaan Nuur (lake)</t>
  </si>
  <si>
    <t>Gobi Gurvan Saikhan</t>
  </si>
  <si>
    <t>Gorkhi Terelj</t>
  </si>
  <si>
    <t>Altai Tavan Bogd</t>
  </si>
  <si>
    <t>Khangai Nuruu</t>
  </si>
  <si>
    <t>Khar Us Nuur (lake)</t>
  </si>
  <si>
    <t>Noyon Khangai</t>
  </si>
  <si>
    <t>Khustai Nuruu</t>
  </si>
  <si>
    <t>Tsambagarav</t>
  </si>
  <si>
    <t>Siilemkhyn Nuruu</t>
  </si>
  <si>
    <t>Khan Khukhii</t>
  </si>
  <si>
    <t>Khyargas Nuur (lake)</t>
  </si>
  <si>
    <t>Tarbagtai Nuruu</t>
  </si>
  <si>
    <t>Onon Balj</t>
  </si>
  <si>
    <t>Tujyn Nars</t>
  </si>
  <si>
    <t>Myangan Ugalzat Nuruu</t>
  </si>
  <si>
    <t>Bulgan Gol (river) - Ikh Ongog</t>
  </si>
  <si>
    <t>Khugnu Tarna</t>
  </si>
  <si>
    <t>Dariganga</t>
  </si>
  <si>
    <t>Munkh Khairkhan Uul (mountain)</t>
  </si>
  <si>
    <t>Orkhon Valley</t>
  </si>
  <si>
    <t>Ikh Bogd Uul (mountain)</t>
  </si>
  <si>
    <t>Mongol Els</t>
  </si>
  <si>
    <t>Ulaagchny Khar Nuur (lake)</t>
  </si>
  <si>
    <t>Tengis Shishged River Basin</t>
  </si>
  <si>
    <t>NP subtotal</t>
  </si>
  <si>
    <t>C.Natural Monuments</t>
  </si>
  <si>
    <t>Bulgan Uul (mountain)</t>
  </si>
  <si>
    <t>Uran Togoo -Tulga Uul (mountain)</t>
  </si>
  <si>
    <t>Eej Khairkhan</t>
  </si>
  <si>
    <t>Khuisyn Naiman Nuur (lake)</t>
  </si>
  <si>
    <t>Suikhent Uul (mountain)</t>
  </si>
  <si>
    <t>Shilyn Bogd</t>
  </si>
  <si>
    <t>Khurgyn Khundy</t>
  </si>
  <si>
    <t>Dayandeerkhyn Agui</t>
  </si>
  <si>
    <t>Khuren Belchir</t>
  </si>
  <si>
    <t>Baga Gazryn Chuluu</t>
  </si>
  <si>
    <t>D.Nature Reserves</t>
  </si>
  <si>
    <t>Nagalkhaan Uul (mountain)</t>
  </si>
  <si>
    <t>Batkhaan Uul (mountain)</t>
  </si>
  <si>
    <t>Lkhachivandad uul (mountain)</t>
  </si>
  <si>
    <t>Ugtam</t>
  </si>
  <si>
    <t>Sharga Mankhan</t>
  </si>
  <si>
    <t>Zagiin Us</t>
  </si>
  <si>
    <t>Ikh Nart</t>
  </si>
  <si>
    <t>Alag Khairkhan</t>
  </si>
  <si>
    <t>Burkhan Buudai</t>
  </si>
  <si>
    <t>Ergelyn Zoo</t>
  </si>
  <si>
    <t>Toson Khulstai</t>
  </si>
  <si>
    <t>Khar Yamaat</t>
  </si>
  <si>
    <t>Yakhi Nuur (lake)</t>
  </si>
  <si>
    <t>Develyn Aral</t>
  </si>
  <si>
    <t>Khanjargalant</t>
  </si>
  <si>
    <t>Namnan Uul (mountain)</t>
  </si>
  <si>
    <t>Ikh Gazryn Chuluu</t>
  </si>
  <si>
    <t>Tesyn Gol (river)</t>
  </si>
  <si>
    <t>Altan Khukhii</t>
  </si>
  <si>
    <t>Bogd Uul (mountain)</t>
  </si>
  <si>
    <t>Burdene Bulag</t>
  </si>
  <si>
    <t>Ongon Tavan Bulag</t>
  </si>
  <si>
    <t>Delgerkhangai Uul (mountain)</t>
  </si>
  <si>
    <t>Choiryn Bogd Uul (mountain)</t>
  </si>
  <si>
    <t>NR Subtotal</t>
  </si>
  <si>
    <t>NM subtotal</t>
  </si>
  <si>
    <t>PA total</t>
  </si>
  <si>
    <t>Total territory of Mongolia</t>
  </si>
  <si>
    <t>Parliament Decree # 26</t>
  </si>
  <si>
    <t>Parliament Decree # 83 and 26</t>
  </si>
  <si>
    <t>Parliament Decree # 43</t>
  </si>
  <si>
    <t>Parliament Decree # 47</t>
  </si>
  <si>
    <t xml:space="preserve">National Park by 2003 Parliament Decree #30; SPA by 2011 Parliament Decree # 18 </t>
  </si>
  <si>
    <t xml:space="preserve">Parliament Decree # 18 </t>
  </si>
  <si>
    <t>Parliament Decree #83; extended in 2000</t>
  </si>
  <si>
    <t>Parliament Decree #83</t>
  </si>
  <si>
    <t>Parliament Decree #43</t>
  </si>
  <si>
    <t>Parliament Decree #47</t>
  </si>
  <si>
    <t>Parliament Decree #28</t>
  </si>
  <si>
    <t xml:space="preserve">Nature Reserve by Parliament Decree # 83; NP by Parliament Decree #115 </t>
  </si>
  <si>
    <t>Parliament Decree #29</t>
  </si>
  <si>
    <t>Parliament Decree #30</t>
  </si>
  <si>
    <t>Parliament Decree #39</t>
  </si>
  <si>
    <t xml:space="preserve">Ganga Nuur NM by 1993 Parliament Decree #83; NP by 2004 Parliament Decree #22 </t>
  </si>
  <si>
    <t>Parliament Decree #26</t>
  </si>
  <si>
    <t>Parliament Decree #5</t>
  </si>
  <si>
    <t>Parliament Decree #6</t>
  </si>
  <si>
    <t>Parliament Decree #18</t>
  </si>
  <si>
    <t>Parliament Decree #22</t>
  </si>
  <si>
    <t>Parliament Decree #06</t>
  </si>
  <si>
    <t xml:space="preserve">Small Khural Decree # 11/Parliament Decree #26 </t>
  </si>
  <si>
    <t>Small Khural's Decree #11</t>
  </si>
  <si>
    <t xml:space="preserve">Public Great Khural's Representative Order #31/Parliament Decree #26  </t>
  </si>
  <si>
    <t xml:space="preserve">Public Great Khural's Representative Order #17/Parliament Decree #26  </t>
  </si>
  <si>
    <t xml:space="preserve">SPA by Public Great Khural's Representative Order #17/NP by Parliament Decree #25 </t>
  </si>
  <si>
    <t xml:space="preserve">SPA Public Great Khural's Representative Order #17; NP by Parliament Decree #26 </t>
  </si>
  <si>
    <t xml:space="preserve"> Public Great Khural's Representative Order #17</t>
  </si>
  <si>
    <t>NR</t>
  </si>
  <si>
    <t>NM</t>
  </si>
  <si>
    <t xml:space="preserve">Decrees/Orders </t>
  </si>
  <si>
    <t>List of Specially Protected Areas in Mongolia, March 2012</t>
  </si>
  <si>
    <t>Protected areas</t>
  </si>
  <si>
    <t>IUCN category</t>
  </si>
  <si>
    <t>Size (hectares)</t>
  </si>
  <si>
    <t>Ib</t>
  </si>
  <si>
    <t>II</t>
  </si>
  <si>
    <t>III</t>
  </si>
</sst>
</file>

<file path=xl/styles.xml><?xml version="1.0" encoding="utf-8"?>
<styleSheet xmlns="http://schemas.openxmlformats.org/spreadsheetml/2006/main">
  <numFmts count="2">
    <numFmt numFmtId="164" formatCode="_(* #,##0.00_);_(* \(#,##0.00\);_(* &quot;-&quot;??_);_(@_)"/>
    <numFmt numFmtId="165" formatCode="_(* #,##0_);_(* \(#,##0\);_(* &quot;-&quot;??_);_(@_)"/>
  </numFmts>
  <fonts count="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10"/>
      <name val="Arial"/>
      <family val="2"/>
    </font>
    <font>
      <sz val="11"/>
      <color indexed="10"/>
      <name val="Arial"/>
      <family val="2"/>
    </font>
    <font>
      <b/>
      <sz val="14"/>
      <color indexed="6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165" fontId="0" fillId="0" borderId="0" xfId="1" applyNumberFormat="1" applyFont="1"/>
    <xf numFmtId="0" fontId="2" fillId="0" borderId="0" xfId="0" applyFont="1"/>
    <xf numFmtId="0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65" fontId="4" fillId="0" borderId="1" xfId="1" applyNumberFormat="1" applyFont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165" fontId="5" fillId="0" borderId="1" xfId="1" applyNumberFormat="1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165" fontId="4" fillId="2" borderId="1" xfId="1" applyNumberFormat="1" applyFont="1" applyFill="1" applyBorder="1" applyAlignment="1">
      <alignment vertical="top" wrapText="1"/>
    </xf>
    <xf numFmtId="10" fontId="4" fillId="2" borderId="1" xfId="2" applyNumberFormat="1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5" fontId="5" fillId="0" borderId="1" xfId="1" applyNumberFormat="1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165" fontId="4" fillId="3" borderId="1" xfId="1" applyNumberFormat="1" applyFont="1" applyFill="1" applyBorder="1" applyAlignment="1">
      <alignment vertical="top" wrapText="1"/>
    </xf>
    <xf numFmtId="10" fontId="4" fillId="3" borderId="1" xfId="2" applyNumberFormat="1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2" borderId="1" xfId="0" applyNumberFormat="1" applyFont="1" applyFill="1" applyBorder="1" applyAlignment="1">
      <alignment vertical="top" wrapText="1"/>
    </xf>
    <xf numFmtId="0" fontId="4" fillId="3" borderId="1" xfId="0" applyNumberFormat="1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165" fontId="5" fillId="0" borderId="1" xfId="1" applyNumberFormat="1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top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9"/>
  <sheetViews>
    <sheetView tabSelected="1" workbookViewId="0">
      <selection activeCell="F103" sqref="F103"/>
    </sheetView>
  </sheetViews>
  <sheetFormatPr defaultRowHeight="15"/>
  <cols>
    <col min="1" max="1" width="3.28515625" bestFit="1" customWidth="1"/>
    <col min="2" max="2" width="24.140625" bestFit="1" customWidth="1"/>
    <col min="3" max="3" width="13.7109375" style="1" bestFit="1" customWidth="1"/>
    <col min="4" max="4" width="5.7109375" style="1" bestFit="1" customWidth="1"/>
    <col min="5" max="5" width="7" style="1" customWidth="1"/>
    <col min="6" max="6" width="13.140625" customWidth="1"/>
    <col min="7" max="7" width="42.28515625" customWidth="1"/>
  </cols>
  <sheetData>
    <row r="1" spans="1:7" ht="18.75">
      <c r="A1" s="23" t="s">
        <v>130</v>
      </c>
      <c r="B1" s="23"/>
      <c r="C1" s="23"/>
      <c r="D1" s="23"/>
      <c r="E1" s="23"/>
      <c r="F1" s="23"/>
      <c r="G1" s="23"/>
    </row>
    <row r="2" spans="1:7" ht="45">
      <c r="A2" s="3" t="s">
        <v>11</v>
      </c>
      <c r="B2" s="4" t="s">
        <v>131</v>
      </c>
      <c r="C2" s="5" t="s">
        <v>133</v>
      </c>
      <c r="D2" s="5" t="s">
        <v>12</v>
      </c>
      <c r="E2" s="5" t="s">
        <v>132</v>
      </c>
      <c r="F2" s="4" t="s">
        <v>13</v>
      </c>
      <c r="G2" s="4" t="s">
        <v>129</v>
      </c>
    </row>
    <row r="3" spans="1:7">
      <c r="A3" s="24" t="s">
        <v>9</v>
      </c>
      <c r="B3" s="24"/>
      <c r="C3" s="24"/>
      <c r="D3" s="24"/>
      <c r="E3" s="24"/>
      <c r="F3" s="24"/>
      <c r="G3" s="24"/>
    </row>
    <row r="4" spans="1:7">
      <c r="A4" s="6">
        <v>1</v>
      </c>
      <c r="B4" s="7" t="s">
        <v>10</v>
      </c>
      <c r="C4" s="8">
        <f>4633299.8+927112.41</f>
        <v>5560412.21</v>
      </c>
      <c r="D4" s="8" t="s">
        <v>14</v>
      </c>
      <c r="E4" s="21" t="s">
        <v>134</v>
      </c>
      <c r="F4" s="7">
        <v>1975</v>
      </c>
      <c r="G4" s="7" t="s">
        <v>98</v>
      </c>
    </row>
    <row r="5" spans="1:7">
      <c r="A5" s="6">
        <v>2</v>
      </c>
      <c r="B5" s="7" t="s">
        <v>15</v>
      </c>
      <c r="C5" s="8">
        <v>75749.75</v>
      </c>
      <c r="D5" s="8" t="s">
        <v>14</v>
      </c>
      <c r="E5" s="21" t="s">
        <v>134</v>
      </c>
      <c r="F5" s="7">
        <v>1977</v>
      </c>
      <c r="G5" s="7" t="s">
        <v>98</v>
      </c>
    </row>
    <row r="6" spans="1:7" ht="28.5">
      <c r="A6" s="6">
        <v>3</v>
      </c>
      <c r="B6" s="7" t="s">
        <v>16</v>
      </c>
      <c r="C6" s="8">
        <v>41348.54</v>
      </c>
      <c r="D6" s="8" t="s">
        <v>14</v>
      </c>
      <c r="E6" s="21" t="s">
        <v>134</v>
      </c>
      <c r="F6" s="7" t="s">
        <v>0</v>
      </c>
      <c r="G6" s="7" t="s">
        <v>98</v>
      </c>
    </row>
    <row r="7" spans="1:7" ht="28.5">
      <c r="A7" s="6">
        <v>4</v>
      </c>
      <c r="B7" s="7" t="s">
        <v>17</v>
      </c>
      <c r="C7" s="8">
        <v>26760.57</v>
      </c>
      <c r="D7" s="8" t="s">
        <v>14</v>
      </c>
      <c r="E7" s="21" t="s">
        <v>134</v>
      </c>
      <c r="F7" s="7">
        <v>1965</v>
      </c>
      <c r="G7" s="7" t="s">
        <v>126</v>
      </c>
    </row>
    <row r="8" spans="1:7">
      <c r="A8" s="6">
        <v>5</v>
      </c>
      <c r="B8" s="7" t="s">
        <v>18</v>
      </c>
      <c r="C8" s="8">
        <v>1233514.05</v>
      </c>
      <c r="D8" s="8" t="s">
        <v>14</v>
      </c>
      <c r="E8" s="21" t="s">
        <v>134</v>
      </c>
      <c r="F8" s="7">
        <v>1992</v>
      </c>
      <c r="G8" s="7" t="s">
        <v>121</v>
      </c>
    </row>
    <row r="9" spans="1:7">
      <c r="A9" s="6">
        <v>6</v>
      </c>
      <c r="B9" s="7" t="s">
        <v>19</v>
      </c>
      <c r="C9" s="8">
        <v>320986.17</v>
      </c>
      <c r="D9" s="8" t="s">
        <v>14</v>
      </c>
      <c r="E9" s="21" t="s">
        <v>134</v>
      </c>
      <c r="F9" s="7">
        <v>1992</v>
      </c>
      <c r="G9" s="7" t="s">
        <v>121</v>
      </c>
    </row>
    <row r="10" spans="1:7">
      <c r="A10" s="6">
        <v>7</v>
      </c>
      <c r="B10" s="7" t="s">
        <v>20</v>
      </c>
      <c r="C10" s="8">
        <v>589907.01</v>
      </c>
      <c r="D10" s="8" t="s">
        <v>14</v>
      </c>
      <c r="E10" s="21" t="s">
        <v>134</v>
      </c>
      <c r="F10" s="7">
        <v>1992</v>
      </c>
      <c r="G10" s="7" t="s">
        <v>121</v>
      </c>
    </row>
    <row r="11" spans="1:7">
      <c r="A11" s="6">
        <v>8</v>
      </c>
      <c r="B11" s="7" t="s">
        <v>21</v>
      </c>
      <c r="C11" s="8">
        <f>92880.46+15273.19</f>
        <v>108153.65000000001</v>
      </c>
      <c r="D11" s="8" t="s">
        <v>14</v>
      </c>
      <c r="E11" s="21" t="s">
        <v>134</v>
      </c>
      <c r="F11" s="7">
        <v>1992</v>
      </c>
      <c r="G11" s="7" t="s">
        <v>121</v>
      </c>
    </row>
    <row r="12" spans="1:7">
      <c r="A12" s="6">
        <v>9</v>
      </c>
      <c r="B12" s="7" t="s">
        <v>22</v>
      </c>
      <c r="C12" s="8">
        <v>90498.66</v>
      </c>
      <c r="D12" s="8" t="s">
        <v>14</v>
      </c>
      <c r="E12" s="21" t="s">
        <v>134</v>
      </c>
      <c r="F12" s="7">
        <v>1992</v>
      </c>
      <c r="G12" s="7" t="s">
        <v>121</v>
      </c>
    </row>
    <row r="13" spans="1:7">
      <c r="A13" s="6">
        <v>10</v>
      </c>
      <c r="B13" s="7" t="s">
        <v>23</v>
      </c>
      <c r="C13" s="8">
        <f>441223.68+150244.28+130473.98+25537.7</f>
        <v>747479.6399999999</v>
      </c>
      <c r="D13" s="8" t="s">
        <v>14</v>
      </c>
      <c r="E13" s="21" t="s">
        <v>134</v>
      </c>
      <c r="F13" s="7" t="s">
        <v>1</v>
      </c>
      <c r="G13" s="7" t="s">
        <v>99</v>
      </c>
    </row>
    <row r="14" spans="1:7">
      <c r="A14" s="6">
        <v>11</v>
      </c>
      <c r="B14" s="7" t="s">
        <v>24</v>
      </c>
      <c r="C14" s="8">
        <f>1147813.25+682617.38</f>
        <v>1830430.63</v>
      </c>
      <c r="D14" s="8" t="s">
        <v>14</v>
      </c>
      <c r="E14" s="21" t="s">
        <v>134</v>
      </c>
      <c r="F14" s="7">
        <v>1996</v>
      </c>
      <c r="G14" s="7" t="s">
        <v>100</v>
      </c>
    </row>
    <row r="15" spans="1:7">
      <c r="A15" s="6">
        <v>12</v>
      </c>
      <c r="B15" s="7" t="s">
        <v>25</v>
      </c>
      <c r="C15" s="8">
        <v>226672.04</v>
      </c>
      <c r="D15" s="8" t="s">
        <v>14</v>
      </c>
      <c r="E15" s="21" t="s">
        <v>134</v>
      </c>
      <c r="F15" s="7">
        <v>1997</v>
      </c>
      <c r="G15" s="7" t="s">
        <v>101</v>
      </c>
    </row>
    <row r="16" spans="1:7" ht="28.5">
      <c r="A16" s="6">
        <v>13</v>
      </c>
      <c r="B16" s="7" t="s">
        <v>26</v>
      </c>
      <c r="C16" s="8">
        <v>431694.47</v>
      </c>
      <c r="D16" s="8" t="s">
        <v>14</v>
      </c>
      <c r="E16" s="21" t="s">
        <v>134</v>
      </c>
      <c r="F16" s="7">
        <v>2011</v>
      </c>
      <c r="G16" s="7" t="s">
        <v>102</v>
      </c>
    </row>
    <row r="17" spans="1:7" ht="28.5">
      <c r="A17" s="6">
        <v>14</v>
      </c>
      <c r="B17" s="7" t="s">
        <v>27</v>
      </c>
      <c r="C17" s="8">
        <v>604150.31999999995</v>
      </c>
      <c r="D17" s="8" t="s">
        <v>14</v>
      </c>
      <c r="E17" s="21" t="s">
        <v>134</v>
      </c>
      <c r="F17" s="7">
        <v>2011</v>
      </c>
      <c r="G17" s="7" t="s">
        <v>103</v>
      </c>
    </row>
    <row r="18" spans="1:7" s="2" customFormat="1">
      <c r="A18" s="9"/>
      <c r="B18" s="9" t="s">
        <v>28</v>
      </c>
      <c r="C18" s="10">
        <f>SUM(C4:C17)</f>
        <v>11887757.709999999</v>
      </c>
      <c r="D18" s="10">
        <v>14</v>
      </c>
      <c r="E18" s="10"/>
      <c r="F18" s="11">
        <f>C18/C88</f>
        <v>0.46322868946841173</v>
      </c>
      <c r="G18" s="9"/>
    </row>
    <row r="19" spans="1:7">
      <c r="A19" s="4"/>
      <c r="B19" s="12"/>
      <c r="C19" s="13"/>
      <c r="D19" s="13"/>
      <c r="E19" s="13"/>
      <c r="F19" s="12"/>
      <c r="G19" s="12"/>
    </row>
    <row r="20" spans="1:7">
      <c r="A20" s="25" t="s">
        <v>29</v>
      </c>
      <c r="B20" s="25"/>
      <c r="C20" s="25"/>
      <c r="D20" s="25"/>
      <c r="E20" s="25"/>
      <c r="F20" s="25"/>
      <c r="G20" s="25"/>
    </row>
    <row r="21" spans="1:7">
      <c r="A21" s="6">
        <v>1</v>
      </c>
      <c r="B21" s="7" t="s">
        <v>30</v>
      </c>
      <c r="C21" s="8">
        <v>1175602.17</v>
      </c>
      <c r="D21" s="8" t="s">
        <v>31</v>
      </c>
      <c r="E21" s="21" t="s">
        <v>135</v>
      </c>
      <c r="F21" s="7">
        <v>1992</v>
      </c>
      <c r="G21" s="7" t="s">
        <v>121</v>
      </c>
    </row>
    <row r="22" spans="1:7" ht="28.5">
      <c r="A22" s="6">
        <v>2</v>
      </c>
      <c r="B22" s="7" t="s">
        <v>32</v>
      </c>
      <c r="C22" s="8">
        <v>76893</v>
      </c>
      <c r="D22" s="8" t="s">
        <v>31</v>
      </c>
      <c r="E22" s="21" t="s">
        <v>135</v>
      </c>
      <c r="F22" s="7" t="s">
        <v>2</v>
      </c>
      <c r="G22" s="7" t="s">
        <v>125</v>
      </c>
    </row>
    <row r="23" spans="1:7">
      <c r="A23" s="6">
        <v>3</v>
      </c>
      <c r="B23" s="7" t="s">
        <v>33</v>
      </c>
      <c r="C23" s="8">
        <v>2697170.85</v>
      </c>
      <c r="D23" s="8" t="s">
        <v>31</v>
      </c>
      <c r="E23" s="21" t="s">
        <v>135</v>
      </c>
      <c r="F23" s="7" t="s">
        <v>3</v>
      </c>
      <c r="G23" s="7" t="s">
        <v>104</v>
      </c>
    </row>
    <row r="24" spans="1:7">
      <c r="A24" s="6">
        <v>4</v>
      </c>
      <c r="B24" s="7" t="s">
        <v>34</v>
      </c>
      <c r="C24" s="8">
        <v>291766.53000000003</v>
      </c>
      <c r="D24" s="8" t="s">
        <v>31</v>
      </c>
      <c r="E24" s="21" t="s">
        <v>135</v>
      </c>
      <c r="F24" s="7">
        <v>1993</v>
      </c>
      <c r="G24" s="7" t="s">
        <v>105</v>
      </c>
    </row>
    <row r="25" spans="1:7">
      <c r="A25" s="6">
        <v>5</v>
      </c>
      <c r="B25" s="7" t="s">
        <v>35</v>
      </c>
      <c r="C25" s="8">
        <v>656126.81999999995</v>
      </c>
      <c r="D25" s="8" t="s">
        <v>31</v>
      </c>
      <c r="E25" s="21" t="s">
        <v>135</v>
      </c>
      <c r="F25" s="7">
        <v>1996</v>
      </c>
      <c r="G25" s="7" t="s">
        <v>106</v>
      </c>
    </row>
    <row r="26" spans="1:7">
      <c r="A26" s="6">
        <v>6</v>
      </c>
      <c r="B26" s="7" t="s">
        <v>36</v>
      </c>
      <c r="C26" s="8">
        <v>906604.54</v>
      </c>
      <c r="D26" s="8" t="s">
        <v>31</v>
      </c>
      <c r="E26" s="21" t="s">
        <v>135</v>
      </c>
      <c r="F26" s="7">
        <v>1996</v>
      </c>
      <c r="G26" s="7" t="s">
        <v>106</v>
      </c>
    </row>
    <row r="27" spans="1:7">
      <c r="A27" s="6">
        <v>7</v>
      </c>
      <c r="B27" s="7" t="s">
        <v>37</v>
      </c>
      <c r="C27" s="8">
        <v>852997.25</v>
      </c>
      <c r="D27" s="8" t="s">
        <v>31</v>
      </c>
      <c r="E27" s="21" t="s">
        <v>135</v>
      </c>
      <c r="F27" s="7">
        <v>1997</v>
      </c>
      <c r="G27" s="7" t="s">
        <v>107</v>
      </c>
    </row>
    <row r="28" spans="1:7">
      <c r="A28" s="6">
        <v>8</v>
      </c>
      <c r="B28" s="7" t="s">
        <v>38</v>
      </c>
      <c r="C28" s="8">
        <v>56661.29</v>
      </c>
      <c r="D28" s="8" t="s">
        <v>31</v>
      </c>
      <c r="E28" s="21" t="s">
        <v>135</v>
      </c>
      <c r="F28" s="7">
        <v>1998</v>
      </c>
      <c r="G28" s="7" t="s">
        <v>108</v>
      </c>
    </row>
    <row r="29" spans="1:7" ht="28.5">
      <c r="A29" s="6">
        <v>9</v>
      </c>
      <c r="B29" s="7" t="s">
        <v>39</v>
      </c>
      <c r="C29" s="8">
        <f>48400.57+487.94</f>
        <v>48888.51</v>
      </c>
      <c r="D29" s="8" t="s">
        <v>31</v>
      </c>
      <c r="E29" s="21" t="s">
        <v>135</v>
      </c>
      <c r="F29" s="7" t="s">
        <v>4</v>
      </c>
      <c r="G29" s="7" t="s">
        <v>109</v>
      </c>
    </row>
    <row r="30" spans="1:7">
      <c r="A30" s="6">
        <v>10</v>
      </c>
      <c r="B30" s="7" t="s">
        <v>40</v>
      </c>
      <c r="C30" s="8">
        <v>113749.21</v>
      </c>
      <c r="D30" s="8" t="s">
        <v>31</v>
      </c>
      <c r="E30" s="21" t="s">
        <v>135</v>
      </c>
      <c r="F30" s="7">
        <v>2000</v>
      </c>
      <c r="G30" s="7" t="s">
        <v>110</v>
      </c>
    </row>
    <row r="31" spans="1:7">
      <c r="A31" s="6">
        <v>11</v>
      </c>
      <c r="B31" s="7" t="s">
        <v>41</v>
      </c>
      <c r="C31" s="8">
        <f>69959.89+77879.24</f>
        <v>147839.13</v>
      </c>
      <c r="D31" s="8" t="s">
        <v>31</v>
      </c>
      <c r="E31" s="21" t="s">
        <v>135</v>
      </c>
      <c r="F31" s="7">
        <v>2000</v>
      </c>
      <c r="G31" s="7" t="s">
        <v>110</v>
      </c>
    </row>
    <row r="32" spans="1:7">
      <c r="A32" s="6">
        <v>12</v>
      </c>
      <c r="B32" s="7" t="s">
        <v>42</v>
      </c>
      <c r="C32" s="8">
        <v>221598.28</v>
      </c>
      <c r="D32" s="8" t="s">
        <v>31</v>
      </c>
      <c r="E32" s="21" t="s">
        <v>135</v>
      </c>
      <c r="F32" s="7">
        <v>2000</v>
      </c>
      <c r="G32" s="7" t="s">
        <v>110</v>
      </c>
    </row>
    <row r="33" spans="1:7">
      <c r="A33" s="6">
        <v>13</v>
      </c>
      <c r="B33" s="7" t="s">
        <v>43</v>
      </c>
      <c r="C33" s="8">
        <v>341301.79</v>
      </c>
      <c r="D33" s="8" t="s">
        <v>31</v>
      </c>
      <c r="E33" s="21" t="s">
        <v>135</v>
      </c>
      <c r="F33" s="7">
        <v>2001</v>
      </c>
      <c r="G33" s="7" t="s">
        <v>110</v>
      </c>
    </row>
    <row r="34" spans="1:7">
      <c r="A34" s="6">
        <v>14</v>
      </c>
      <c r="B34" s="7" t="s">
        <v>44</v>
      </c>
      <c r="C34" s="8">
        <v>547629.9</v>
      </c>
      <c r="D34" s="8" t="s">
        <v>31</v>
      </c>
      <c r="E34" s="21" t="s">
        <v>135</v>
      </c>
      <c r="F34" s="7">
        <v>2000</v>
      </c>
      <c r="G34" s="7" t="s">
        <v>110</v>
      </c>
    </row>
    <row r="35" spans="1:7">
      <c r="A35" s="6">
        <v>15</v>
      </c>
      <c r="B35" s="7" t="s">
        <v>45</v>
      </c>
      <c r="C35" s="8">
        <f>294079.79+106387</f>
        <v>400466.79</v>
      </c>
      <c r="D35" s="8" t="s">
        <v>31</v>
      </c>
      <c r="E35" s="21" t="s">
        <v>135</v>
      </c>
      <c r="F35" s="7">
        <v>2000</v>
      </c>
      <c r="G35" s="7" t="s">
        <v>110</v>
      </c>
    </row>
    <row r="36" spans="1:7">
      <c r="A36" s="6">
        <v>16</v>
      </c>
      <c r="B36" s="7" t="s">
        <v>46</v>
      </c>
      <c r="C36" s="8">
        <v>70804.72</v>
      </c>
      <c r="D36" s="8" t="s">
        <v>31</v>
      </c>
      <c r="E36" s="21" t="s">
        <v>135</v>
      </c>
      <c r="F36" s="7">
        <v>2002</v>
      </c>
      <c r="G36" s="7" t="s">
        <v>112</v>
      </c>
    </row>
    <row r="37" spans="1:7">
      <c r="A37" s="6">
        <v>17</v>
      </c>
      <c r="B37" s="7" t="s">
        <v>47</v>
      </c>
      <c r="C37" s="8">
        <v>303775.07</v>
      </c>
      <c r="D37" s="8" t="s">
        <v>31</v>
      </c>
      <c r="E37" s="21" t="s">
        <v>135</v>
      </c>
      <c r="F37" s="7">
        <v>2002</v>
      </c>
      <c r="G37" s="7" t="s">
        <v>112</v>
      </c>
    </row>
    <row r="38" spans="1:7" ht="36.75" customHeight="1">
      <c r="A38" s="6">
        <v>18</v>
      </c>
      <c r="B38" s="7" t="s">
        <v>48</v>
      </c>
      <c r="C38" s="8">
        <v>92221.05</v>
      </c>
      <c r="D38" s="8" t="s">
        <v>31</v>
      </c>
      <c r="E38" s="21" t="s">
        <v>135</v>
      </c>
      <c r="F38" s="7">
        <v>2011</v>
      </c>
      <c r="G38" s="7" t="s">
        <v>124</v>
      </c>
    </row>
    <row r="39" spans="1:7">
      <c r="A39" s="6">
        <v>19</v>
      </c>
      <c r="B39" s="7" t="s">
        <v>49</v>
      </c>
      <c r="C39" s="8">
        <v>84143.06</v>
      </c>
      <c r="D39" s="8" t="s">
        <v>31</v>
      </c>
      <c r="E39" s="21" t="s">
        <v>135</v>
      </c>
      <c r="F39" s="7">
        <v>2003</v>
      </c>
      <c r="G39" s="7" t="s">
        <v>111</v>
      </c>
    </row>
    <row r="40" spans="1:7" ht="42.75">
      <c r="A40" s="6">
        <v>20</v>
      </c>
      <c r="B40" s="7" t="s">
        <v>50</v>
      </c>
      <c r="C40" s="8">
        <v>64547.61</v>
      </c>
      <c r="D40" s="8" t="s">
        <v>31</v>
      </c>
      <c r="E40" s="21" t="s">
        <v>135</v>
      </c>
      <c r="F40" s="7" t="s">
        <v>5</v>
      </c>
      <c r="G40" s="7" t="s">
        <v>113</v>
      </c>
    </row>
    <row r="41" spans="1:7" ht="28.5">
      <c r="A41" s="6">
        <v>21</v>
      </c>
      <c r="B41" s="7" t="s">
        <v>51</v>
      </c>
      <c r="C41" s="8">
        <v>506096.7</v>
      </c>
      <c r="D41" s="8" t="s">
        <v>31</v>
      </c>
      <c r="E41" s="21" t="s">
        <v>135</v>
      </c>
      <c r="F41" s="7">
        <v>2006</v>
      </c>
      <c r="G41" s="7" t="s">
        <v>114</v>
      </c>
    </row>
    <row r="42" spans="1:7">
      <c r="A42" s="6">
        <v>22</v>
      </c>
      <c r="B42" s="7" t="s">
        <v>52</v>
      </c>
      <c r="C42" s="8">
        <v>92717.99</v>
      </c>
      <c r="D42" s="8" t="s">
        <v>31</v>
      </c>
      <c r="E42" s="21" t="s">
        <v>135</v>
      </c>
      <c r="F42" s="7">
        <v>2006</v>
      </c>
      <c r="G42" s="7" t="s">
        <v>114</v>
      </c>
    </row>
    <row r="43" spans="1:7">
      <c r="A43" s="6">
        <v>23</v>
      </c>
      <c r="B43" s="7" t="s">
        <v>53</v>
      </c>
      <c r="C43" s="8">
        <v>262855.81</v>
      </c>
      <c r="D43" s="8" t="s">
        <v>31</v>
      </c>
      <c r="E43" s="21" t="s">
        <v>135</v>
      </c>
      <c r="F43" s="7">
        <v>2008</v>
      </c>
      <c r="G43" s="7" t="s">
        <v>115</v>
      </c>
    </row>
    <row r="44" spans="1:7">
      <c r="A44" s="6">
        <v>24</v>
      </c>
      <c r="B44" s="7" t="s">
        <v>54</v>
      </c>
      <c r="C44" s="8">
        <v>271313.42</v>
      </c>
      <c r="D44" s="8" t="s">
        <v>31</v>
      </c>
      <c r="E44" s="21" t="s">
        <v>135</v>
      </c>
      <c r="F44" s="7">
        <v>2010</v>
      </c>
      <c r="G44" s="7" t="s">
        <v>116</v>
      </c>
    </row>
    <row r="45" spans="1:7" ht="28.5">
      <c r="A45" s="6">
        <v>25</v>
      </c>
      <c r="B45" s="7" t="s">
        <v>55</v>
      </c>
      <c r="C45" s="8">
        <v>259403.39</v>
      </c>
      <c r="D45" s="8" t="s">
        <v>31</v>
      </c>
      <c r="E45" s="21" t="s">
        <v>135</v>
      </c>
      <c r="F45" s="7">
        <v>2010</v>
      </c>
      <c r="G45" s="7" t="s">
        <v>116</v>
      </c>
    </row>
    <row r="46" spans="1:7" ht="28.5">
      <c r="A46" s="6">
        <v>26</v>
      </c>
      <c r="B46" s="7" t="s">
        <v>56</v>
      </c>
      <c r="C46" s="8">
        <v>875711.51</v>
      </c>
      <c r="D46" s="8" t="s">
        <v>31</v>
      </c>
      <c r="E46" s="21" t="s">
        <v>135</v>
      </c>
      <c r="F46" s="7">
        <v>2011</v>
      </c>
      <c r="G46" s="7" t="s">
        <v>117</v>
      </c>
    </row>
    <row r="47" spans="1:7" s="2" customFormat="1">
      <c r="A47" s="14"/>
      <c r="B47" s="14" t="s">
        <v>57</v>
      </c>
      <c r="C47" s="15">
        <f>SUM(C21:C46)</f>
        <v>11418886.390000002</v>
      </c>
      <c r="D47" s="15">
        <v>26</v>
      </c>
      <c r="E47" s="15"/>
      <c r="F47" s="16">
        <f>C47/C88</f>
        <v>0.4449582424765271</v>
      </c>
      <c r="G47" s="14"/>
    </row>
    <row r="48" spans="1:7">
      <c r="A48" s="6"/>
      <c r="B48" s="7"/>
      <c r="C48" s="8"/>
      <c r="D48" s="8"/>
      <c r="E48" s="8"/>
      <c r="F48" s="7"/>
      <c r="G48" s="7"/>
    </row>
    <row r="49" spans="1:7">
      <c r="A49" s="22" t="s">
        <v>58</v>
      </c>
      <c r="B49" s="22"/>
      <c r="C49" s="22"/>
      <c r="D49" s="22"/>
      <c r="E49" s="22"/>
      <c r="F49" s="22"/>
      <c r="G49" s="22"/>
    </row>
    <row r="50" spans="1:7" ht="28.5">
      <c r="A50" s="6">
        <v>1</v>
      </c>
      <c r="B50" s="7" t="s">
        <v>59</v>
      </c>
      <c r="C50" s="8">
        <v>2000.12</v>
      </c>
      <c r="D50" s="8" t="s">
        <v>128</v>
      </c>
      <c r="E50" s="21" t="s">
        <v>136</v>
      </c>
      <c r="F50" s="7" t="s">
        <v>2</v>
      </c>
      <c r="G50" s="7" t="s">
        <v>123</v>
      </c>
    </row>
    <row r="51" spans="1:7" ht="28.5">
      <c r="A51" s="6">
        <v>2</v>
      </c>
      <c r="B51" s="7" t="s">
        <v>60</v>
      </c>
      <c r="C51" s="8">
        <v>5415.01</v>
      </c>
      <c r="D51" s="8" t="s">
        <v>128</v>
      </c>
      <c r="E51" s="21" t="s">
        <v>136</v>
      </c>
      <c r="F51" s="7" t="s">
        <v>2</v>
      </c>
      <c r="G51" s="7" t="s">
        <v>123</v>
      </c>
    </row>
    <row r="52" spans="1:7" ht="28.5">
      <c r="A52" s="6">
        <v>3</v>
      </c>
      <c r="B52" s="7" t="s">
        <v>61</v>
      </c>
      <c r="C52" s="8">
        <v>23095.96</v>
      </c>
      <c r="D52" s="8" t="s">
        <v>128</v>
      </c>
      <c r="E52" s="21" t="s">
        <v>136</v>
      </c>
      <c r="F52" s="7" t="s">
        <v>6</v>
      </c>
      <c r="G52" s="7" t="s">
        <v>120</v>
      </c>
    </row>
    <row r="53" spans="1:7" ht="28.5">
      <c r="A53" s="6">
        <v>4</v>
      </c>
      <c r="B53" s="7" t="s">
        <v>62</v>
      </c>
      <c r="C53" s="8">
        <v>11149.06</v>
      </c>
      <c r="D53" s="8" t="s">
        <v>128</v>
      </c>
      <c r="E53" s="21" t="s">
        <v>136</v>
      </c>
      <c r="F53" s="7" t="s">
        <v>6</v>
      </c>
      <c r="G53" s="7" t="s">
        <v>120</v>
      </c>
    </row>
    <row r="54" spans="1:7">
      <c r="A54" s="6">
        <v>5</v>
      </c>
      <c r="B54" s="7" t="s">
        <v>63</v>
      </c>
      <c r="C54" s="8">
        <v>4827.3500000000004</v>
      </c>
      <c r="D54" s="8" t="s">
        <v>128</v>
      </c>
      <c r="E54" s="21" t="s">
        <v>136</v>
      </c>
      <c r="F54" s="7">
        <v>1996</v>
      </c>
      <c r="G54" s="7" t="s">
        <v>106</v>
      </c>
    </row>
    <row r="55" spans="1:7">
      <c r="A55" s="6">
        <v>6</v>
      </c>
      <c r="B55" s="7" t="s">
        <v>64</v>
      </c>
      <c r="C55" s="8">
        <v>18136.919999999998</v>
      </c>
      <c r="D55" s="8" t="s">
        <v>128</v>
      </c>
      <c r="E55" s="21" t="s">
        <v>136</v>
      </c>
      <c r="F55" s="7">
        <v>2004</v>
      </c>
      <c r="G55" s="7" t="s">
        <v>118</v>
      </c>
    </row>
    <row r="56" spans="1:7">
      <c r="A56" s="6">
        <v>7</v>
      </c>
      <c r="B56" s="7" t="s">
        <v>65</v>
      </c>
      <c r="C56" s="8">
        <v>6104.31</v>
      </c>
      <c r="D56" s="8" t="s">
        <v>128</v>
      </c>
      <c r="E56" s="21" t="s">
        <v>136</v>
      </c>
      <c r="F56" s="7">
        <v>2004</v>
      </c>
      <c r="G56" s="7" t="s">
        <v>118</v>
      </c>
    </row>
    <row r="57" spans="1:7">
      <c r="A57" s="6">
        <v>8</v>
      </c>
      <c r="B57" s="7" t="s">
        <v>66</v>
      </c>
      <c r="C57" s="8">
        <v>31277.21</v>
      </c>
      <c r="D57" s="8" t="s">
        <v>128</v>
      </c>
      <c r="E57" s="21" t="s">
        <v>136</v>
      </c>
      <c r="F57" s="7">
        <v>2006</v>
      </c>
      <c r="G57" s="7" t="s">
        <v>114</v>
      </c>
    </row>
    <row r="58" spans="1:7">
      <c r="A58" s="6">
        <v>9</v>
      </c>
      <c r="B58" s="7" t="s">
        <v>67</v>
      </c>
      <c r="C58" s="8">
        <v>11842.77</v>
      </c>
      <c r="D58" s="8" t="s">
        <v>128</v>
      </c>
      <c r="E58" s="21" t="s">
        <v>136</v>
      </c>
      <c r="F58" s="7">
        <v>2010</v>
      </c>
      <c r="G58" s="7" t="s">
        <v>119</v>
      </c>
    </row>
    <row r="59" spans="1:7">
      <c r="A59" s="6">
        <v>10</v>
      </c>
      <c r="B59" s="7" t="s">
        <v>68</v>
      </c>
      <c r="C59" s="8">
        <v>2718.4</v>
      </c>
      <c r="D59" s="8" t="s">
        <v>128</v>
      </c>
      <c r="E59" s="21" t="s">
        <v>136</v>
      </c>
      <c r="F59" s="7">
        <v>2011</v>
      </c>
      <c r="G59" s="7" t="s">
        <v>117</v>
      </c>
    </row>
    <row r="60" spans="1:7" s="2" customFormat="1">
      <c r="A60" s="9"/>
      <c r="B60" s="9" t="s">
        <v>95</v>
      </c>
      <c r="C60" s="10">
        <f>SUM(C50:C59)</f>
        <v>116567.11</v>
      </c>
      <c r="D60" s="10">
        <v>10</v>
      </c>
      <c r="E60" s="10"/>
      <c r="F60" s="11">
        <f>C60/C88</f>
        <v>4.5422552274090883E-3</v>
      </c>
      <c r="G60" s="9"/>
    </row>
    <row r="61" spans="1:7">
      <c r="A61" s="4"/>
      <c r="B61" s="12"/>
      <c r="C61" s="13"/>
      <c r="D61" s="13"/>
      <c r="E61" s="13"/>
      <c r="F61" s="12"/>
      <c r="G61" s="12"/>
    </row>
    <row r="62" spans="1:7">
      <c r="A62" s="17"/>
      <c r="B62" s="22" t="s">
        <v>69</v>
      </c>
      <c r="C62" s="22"/>
      <c r="D62" s="22"/>
      <c r="E62" s="22"/>
      <c r="F62" s="22"/>
      <c r="G62" s="22"/>
    </row>
    <row r="63" spans="1:7" ht="28.5">
      <c r="A63" s="6">
        <v>1</v>
      </c>
      <c r="B63" s="7" t="s">
        <v>70</v>
      </c>
      <c r="C63" s="8">
        <v>1860.72</v>
      </c>
      <c r="D63" s="8" t="s">
        <v>127</v>
      </c>
      <c r="E63" s="21" t="s">
        <v>136</v>
      </c>
      <c r="F63" s="7" t="s">
        <v>7</v>
      </c>
      <c r="G63" s="7" t="s">
        <v>122</v>
      </c>
    </row>
    <row r="64" spans="1:7" ht="28.5">
      <c r="A64" s="6">
        <v>2</v>
      </c>
      <c r="B64" s="7" t="s">
        <v>71</v>
      </c>
      <c r="C64" s="8">
        <v>20229.3</v>
      </c>
      <c r="D64" s="8" t="s">
        <v>127</v>
      </c>
      <c r="E64" s="21" t="s">
        <v>136</v>
      </c>
      <c r="F64" s="7" t="s">
        <v>7</v>
      </c>
      <c r="G64" s="7" t="s">
        <v>122</v>
      </c>
    </row>
    <row r="65" spans="1:7" ht="28.5">
      <c r="A65" s="6">
        <v>3</v>
      </c>
      <c r="B65" s="7" t="s">
        <v>72</v>
      </c>
      <c r="C65" s="8">
        <v>58663.35</v>
      </c>
      <c r="D65" s="8" t="s">
        <v>127</v>
      </c>
      <c r="E65" s="21" t="s">
        <v>136</v>
      </c>
      <c r="F65" s="7" t="s">
        <v>8</v>
      </c>
      <c r="G65" s="7" t="s">
        <v>123</v>
      </c>
    </row>
    <row r="66" spans="1:7">
      <c r="A66" s="6">
        <v>4</v>
      </c>
      <c r="B66" s="7" t="s">
        <v>73</v>
      </c>
      <c r="C66" s="8">
        <v>46022.85</v>
      </c>
      <c r="D66" s="8" t="s">
        <v>127</v>
      </c>
      <c r="E66" s="21" t="s">
        <v>136</v>
      </c>
      <c r="F66" s="7">
        <v>1993</v>
      </c>
      <c r="G66" s="7" t="s">
        <v>105</v>
      </c>
    </row>
    <row r="67" spans="1:7">
      <c r="A67" s="6">
        <v>5</v>
      </c>
      <c r="B67" s="7" t="s">
        <v>74</v>
      </c>
      <c r="C67" s="8">
        <f>313630.64+82807.37</f>
        <v>396438.01</v>
      </c>
      <c r="D67" s="8" t="s">
        <v>127</v>
      </c>
      <c r="E67" s="21" t="s">
        <v>136</v>
      </c>
      <c r="F67" s="7">
        <v>1993</v>
      </c>
      <c r="G67" s="7" t="s">
        <v>105</v>
      </c>
    </row>
    <row r="68" spans="1:7">
      <c r="A68" s="6">
        <v>6</v>
      </c>
      <c r="B68" s="7" t="s">
        <v>75</v>
      </c>
      <c r="C68" s="8">
        <v>273571.24</v>
      </c>
      <c r="D68" s="8" t="s">
        <v>127</v>
      </c>
      <c r="E68" s="21" t="s">
        <v>136</v>
      </c>
      <c r="F68" s="7">
        <v>1996</v>
      </c>
      <c r="G68" s="7" t="s">
        <v>106</v>
      </c>
    </row>
    <row r="69" spans="1:7">
      <c r="A69" s="6">
        <v>7</v>
      </c>
      <c r="B69" s="7" t="s">
        <v>76</v>
      </c>
      <c r="C69" s="8">
        <v>66591.740000000005</v>
      </c>
      <c r="D69" s="8" t="s">
        <v>127</v>
      </c>
      <c r="E69" s="21" t="s">
        <v>136</v>
      </c>
      <c r="F69" s="7">
        <v>1996</v>
      </c>
      <c r="G69" s="7" t="s">
        <v>106</v>
      </c>
    </row>
    <row r="70" spans="1:7">
      <c r="A70" s="6">
        <v>8</v>
      </c>
      <c r="B70" s="7" t="s">
        <v>77</v>
      </c>
      <c r="C70" s="8">
        <v>36723.17</v>
      </c>
      <c r="D70" s="8" t="s">
        <v>127</v>
      </c>
      <c r="E70" s="21" t="s">
        <v>136</v>
      </c>
      <c r="F70" s="7">
        <v>1996</v>
      </c>
      <c r="G70" s="7" t="s">
        <v>106</v>
      </c>
    </row>
    <row r="71" spans="1:7">
      <c r="A71" s="6">
        <v>9</v>
      </c>
      <c r="B71" s="7" t="s">
        <v>78</v>
      </c>
      <c r="C71" s="8">
        <v>52170.42</v>
      </c>
      <c r="D71" s="8" t="s">
        <v>127</v>
      </c>
      <c r="E71" s="21" t="s">
        <v>136</v>
      </c>
      <c r="F71" s="7">
        <v>1996</v>
      </c>
      <c r="G71" s="7" t="s">
        <v>106</v>
      </c>
    </row>
    <row r="72" spans="1:7">
      <c r="A72" s="6">
        <v>10</v>
      </c>
      <c r="B72" s="7" t="s">
        <v>79</v>
      </c>
      <c r="C72" s="8">
        <v>59839.56</v>
      </c>
      <c r="D72" s="8" t="s">
        <v>127</v>
      </c>
      <c r="E72" s="21" t="s">
        <v>136</v>
      </c>
      <c r="F72" s="7">
        <v>1996</v>
      </c>
      <c r="G72" s="7" t="s">
        <v>106</v>
      </c>
    </row>
    <row r="73" spans="1:7">
      <c r="A73" s="6">
        <v>11</v>
      </c>
      <c r="B73" s="7" t="s">
        <v>80</v>
      </c>
      <c r="C73" s="8">
        <v>458509.79</v>
      </c>
      <c r="D73" s="8" t="s">
        <v>127</v>
      </c>
      <c r="E73" s="21" t="s">
        <v>136</v>
      </c>
      <c r="F73" s="7">
        <v>1998</v>
      </c>
      <c r="G73" s="7" t="s">
        <v>108</v>
      </c>
    </row>
    <row r="74" spans="1:7">
      <c r="A74" s="6">
        <v>12</v>
      </c>
      <c r="B74" s="7" t="s">
        <v>81</v>
      </c>
      <c r="C74" s="8">
        <v>50690.9</v>
      </c>
      <c r="D74" s="8" t="s">
        <v>127</v>
      </c>
      <c r="E74" s="21" t="s">
        <v>136</v>
      </c>
      <c r="F74" s="7">
        <v>1998</v>
      </c>
      <c r="G74" s="7" t="s">
        <v>108</v>
      </c>
    </row>
    <row r="75" spans="1:7">
      <c r="A75" s="6">
        <v>13</v>
      </c>
      <c r="B75" s="7" t="s">
        <v>82</v>
      </c>
      <c r="C75" s="8">
        <v>251217.96</v>
      </c>
      <c r="D75" s="8" t="s">
        <v>127</v>
      </c>
      <c r="E75" s="21" t="s">
        <v>136</v>
      </c>
      <c r="F75" s="7">
        <v>1998</v>
      </c>
      <c r="G75" s="7" t="s">
        <v>108</v>
      </c>
    </row>
    <row r="76" spans="1:7">
      <c r="A76" s="6">
        <v>14</v>
      </c>
      <c r="B76" s="7" t="s">
        <v>83</v>
      </c>
      <c r="C76" s="8">
        <v>10618.72</v>
      </c>
      <c r="D76" s="8" t="s">
        <v>127</v>
      </c>
      <c r="E76" s="21" t="s">
        <v>136</v>
      </c>
      <c r="F76" s="7">
        <v>2000</v>
      </c>
      <c r="G76" s="7" t="s">
        <v>108</v>
      </c>
    </row>
    <row r="77" spans="1:7">
      <c r="A77" s="6">
        <v>15</v>
      </c>
      <c r="B77" s="7" t="s">
        <v>84</v>
      </c>
      <c r="C77" s="8">
        <v>62918.81</v>
      </c>
      <c r="D77" s="8" t="s">
        <v>127</v>
      </c>
      <c r="E77" s="21" t="s">
        <v>136</v>
      </c>
      <c r="F77" s="7">
        <v>2003</v>
      </c>
      <c r="G77" s="7" t="s">
        <v>111</v>
      </c>
    </row>
    <row r="78" spans="1:7">
      <c r="A78" s="6">
        <v>16</v>
      </c>
      <c r="B78" s="7" t="s">
        <v>85</v>
      </c>
      <c r="C78" s="8">
        <v>29683.95</v>
      </c>
      <c r="D78" s="8" t="s">
        <v>127</v>
      </c>
      <c r="E78" s="21" t="s">
        <v>136</v>
      </c>
      <c r="F78" s="7">
        <v>2003</v>
      </c>
      <c r="G78" s="7" t="s">
        <v>111</v>
      </c>
    </row>
    <row r="79" spans="1:7">
      <c r="A79" s="6">
        <v>17</v>
      </c>
      <c r="B79" s="7" t="s">
        <v>86</v>
      </c>
      <c r="C79" s="8">
        <v>34067.49</v>
      </c>
      <c r="D79" s="8" t="s">
        <v>127</v>
      </c>
      <c r="E79" s="21" t="s">
        <v>136</v>
      </c>
      <c r="F79" s="7">
        <v>2003</v>
      </c>
      <c r="G79" s="7" t="s">
        <v>111</v>
      </c>
    </row>
    <row r="80" spans="1:7">
      <c r="A80" s="6">
        <v>18</v>
      </c>
      <c r="B80" s="7" t="s">
        <v>87</v>
      </c>
      <c r="C80" s="8">
        <v>103704.79</v>
      </c>
      <c r="D80" s="8" t="s">
        <v>127</v>
      </c>
      <c r="E80" s="21" t="s">
        <v>136</v>
      </c>
      <c r="F80" s="7">
        <v>2006</v>
      </c>
      <c r="G80" s="7" t="s">
        <v>114</v>
      </c>
    </row>
    <row r="81" spans="1:7">
      <c r="A81" s="6">
        <v>19</v>
      </c>
      <c r="B81" s="7" t="s">
        <v>88</v>
      </c>
      <c r="C81" s="8">
        <v>90735.039999999994</v>
      </c>
      <c r="D81" s="8" t="s">
        <v>127</v>
      </c>
      <c r="E81" s="21" t="s">
        <v>136</v>
      </c>
      <c r="F81" s="7">
        <v>2010</v>
      </c>
      <c r="G81" s="7" t="s">
        <v>116</v>
      </c>
    </row>
    <row r="82" spans="1:7">
      <c r="A82" s="6">
        <v>20</v>
      </c>
      <c r="B82" s="7" t="s">
        <v>89</v>
      </c>
      <c r="C82" s="8">
        <v>25670.29</v>
      </c>
      <c r="D82" s="8" t="s">
        <v>127</v>
      </c>
      <c r="E82" s="21" t="s">
        <v>136</v>
      </c>
      <c r="F82" s="7">
        <v>2011</v>
      </c>
      <c r="G82" s="7" t="s">
        <v>117</v>
      </c>
    </row>
    <row r="83" spans="1:7">
      <c r="A83" s="6">
        <v>21</v>
      </c>
      <c r="B83" s="7" t="s">
        <v>90</v>
      </c>
      <c r="C83" s="8">
        <v>36159.43</v>
      </c>
      <c r="D83" s="8" t="s">
        <v>127</v>
      </c>
      <c r="E83" s="21" t="s">
        <v>136</v>
      </c>
      <c r="F83" s="7">
        <v>2011</v>
      </c>
      <c r="G83" s="7" t="s">
        <v>117</v>
      </c>
    </row>
    <row r="84" spans="1:7">
      <c r="A84" s="6">
        <v>22</v>
      </c>
      <c r="B84" s="7" t="s">
        <v>91</v>
      </c>
      <c r="C84" s="8">
        <v>9939.11</v>
      </c>
      <c r="D84" s="8" t="s">
        <v>127</v>
      </c>
      <c r="E84" s="21" t="s">
        <v>136</v>
      </c>
      <c r="F84" s="7">
        <v>2011</v>
      </c>
      <c r="G84" s="7" t="s">
        <v>117</v>
      </c>
    </row>
    <row r="85" spans="1:7" ht="28.5">
      <c r="A85" s="6">
        <v>23</v>
      </c>
      <c r="B85" s="7" t="s">
        <v>92</v>
      </c>
      <c r="C85" s="8">
        <v>58324.1</v>
      </c>
      <c r="D85" s="8" t="s">
        <v>127</v>
      </c>
      <c r="E85" s="21" t="s">
        <v>136</v>
      </c>
      <c r="F85" s="7">
        <v>2011</v>
      </c>
      <c r="G85" s="7" t="s">
        <v>117</v>
      </c>
    </row>
    <row r="86" spans="1:7" ht="28.5">
      <c r="A86" s="6">
        <v>24</v>
      </c>
      <c r="B86" s="7" t="s">
        <v>93</v>
      </c>
      <c r="C86" s="8">
        <v>5265.03</v>
      </c>
      <c r="D86" s="8" t="s">
        <v>127</v>
      </c>
      <c r="E86" s="21" t="s">
        <v>136</v>
      </c>
      <c r="F86" s="7">
        <v>2011</v>
      </c>
      <c r="G86" s="7" t="s">
        <v>117</v>
      </c>
    </row>
    <row r="87" spans="1:7" s="2" customFormat="1">
      <c r="A87" s="18"/>
      <c r="B87" s="9" t="s">
        <v>94</v>
      </c>
      <c r="C87" s="10">
        <f>SUM(C63:C86)</f>
        <v>2239615.77</v>
      </c>
      <c r="D87" s="10">
        <v>24</v>
      </c>
      <c r="E87" s="10"/>
      <c r="F87" s="11">
        <f>C87/C88</f>
        <v>8.7270812827652089E-2</v>
      </c>
      <c r="G87" s="9"/>
    </row>
    <row r="88" spans="1:7">
      <c r="A88" s="19"/>
      <c r="B88" s="14" t="s">
        <v>96</v>
      </c>
      <c r="C88" s="15">
        <f>C18+C47+C60+C87</f>
        <v>25662826.98</v>
      </c>
      <c r="D88" s="15">
        <f>D18+D47+D60+D87</f>
        <v>74</v>
      </c>
      <c r="E88" s="15"/>
      <c r="F88" s="16">
        <f>C88/C89</f>
        <v>0.16407240243051027</v>
      </c>
      <c r="G88" s="20"/>
    </row>
    <row r="89" spans="1:7" ht="30">
      <c r="A89" s="3"/>
      <c r="B89" s="4" t="s">
        <v>97</v>
      </c>
      <c r="C89" s="5">
        <v>156411600</v>
      </c>
      <c r="D89" s="13"/>
      <c r="E89" s="13"/>
      <c r="F89" s="12"/>
      <c r="G89" s="12"/>
    </row>
  </sheetData>
  <mergeCells count="5">
    <mergeCell ref="B62:G62"/>
    <mergeCell ref="A1:G1"/>
    <mergeCell ref="A3:G3"/>
    <mergeCell ref="A20:G20"/>
    <mergeCell ref="A49:G49"/>
  </mergeCells>
  <phoneticPr fontId="0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claudia.paguaga</cp:lastModifiedBy>
  <cp:lastPrinted>2011-09-19T03:29:16Z</cp:lastPrinted>
  <dcterms:created xsi:type="dcterms:W3CDTF">2011-06-20T01:16:14Z</dcterms:created>
  <dcterms:modified xsi:type="dcterms:W3CDTF">2012-03-16T14:24:42Z</dcterms:modified>
</cp:coreProperties>
</file>