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440" windowHeight="10545" activeTab="2"/>
  </bookViews>
  <sheets>
    <sheet name="K-3" sheetId="4" r:id="rId1"/>
    <sheet name="Advanced" sheetId="5" r:id="rId2"/>
    <sheet name="Cross-Age" sheetId="8" r:id="rId3"/>
  </sheets>
  <calcPr calcId="125725"/>
</workbook>
</file>

<file path=xl/calcChain.xml><?xml version="1.0" encoding="utf-8"?>
<calcChain xmlns="http://schemas.openxmlformats.org/spreadsheetml/2006/main">
  <c r="H35" i="5"/>
  <c r="H40" i="4"/>
  <c r="H39"/>
  <c r="H38"/>
  <c r="H57" i="8"/>
  <c r="H56"/>
  <c r="H55"/>
  <c r="H54"/>
  <c r="H53"/>
  <c r="H52"/>
  <c r="H51"/>
  <c r="H50"/>
  <c r="H49"/>
  <c r="H48"/>
  <c r="H34" i="5"/>
  <c r="H33"/>
  <c r="H32"/>
  <c r="H31"/>
  <c r="H30"/>
  <c r="H29"/>
  <c r="H28"/>
  <c r="H44" i="8"/>
  <c r="H43"/>
  <c r="H42"/>
  <c r="H41"/>
  <c r="H40"/>
  <c r="H39"/>
  <c r="H38"/>
  <c r="H37"/>
  <c r="H17"/>
  <c r="H16"/>
  <c r="H36"/>
  <c r="H35"/>
  <c r="H34"/>
  <c r="H33"/>
  <c r="H32"/>
  <c r="H31"/>
  <c r="H30"/>
  <c r="H29"/>
  <c r="H28"/>
  <c r="H27"/>
  <c r="H26"/>
  <c r="H25"/>
  <c r="H24"/>
  <c r="H23"/>
  <c r="H22"/>
  <c r="H21"/>
  <c r="H15"/>
  <c r="H14"/>
  <c r="H13"/>
  <c r="H12"/>
  <c r="H24" i="5"/>
  <c r="H23"/>
  <c r="H22"/>
  <c r="H21"/>
  <c r="H20"/>
  <c r="H19"/>
  <c r="H18"/>
  <c r="H17"/>
  <c r="H32" i="4"/>
  <c r="H26"/>
  <c r="H25"/>
  <c r="H24"/>
  <c r="H23"/>
  <c r="H33"/>
  <c r="H31"/>
  <c r="H30"/>
  <c r="H29"/>
  <c r="H28"/>
  <c r="H20"/>
  <c r="H21"/>
  <c r="H22"/>
  <c r="H27"/>
  <c r="H34"/>
  <c r="H19"/>
  <c r="H13"/>
  <c r="H14"/>
  <c r="H15"/>
  <c r="H12"/>
  <c r="H13" i="5"/>
  <c r="H12"/>
  <c r="H41" i="4" l="1"/>
  <c r="H43" s="1"/>
  <c r="H58" i="8"/>
  <c r="H60" s="1"/>
  <c r="H37" i="5"/>
</calcChain>
</file>

<file path=xl/sharedStrings.xml><?xml version="1.0" encoding="utf-8"?>
<sst xmlns="http://schemas.openxmlformats.org/spreadsheetml/2006/main" count="542" uniqueCount="156">
  <si>
    <t>ISBN Number</t>
  </si>
  <si>
    <t>Level</t>
  </si>
  <si>
    <t>Price</t>
  </si>
  <si>
    <t>Catalog Page</t>
  </si>
  <si>
    <t>Quantity</t>
  </si>
  <si>
    <t>Total Price</t>
  </si>
  <si>
    <t>Description</t>
  </si>
  <si>
    <t>K-3 Order Form</t>
  </si>
  <si>
    <t>Scott Tasker</t>
  </si>
  <si>
    <t>stasker.books@comcast.net</t>
  </si>
  <si>
    <t>Cell: (801) 913-0973</t>
  </si>
  <si>
    <t>Fax: (801) 878-9949</t>
  </si>
  <si>
    <t>Total</t>
  </si>
  <si>
    <t>Grand Total</t>
  </si>
  <si>
    <t>Advanced Order Form</t>
  </si>
  <si>
    <t>Cross-Age Order Form</t>
  </si>
  <si>
    <t>Book Quantity</t>
  </si>
  <si>
    <t>A-E</t>
  </si>
  <si>
    <t>Choose from the following options to order:</t>
  </si>
  <si>
    <t>BILL TO:</t>
  </si>
  <si>
    <t>Name</t>
  </si>
  <si>
    <t>District/School</t>
  </si>
  <si>
    <t>3. Mail order to:</t>
  </si>
  <si>
    <t>Address</t>
  </si>
  <si>
    <t>City/State/Zip</t>
  </si>
  <si>
    <t>Phone  (       )</t>
  </si>
  <si>
    <t>Fax (        )</t>
  </si>
  <si>
    <t>P.O.#</t>
  </si>
  <si>
    <t>Payment Method:</t>
  </si>
  <si>
    <t>SHIP TO: (if different)</t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</si>
  <si>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Check/Money Order Enclosed</t>
    </r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</si>
  <si>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Visa</t>
    </r>
  </si>
  <si>
    <t>Card Number</t>
  </si>
  <si>
    <t>Expiration Date</t>
  </si>
  <si>
    <t>Signature</t>
  </si>
  <si>
    <t>E-mail</t>
  </si>
  <si>
    <t>www.benchmarkeducation.com</t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</si>
  <si>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MasterCard</t>
    </r>
  </si>
  <si>
    <t>FREE S &amp; H</t>
  </si>
  <si>
    <t>A-M</t>
  </si>
  <si>
    <t>Leveled Texts</t>
  </si>
  <si>
    <t>Abe Denzer</t>
  </si>
  <si>
    <t>Cell: (801) 573-4281</t>
  </si>
  <si>
    <t>adenzer.books@gmail.com</t>
  </si>
  <si>
    <t>J-R</t>
  </si>
  <si>
    <t>106-107</t>
  </si>
  <si>
    <t>108-109</t>
  </si>
  <si>
    <t>STAR Tutoring Form 2013-2014</t>
  </si>
  <si>
    <t>Mondo Publishing</t>
  </si>
  <si>
    <t>60-38X</t>
  </si>
  <si>
    <t>Grade K Classroom Library, Bookshop series</t>
  </si>
  <si>
    <t>A-K</t>
  </si>
  <si>
    <t>54-59</t>
  </si>
  <si>
    <t>60-398</t>
  </si>
  <si>
    <t>Grade 1 Classroom Library, Bookshop series</t>
  </si>
  <si>
    <t>60-65</t>
  </si>
  <si>
    <t>60-401</t>
  </si>
  <si>
    <t>Grade 2 Classroom Library, Bookshop series</t>
  </si>
  <si>
    <t>Grade 3 Classroom Library, Bookshop series</t>
  </si>
  <si>
    <t>E-P</t>
  </si>
  <si>
    <t>66-70</t>
  </si>
  <si>
    <t>J-S</t>
  </si>
  <si>
    <t>60-41X</t>
  </si>
  <si>
    <t>71-73</t>
  </si>
  <si>
    <t>54-288</t>
  </si>
  <si>
    <t>Grade 4 Classroom Library, Bookshop series</t>
  </si>
  <si>
    <t>L-T</t>
  </si>
  <si>
    <t>74-76</t>
  </si>
  <si>
    <t>54-295</t>
  </si>
  <si>
    <t>Grade 5 Classroom Library, Bookshop series</t>
  </si>
  <si>
    <t>L-X</t>
  </si>
  <si>
    <t>77-79</t>
  </si>
  <si>
    <t>Reading Safari, Real-Life Reading</t>
  </si>
  <si>
    <t>33-479</t>
  </si>
  <si>
    <t>Grade K add-on pack</t>
  </si>
  <si>
    <t>35-153</t>
  </si>
  <si>
    <t>Grade K Magazine Add-on Pack</t>
  </si>
  <si>
    <t>35-161</t>
  </si>
  <si>
    <t>Grade K Little Book Add-on Pack</t>
  </si>
  <si>
    <t>35-17X</t>
  </si>
  <si>
    <t>Grade K Encyclofact Add-on Pack</t>
  </si>
  <si>
    <t>Grade 1 add-on pack</t>
  </si>
  <si>
    <t>Grade 1 Magazine Add-on Pack</t>
  </si>
  <si>
    <t>Grade 1 Little Book Add-on Pack</t>
  </si>
  <si>
    <t>Grade 1 Encyclofact Add-on Pack</t>
  </si>
  <si>
    <t>Grade 2 add-on pack</t>
  </si>
  <si>
    <t>Grade 2 Magazine Add-on Pack</t>
  </si>
  <si>
    <t>Grade 2 Little Book Add-on Pack</t>
  </si>
  <si>
    <t>Grade 2 Encyclofact Add-on Pack</t>
  </si>
  <si>
    <t>Grade 3 Encyclofact Add-on Pack</t>
  </si>
  <si>
    <t>33-487</t>
  </si>
  <si>
    <t>35-188</t>
  </si>
  <si>
    <t>35-196</t>
  </si>
  <si>
    <t>35-20X</t>
  </si>
  <si>
    <t>B-J</t>
  </si>
  <si>
    <t>37-296</t>
  </si>
  <si>
    <t>37-687</t>
  </si>
  <si>
    <t>37-709</t>
  </si>
  <si>
    <t>37-695</t>
  </si>
  <si>
    <t>F-O</t>
  </si>
  <si>
    <t>110-111</t>
  </si>
  <si>
    <t>37-318</t>
  </si>
  <si>
    <t>37-776</t>
  </si>
  <si>
    <t>37-792</t>
  </si>
  <si>
    <t>37-784</t>
  </si>
  <si>
    <t>112-113</t>
  </si>
  <si>
    <t>Bookshop Leveled Texts</t>
  </si>
  <si>
    <t>66-329</t>
  </si>
  <si>
    <t>66-345</t>
  </si>
  <si>
    <t>66-388</t>
  </si>
  <si>
    <t>66-361</t>
  </si>
  <si>
    <t>Grade 4 Encyclofact Add-on Pack</t>
  </si>
  <si>
    <t>Grade 5 Encyclofact Add-on Pack</t>
  </si>
  <si>
    <t>O-T</t>
  </si>
  <si>
    <t>114-115</t>
  </si>
  <si>
    <t>66-442</t>
  </si>
  <si>
    <t>66-469</t>
  </si>
  <si>
    <t>66-507</t>
  </si>
  <si>
    <t>66-485</t>
  </si>
  <si>
    <t>R-W</t>
  </si>
  <si>
    <t>116-117</t>
  </si>
  <si>
    <t>1. Fax order to 1-888-532-4492</t>
  </si>
  <si>
    <t>2. Call Customer Service 1-886-6636</t>
  </si>
  <si>
    <t>980 Avenue of the Americas</t>
  </si>
  <si>
    <t>New York, NY  10018</t>
  </si>
  <si>
    <t>FREE</t>
  </si>
  <si>
    <t>Persuasive and Argument Texts</t>
  </si>
  <si>
    <t>Should We Use Green Energy</t>
  </si>
  <si>
    <t>Should There be Presidential Term Limits?</t>
  </si>
  <si>
    <t>Should the Electoral College be Abolished?</t>
  </si>
  <si>
    <t>Should We Drill for Oil in Protected Areas?</t>
  </si>
  <si>
    <t>Are Organized Sports Better for Kids than Pickup Games?</t>
  </si>
  <si>
    <t>Is it Better to be Judged by a Jury of Your Peers Than by a Judge?</t>
  </si>
  <si>
    <t>Should There be Space Exploration?</t>
  </si>
  <si>
    <t>S</t>
  </si>
  <si>
    <t>Should We Have Pets?</t>
  </si>
  <si>
    <t>Should There be Zoos?</t>
  </si>
  <si>
    <t>Should Kids Play Video Games?</t>
  </si>
  <si>
    <t>677-08</t>
  </si>
  <si>
    <t>19-928</t>
  </si>
  <si>
    <t>19-843</t>
  </si>
  <si>
    <t>67-678</t>
  </si>
  <si>
    <t>67-651</t>
  </si>
  <si>
    <t>67-686</t>
  </si>
  <si>
    <t>68-275</t>
  </si>
  <si>
    <t>40-442</t>
  </si>
  <si>
    <t>58-172</t>
  </si>
  <si>
    <t>63-389</t>
  </si>
  <si>
    <t>X</t>
  </si>
  <si>
    <t>R</t>
  </si>
  <si>
    <t>W</t>
  </si>
  <si>
    <t>T</t>
  </si>
  <si>
    <t>V</t>
  </si>
  <si>
    <t>K</t>
  </si>
  <si>
    <t>N</t>
  </si>
  <si>
    <t>P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</si>
</sst>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Alignment="1" applyProtection="1">
      <alignment wrapText="1"/>
    </xf>
    <xf numFmtId="0" fontId="0" fillId="0" borderId="0" xfId="0" applyProtection="1"/>
    <xf numFmtId="0" fontId="1" fillId="0" borderId="0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wrapText="1"/>
    </xf>
    <xf numFmtId="0" fontId="0" fillId="0" borderId="0" xfId="0" applyAlignment="1" applyProtection="1">
      <alignment horizontal="left"/>
    </xf>
    <xf numFmtId="0" fontId="3" fillId="0" borderId="0" xfId="1" applyAlignment="1" applyProtection="1">
      <alignment horizontal="left"/>
    </xf>
    <xf numFmtId="0" fontId="0" fillId="0" borderId="12" xfId="0" applyBorder="1" applyProtection="1"/>
    <xf numFmtId="0" fontId="3" fillId="0" borderId="13" xfId="1" applyBorder="1" applyAlignment="1" applyProtection="1"/>
    <xf numFmtId="0" fontId="0" fillId="0" borderId="13" xfId="0" applyBorder="1" applyProtection="1"/>
    <xf numFmtId="0" fontId="3" fillId="0" borderId="5" xfId="1" applyBorder="1" applyAlignment="1" applyProtection="1">
      <alignment wrapText="1"/>
    </xf>
    <xf numFmtId="0" fontId="3" fillId="0" borderId="13" xfId="1" applyBorder="1" applyAlignment="1" applyProtection="1">
      <protection locked="0"/>
    </xf>
    <xf numFmtId="0" fontId="3" fillId="0" borderId="5" xfId="1" applyBorder="1" applyAlignment="1" applyProtection="1">
      <alignment wrapText="1"/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 applyProtection="1">
      <alignment horizontal="left" wrapText="1"/>
    </xf>
    <xf numFmtId="0" fontId="0" fillId="0" borderId="1" xfId="0" applyFont="1" applyBorder="1" applyAlignment="1" applyProtection="1">
      <alignment horizontal="center"/>
    </xf>
    <xf numFmtId="8" fontId="0" fillId="0" borderId="1" xfId="2" applyNumberFormat="1" applyFont="1" applyBorder="1" applyAlignment="1" applyProtection="1">
      <alignment horizontal="center"/>
    </xf>
    <xf numFmtId="0" fontId="0" fillId="0" borderId="1" xfId="0" applyBorder="1" applyAlignment="1" applyProtection="1">
      <alignment horizontal="left"/>
    </xf>
    <xf numFmtId="8" fontId="0" fillId="0" borderId="1" xfId="0" applyNumberForma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2" xfId="0" applyBorder="1" applyAlignment="1" applyProtection="1">
      <alignment horizontal="left" wrapText="1"/>
    </xf>
    <xf numFmtId="8" fontId="0" fillId="0" borderId="2" xfId="0" applyNumberForma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left" wrapText="1"/>
    </xf>
    <xf numFmtId="8" fontId="0" fillId="0" borderId="0" xfId="0" applyNumberFormat="1" applyBorder="1" applyAlignment="1" applyProtection="1">
      <alignment horizontal="center"/>
    </xf>
    <xf numFmtId="8" fontId="0" fillId="0" borderId="0" xfId="0" applyNumberFormat="1" applyProtection="1"/>
    <xf numFmtId="0" fontId="1" fillId="0" borderId="0" xfId="0" applyFont="1" applyProtection="1"/>
    <xf numFmtId="8" fontId="1" fillId="0" borderId="0" xfId="0" applyNumberFormat="1" applyFont="1" applyProtection="1"/>
    <xf numFmtId="0" fontId="0" fillId="0" borderId="0" xfId="0" applyAlignment="1" applyProtection="1">
      <alignment wrapText="1"/>
      <protection locked="0"/>
    </xf>
    <xf numFmtId="0" fontId="0" fillId="0" borderId="0" xfId="0" applyBorder="1" applyAlignment="1" applyProtection="1">
      <alignment wrapText="1"/>
    </xf>
    <xf numFmtId="8" fontId="0" fillId="0" borderId="0" xfId="0" applyNumberForma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3" fillId="0" borderId="10" xfId="1" applyBorder="1" applyAlignment="1" applyProtection="1">
      <alignment horizontal="center" wrapText="1"/>
    </xf>
    <xf numFmtId="0" fontId="3" fillId="0" borderId="3" xfId="1" applyBorder="1" applyAlignment="1" applyProtection="1">
      <alignment horizontal="center" wrapText="1"/>
    </xf>
    <xf numFmtId="0" fontId="3" fillId="0" borderId="11" xfId="1" applyBorder="1" applyAlignment="1" applyProtection="1">
      <alignment horizontal="center" wrapText="1"/>
    </xf>
    <xf numFmtId="0" fontId="0" fillId="0" borderId="6" xfId="0" applyBorder="1" applyAlignment="1" applyProtection="1">
      <alignment horizontal="left"/>
    </xf>
    <xf numFmtId="0" fontId="0" fillId="0" borderId="2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3" fillId="0" borderId="8" xfId="1" applyBorder="1" applyAlignment="1" applyProtection="1">
      <alignment horizontal="left"/>
    </xf>
    <xf numFmtId="0" fontId="3" fillId="0" borderId="0" xfId="1" applyBorder="1" applyAlignment="1" applyProtection="1">
      <alignment horizontal="left"/>
    </xf>
    <xf numFmtId="0" fontId="3" fillId="0" borderId="9" xfId="1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0" fillId="0" borderId="9" xfId="0" applyBorder="1" applyAlignment="1" applyProtection="1">
      <alignment horizontal="left"/>
    </xf>
    <xf numFmtId="0" fontId="3" fillId="0" borderId="10" xfId="1" applyBorder="1" applyAlignment="1" applyProtection="1">
      <alignment horizontal="center" wrapText="1"/>
      <protection locked="0"/>
    </xf>
    <xf numFmtId="0" fontId="3" fillId="0" borderId="3" xfId="1" applyBorder="1" applyAlignment="1" applyProtection="1">
      <alignment horizontal="center" wrapText="1"/>
      <protection locked="0"/>
    </xf>
    <xf numFmtId="0" fontId="3" fillId="0" borderId="11" xfId="1" applyBorder="1" applyAlignment="1" applyProtection="1">
      <alignment horizontal="center" wrapText="1"/>
      <protection locked="0"/>
    </xf>
    <xf numFmtId="0" fontId="3" fillId="0" borderId="8" xfId="1" applyBorder="1" applyAlignment="1" applyProtection="1">
      <alignment horizontal="left"/>
      <protection locked="0"/>
    </xf>
    <xf numFmtId="0" fontId="3" fillId="0" borderId="0" xfId="1" applyBorder="1" applyAlignment="1" applyProtection="1">
      <alignment horizontal="left"/>
      <protection locked="0"/>
    </xf>
    <xf numFmtId="0" fontId="3" fillId="0" borderId="9" xfId="1" applyBorder="1" applyAlignment="1" applyProtection="1">
      <alignment horizontal="left"/>
      <protection locked="0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1247775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1906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1257300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200150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1247775</xdr:colOff>
      <xdr:row>6</xdr:row>
      <xdr:rowOff>28575</xdr:rowOff>
    </xdr:to>
    <xdr:pic>
      <xdr:nvPicPr>
        <xdr:cNvPr id="2" name="Picture 1" descr="Sta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11906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enzer.book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denzer.books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enchmarkeducation.com/" TargetMode="External"/><Relationship Id="rId2" Type="http://schemas.openxmlformats.org/officeDocument/2006/relationships/hyperlink" Target="mailto:stasker.books@comcast.net" TargetMode="External"/><Relationship Id="rId1" Type="http://schemas.openxmlformats.org/officeDocument/2006/relationships/hyperlink" Target="http://www.benchmarkeducation.com/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adenzer.boo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opLeftCell="A15" workbookViewId="0">
      <selection activeCell="I41" sqref="I41"/>
    </sheetView>
  </sheetViews>
  <sheetFormatPr defaultRowHeight="15"/>
  <cols>
    <col min="1" max="1" width="19.5703125" style="4" customWidth="1"/>
    <col min="2" max="2" width="41" style="4" customWidth="1"/>
    <col min="3" max="3" width="12.5703125" style="4" bestFit="1" customWidth="1"/>
    <col min="4" max="4" width="13.7109375" style="4" bestFit="1" customWidth="1"/>
    <col min="5" max="5" width="11.7109375" style="4" customWidth="1"/>
    <col min="6" max="6" width="9.85546875" style="4" customWidth="1"/>
    <col min="7" max="7" width="8.7109375" style="4" bestFit="1" customWidth="1"/>
    <col min="8" max="8" width="10.28515625" style="4" customWidth="1"/>
    <col min="9" max="16384" width="9.140625" style="4"/>
  </cols>
  <sheetData>
    <row r="1" spans="1:8" ht="23.25">
      <c r="A1" s="2"/>
      <c r="B1" s="38" t="s">
        <v>47</v>
      </c>
      <c r="C1" s="39"/>
      <c r="D1" s="39"/>
      <c r="E1" s="39"/>
      <c r="F1" s="39"/>
      <c r="G1" s="2"/>
      <c r="H1" s="2"/>
    </row>
    <row r="2" spans="1:8" ht="23.25">
      <c r="A2" s="2"/>
      <c r="B2" s="38" t="s">
        <v>7</v>
      </c>
      <c r="C2" s="39"/>
      <c r="D2" s="39"/>
      <c r="E2" s="39"/>
      <c r="F2" s="39"/>
      <c r="G2" s="2"/>
      <c r="H2" s="2"/>
    </row>
    <row r="3" spans="1:8" ht="23.25">
      <c r="A3" s="2"/>
      <c r="B3" s="38" t="s">
        <v>48</v>
      </c>
      <c r="C3" s="39"/>
      <c r="D3" s="39"/>
      <c r="E3" s="39"/>
      <c r="F3" s="39"/>
      <c r="G3" s="2"/>
      <c r="H3" s="2"/>
    </row>
    <row r="4" spans="1:8">
      <c r="A4" s="2"/>
      <c r="B4" s="11" t="s">
        <v>8</v>
      </c>
      <c r="C4" s="2"/>
      <c r="D4" s="9"/>
      <c r="E4" s="44" t="s">
        <v>41</v>
      </c>
      <c r="F4" s="45"/>
      <c r="G4" s="46"/>
      <c r="H4" s="2"/>
    </row>
    <row r="5" spans="1:8">
      <c r="A5" s="2"/>
      <c r="B5" s="12" t="s">
        <v>9</v>
      </c>
      <c r="C5" s="2"/>
      <c r="D5" s="10"/>
      <c r="E5" s="47" t="s">
        <v>43</v>
      </c>
      <c r="F5" s="48"/>
      <c r="G5" s="49"/>
      <c r="H5" s="2"/>
    </row>
    <row r="6" spans="1:8">
      <c r="A6" s="2"/>
      <c r="B6" s="13" t="s">
        <v>10</v>
      </c>
      <c r="C6" s="2"/>
      <c r="D6" s="9"/>
      <c r="E6" s="50" t="s">
        <v>42</v>
      </c>
      <c r="F6" s="51"/>
      <c r="G6" s="52"/>
      <c r="H6" s="2"/>
    </row>
    <row r="7" spans="1:8">
      <c r="A7" s="2"/>
      <c r="B7" s="13" t="s">
        <v>11</v>
      </c>
      <c r="C7" s="2"/>
      <c r="D7" s="9"/>
      <c r="E7" s="50" t="s">
        <v>11</v>
      </c>
      <c r="F7" s="51"/>
      <c r="G7" s="52"/>
      <c r="H7" s="2"/>
    </row>
    <row r="8" spans="1:8">
      <c r="A8" s="2"/>
      <c r="B8" s="14" t="s">
        <v>36</v>
      </c>
      <c r="C8" s="2"/>
      <c r="D8" s="2"/>
      <c r="E8" s="41" t="s">
        <v>36</v>
      </c>
      <c r="F8" s="42"/>
      <c r="G8" s="43"/>
      <c r="H8" s="2"/>
    </row>
    <row r="9" spans="1:8">
      <c r="A9" s="2"/>
      <c r="B9" s="1"/>
      <c r="C9" s="2"/>
      <c r="D9" s="2"/>
      <c r="E9" s="2"/>
      <c r="F9" s="2"/>
      <c r="G9" s="2"/>
      <c r="H9" s="2"/>
    </row>
    <row r="10" spans="1:8" ht="18.75">
      <c r="A10" s="40" t="s">
        <v>106</v>
      </c>
      <c r="B10" s="40"/>
      <c r="C10" s="40"/>
      <c r="D10" s="40"/>
      <c r="E10" s="40"/>
      <c r="F10" s="40"/>
      <c r="G10" s="40"/>
      <c r="H10" s="40"/>
    </row>
    <row r="11" spans="1:8">
      <c r="A11" s="28" t="s">
        <v>0</v>
      </c>
      <c r="B11" s="28" t="s">
        <v>6</v>
      </c>
      <c r="C11" s="28" t="s">
        <v>1</v>
      </c>
      <c r="D11" s="28" t="s">
        <v>16</v>
      </c>
      <c r="E11" s="28" t="s">
        <v>3</v>
      </c>
      <c r="F11" s="28" t="s">
        <v>2</v>
      </c>
      <c r="G11" s="28" t="s">
        <v>4</v>
      </c>
      <c r="H11" s="28" t="s">
        <v>5</v>
      </c>
    </row>
    <row r="12" spans="1:8">
      <c r="A12" s="19" t="s">
        <v>49</v>
      </c>
      <c r="B12" s="20" t="s">
        <v>50</v>
      </c>
      <c r="C12" s="19" t="s">
        <v>51</v>
      </c>
      <c r="D12" s="21">
        <v>70</v>
      </c>
      <c r="E12" s="19" t="s">
        <v>52</v>
      </c>
      <c r="F12" s="22">
        <v>295</v>
      </c>
      <c r="G12" s="7"/>
      <c r="H12" s="24">
        <f>F12*G12</f>
        <v>0</v>
      </c>
    </row>
    <row r="13" spans="1:8">
      <c r="A13" s="19" t="s">
        <v>53</v>
      </c>
      <c r="B13" s="20" t="s">
        <v>54</v>
      </c>
      <c r="C13" s="19" t="s">
        <v>39</v>
      </c>
      <c r="D13" s="21">
        <v>73</v>
      </c>
      <c r="E13" s="19" t="s">
        <v>55</v>
      </c>
      <c r="F13" s="22">
        <v>370</v>
      </c>
      <c r="G13" s="7"/>
      <c r="H13" s="24">
        <f t="shared" ref="H13:H15" si="0">F13*G13</f>
        <v>0</v>
      </c>
    </row>
    <row r="14" spans="1:8">
      <c r="A14" s="19" t="s">
        <v>56</v>
      </c>
      <c r="B14" s="20" t="s">
        <v>57</v>
      </c>
      <c r="C14" s="19" t="s">
        <v>59</v>
      </c>
      <c r="D14" s="21">
        <v>70</v>
      </c>
      <c r="E14" s="19" t="s">
        <v>60</v>
      </c>
      <c r="F14" s="22">
        <v>400</v>
      </c>
      <c r="G14" s="7"/>
      <c r="H14" s="24">
        <f t="shared" si="0"/>
        <v>0</v>
      </c>
    </row>
    <row r="15" spans="1:8">
      <c r="A15" s="19" t="s">
        <v>62</v>
      </c>
      <c r="B15" s="20" t="s">
        <v>58</v>
      </c>
      <c r="C15" s="19" t="s">
        <v>61</v>
      </c>
      <c r="D15" s="21">
        <v>50</v>
      </c>
      <c r="E15" s="19" t="s">
        <v>63</v>
      </c>
      <c r="F15" s="22">
        <v>290</v>
      </c>
      <c r="G15" s="7"/>
      <c r="H15" s="24">
        <f t="shared" si="0"/>
        <v>0</v>
      </c>
    </row>
    <row r="16" spans="1:8">
      <c r="A16" s="25"/>
      <c r="B16" s="26"/>
      <c r="C16" s="25"/>
      <c r="D16" s="25"/>
      <c r="E16" s="25"/>
      <c r="F16" s="27"/>
      <c r="G16" s="25"/>
      <c r="H16" s="27"/>
    </row>
    <row r="17" spans="1:8" ht="18.75">
      <c r="A17" s="40" t="s">
        <v>72</v>
      </c>
      <c r="B17" s="40"/>
      <c r="C17" s="40"/>
      <c r="D17" s="40"/>
      <c r="E17" s="40"/>
      <c r="F17" s="40"/>
      <c r="G17" s="40"/>
      <c r="H17" s="40"/>
    </row>
    <row r="18" spans="1:8">
      <c r="A18" s="28" t="s">
        <v>0</v>
      </c>
      <c r="B18" s="28" t="s">
        <v>6</v>
      </c>
      <c r="C18" s="28" t="s">
        <v>1</v>
      </c>
      <c r="D18" s="28" t="s">
        <v>16</v>
      </c>
      <c r="E18" s="28" t="s">
        <v>3</v>
      </c>
      <c r="F18" s="28" t="s">
        <v>2</v>
      </c>
      <c r="G18" s="28" t="s">
        <v>4</v>
      </c>
      <c r="H18" s="28" t="s">
        <v>5</v>
      </c>
    </row>
    <row r="19" spans="1:8">
      <c r="A19" s="19" t="s">
        <v>73</v>
      </c>
      <c r="B19" s="20" t="s">
        <v>74</v>
      </c>
      <c r="C19" s="19" t="s">
        <v>17</v>
      </c>
      <c r="D19" s="19">
        <v>35</v>
      </c>
      <c r="E19" s="19" t="s">
        <v>45</v>
      </c>
      <c r="F19" s="24">
        <v>159</v>
      </c>
      <c r="G19" s="7"/>
      <c r="H19" s="24">
        <f>F19*G19</f>
        <v>0</v>
      </c>
    </row>
    <row r="20" spans="1:8">
      <c r="A20" s="19" t="s">
        <v>75</v>
      </c>
      <c r="B20" s="20" t="s">
        <v>76</v>
      </c>
      <c r="C20" s="19" t="s">
        <v>17</v>
      </c>
      <c r="D20" s="19">
        <v>15</v>
      </c>
      <c r="E20" s="19" t="s">
        <v>45</v>
      </c>
      <c r="F20" s="24">
        <v>89</v>
      </c>
      <c r="G20" s="7"/>
      <c r="H20" s="24">
        <f t="shared" ref="H20:H34" si="1">F20*G20</f>
        <v>0</v>
      </c>
    </row>
    <row r="21" spans="1:8">
      <c r="A21" s="19" t="s">
        <v>77</v>
      </c>
      <c r="B21" s="20" t="s">
        <v>78</v>
      </c>
      <c r="C21" s="19" t="s">
        <v>17</v>
      </c>
      <c r="D21" s="19">
        <v>15</v>
      </c>
      <c r="E21" s="19" t="s">
        <v>45</v>
      </c>
      <c r="F21" s="24">
        <v>46</v>
      </c>
      <c r="G21" s="7"/>
      <c r="H21" s="24">
        <f t="shared" si="1"/>
        <v>0</v>
      </c>
    </row>
    <row r="22" spans="1:8">
      <c r="A22" s="19" t="s">
        <v>79</v>
      </c>
      <c r="B22" s="20" t="s">
        <v>80</v>
      </c>
      <c r="C22" s="19" t="s">
        <v>17</v>
      </c>
      <c r="D22" s="19">
        <v>5</v>
      </c>
      <c r="E22" s="19" t="s">
        <v>45</v>
      </c>
      <c r="F22" s="24">
        <v>24.5</v>
      </c>
      <c r="G22" s="7"/>
      <c r="H22" s="24">
        <f t="shared" si="1"/>
        <v>0</v>
      </c>
    </row>
    <row r="23" spans="1:8">
      <c r="A23" s="19" t="s">
        <v>90</v>
      </c>
      <c r="B23" s="20" t="s">
        <v>81</v>
      </c>
      <c r="C23" s="19" t="s">
        <v>94</v>
      </c>
      <c r="D23" s="19">
        <v>63</v>
      </c>
      <c r="E23" s="19" t="s">
        <v>46</v>
      </c>
      <c r="F23" s="24">
        <v>318</v>
      </c>
      <c r="G23" s="7"/>
      <c r="H23" s="24">
        <f>F23*G23</f>
        <v>0</v>
      </c>
    </row>
    <row r="24" spans="1:8">
      <c r="A24" s="19" t="s">
        <v>91</v>
      </c>
      <c r="B24" s="20" t="s">
        <v>82</v>
      </c>
      <c r="C24" s="19" t="s">
        <v>94</v>
      </c>
      <c r="D24" s="19">
        <v>27</v>
      </c>
      <c r="E24" s="19" t="s">
        <v>46</v>
      </c>
      <c r="F24" s="24">
        <v>167</v>
      </c>
      <c r="G24" s="7"/>
      <c r="H24" s="24">
        <f t="shared" ref="H24:H26" si="2">F24*G24</f>
        <v>0</v>
      </c>
    </row>
    <row r="25" spans="1:8">
      <c r="A25" s="19" t="s">
        <v>92</v>
      </c>
      <c r="B25" s="20" t="s">
        <v>83</v>
      </c>
      <c r="C25" s="19" t="s">
        <v>94</v>
      </c>
      <c r="D25" s="19">
        <v>27</v>
      </c>
      <c r="E25" s="19" t="s">
        <v>46</v>
      </c>
      <c r="F25" s="24">
        <v>105</v>
      </c>
      <c r="G25" s="7"/>
      <c r="H25" s="24">
        <f t="shared" si="2"/>
        <v>0</v>
      </c>
    </row>
    <row r="26" spans="1:8">
      <c r="A26" s="19" t="s">
        <v>93</v>
      </c>
      <c r="B26" s="20" t="s">
        <v>84</v>
      </c>
      <c r="C26" s="19" t="s">
        <v>94</v>
      </c>
      <c r="D26" s="19">
        <v>9</v>
      </c>
      <c r="E26" s="19" t="s">
        <v>46</v>
      </c>
      <c r="F26" s="24">
        <v>47</v>
      </c>
      <c r="G26" s="7"/>
      <c r="H26" s="24">
        <f t="shared" si="2"/>
        <v>0</v>
      </c>
    </row>
    <row r="27" spans="1:8">
      <c r="A27" s="19" t="s">
        <v>95</v>
      </c>
      <c r="B27" s="20" t="s">
        <v>85</v>
      </c>
      <c r="C27" s="19" t="s">
        <v>99</v>
      </c>
      <c r="D27" s="19">
        <v>56</v>
      </c>
      <c r="E27" s="19" t="s">
        <v>100</v>
      </c>
      <c r="F27" s="24">
        <v>319</v>
      </c>
      <c r="G27" s="7"/>
      <c r="H27" s="24">
        <f t="shared" si="1"/>
        <v>0</v>
      </c>
    </row>
    <row r="28" spans="1:8">
      <c r="A28" s="19" t="s">
        <v>96</v>
      </c>
      <c r="B28" s="20" t="s">
        <v>86</v>
      </c>
      <c r="C28" s="19" t="s">
        <v>99</v>
      </c>
      <c r="D28" s="19">
        <v>24</v>
      </c>
      <c r="E28" s="19" t="s">
        <v>100</v>
      </c>
      <c r="F28" s="24">
        <v>159</v>
      </c>
      <c r="G28" s="7"/>
      <c r="H28" s="24">
        <f>F28*G28</f>
        <v>0</v>
      </c>
    </row>
    <row r="29" spans="1:8">
      <c r="A29" s="19" t="s">
        <v>97</v>
      </c>
      <c r="B29" s="20" t="s">
        <v>87</v>
      </c>
      <c r="C29" s="19" t="s">
        <v>99</v>
      </c>
      <c r="D29" s="19">
        <v>24</v>
      </c>
      <c r="E29" s="19" t="s">
        <v>100</v>
      </c>
      <c r="F29" s="24">
        <v>119</v>
      </c>
      <c r="G29" s="7"/>
      <c r="H29" s="24">
        <f t="shared" ref="H29:H33" si="3">F29*G29</f>
        <v>0</v>
      </c>
    </row>
    <row r="30" spans="1:8">
      <c r="A30" s="19" t="s">
        <v>98</v>
      </c>
      <c r="B30" s="20" t="s">
        <v>88</v>
      </c>
      <c r="C30" s="19" t="s">
        <v>99</v>
      </c>
      <c r="D30" s="19">
        <v>8</v>
      </c>
      <c r="E30" s="19" t="s">
        <v>100</v>
      </c>
      <c r="F30" s="24">
        <v>45</v>
      </c>
      <c r="G30" s="7"/>
      <c r="H30" s="24">
        <f t="shared" si="3"/>
        <v>0</v>
      </c>
    </row>
    <row r="31" spans="1:8">
      <c r="A31" s="19" t="s">
        <v>101</v>
      </c>
      <c r="B31" s="20" t="s">
        <v>89</v>
      </c>
      <c r="C31" s="19" t="s">
        <v>44</v>
      </c>
      <c r="D31" s="19">
        <v>49</v>
      </c>
      <c r="E31" s="19" t="s">
        <v>105</v>
      </c>
      <c r="F31" s="24">
        <v>295</v>
      </c>
      <c r="G31" s="7"/>
      <c r="H31" s="24">
        <f t="shared" si="3"/>
        <v>0</v>
      </c>
    </row>
    <row r="32" spans="1:8">
      <c r="A32" s="19" t="s">
        <v>102</v>
      </c>
      <c r="B32" s="20" t="s">
        <v>89</v>
      </c>
      <c r="C32" s="19" t="s">
        <v>44</v>
      </c>
      <c r="D32" s="19">
        <v>21</v>
      </c>
      <c r="E32" s="19" t="s">
        <v>105</v>
      </c>
      <c r="F32" s="24">
        <v>149</v>
      </c>
      <c r="G32" s="7"/>
      <c r="H32" s="24">
        <f t="shared" ref="H32" si="4">F32*G32</f>
        <v>0</v>
      </c>
    </row>
    <row r="33" spans="1:8">
      <c r="A33" s="19" t="s">
        <v>103</v>
      </c>
      <c r="B33" s="20" t="s">
        <v>89</v>
      </c>
      <c r="C33" s="19" t="s">
        <v>44</v>
      </c>
      <c r="D33" s="19">
        <v>21</v>
      </c>
      <c r="E33" s="19" t="s">
        <v>105</v>
      </c>
      <c r="F33" s="24">
        <v>115</v>
      </c>
      <c r="G33" s="7"/>
      <c r="H33" s="24">
        <f t="shared" si="3"/>
        <v>0</v>
      </c>
    </row>
    <row r="34" spans="1:8">
      <c r="A34" s="19" t="s">
        <v>104</v>
      </c>
      <c r="B34" s="20" t="s">
        <v>89</v>
      </c>
      <c r="C34" s="19" t="s">
        <v>44</v>
      </c>
      <c r="D34" s="19">
        <v>7</v>
      </c>
      <c r="E34" s="19" t="s">
        <v>105</v>
      </c>
      <c r="F34" s="24">
        <v>42</v>
      </c>
      <c r="G34" s="7"/>
      <c r="H34" s="24">
        <f t="shared" si="1"/>
        <v>0</v>
      </c>
    </row>
    <row r="35" spans="1:8">
      <c r="A35" s="25"/>
      <c r="B35" s="26"/>
      <c r="C35" s="25"/>
      <c r="D35" s="25"/>
      <c r="E35" s="25"/>
      <c r="F35" s="27"/>
      <c r="G35" s="25"/>
      <c r="H35" s="27"/>
    </row>
    <row r="36" spans="1:8" ht="18.75">
      <c r="A36" s="40" t="s">
        <v>126</v>
      </c>
      <c r="B36" s="40"/>
      <c r="C36" s="40"/>
      <c r="D36" s="40"/>
      <c r="E36" s="40"/>
      <c r="F36" s="40"/>
      <c r="G36" s="40"/>
      <c r="H36" s="40"/>
    </row>
    <row r="37" spans="1:8">
      <c r="A37" s="28" t="s">
        <v>0</v>
      </c>
      <c r="B37" s="28" t="s">
        <v>6</v>
      </c>
      <c r="C37" s="28" t="s">
        <v>1</v>
      </c>
      <c r="D37" s="28" t="s">
        <v>16</v>
      </c>
      <c r="E37" s="28" t="s">
        <v>3</v>
      </c>
      <c r="F37" s="28" t="s">
        <v>2</v>
      </c>
      <c r="G37" s="28" t="s">
        <v>4</v>
      </c>
      <c r="H37" s="28" t="s">
        <v>5</v>
      </c>
    </row>
    <row r="38" spans="1:8">
      <c r="A38" s="19" t="s">
        <v>145</v>
      </c>
      <c r="B38" s="20" t="s">
        <v>135</v>
      </c>
      <c r="C38" s="19" t="s">
        <v>153</v>
      </c>
      <c r="D38" s="19">
        <v>1</v>
      </c>
      <c r="E38" s="19" t="s">
        <v>120</v>
      </c>
      <c r="F38" s="24">
        <v>6.5</v>
      </c>
      <c r="G38" s="7"/>
      <c r="H38" s="24">
        <f t="shared" ref="H38:H40" si="5">F38*G38</f>
        <v>0</v>
      </c>
    </row>
    <row r="39" spans="1:8">
      <c r="A39" s="19" t="s">
        <v>146</v>
      </c>
      <c r="B39" s="20" t="s">
        <v>136</v>
      </c>
      <c r="C39" s="19" t="s">
        <v>154</v>
      </c>
      <c r="D39" s="19">
        <v>1</v>
      </c>
      <c r="E39" s="19" t="s">
        <v>120</v>
      </c>
      <c r="F39" s="24">
        <v>6.5</v>
      </c>
      <c r="G39" s="7"/>
      <c r="H39" s="24">
        <f t="shared" si="5"/>
        <v>0</v>
      </c>
    </row>
    <row r="40" spans="1:8">
      <c r="A40" s="19" t="s">
        <v>147</v>
      </c>
      <c r="B40" s="20" t="s">
        <v>137</v>
      </c>
      <c r="C40" s="19" t="s">
        <v>155</v>
      </c>
      <c r="D40" s="19">
        <v>1</v>
      </c>
      <c r="E40" s="19" t="s">
        <v>120</v>
      </c>
      <c r="F40" s="24">
        <v>6.5</v>
      </c>
      <c r="G40" s="7"/>
      <c r="H40" s="24">
        <f t="shared" si="5"/>
        <v>0</v>
      </c>
    </row>
    <row r="41" spans="1:8">
      <c r="A41" s="2"/>
      <c r="B41" s="36"/>
      <c r="C41" s="36"/>
      <c r="D41" s="2"/>
      <c r="E41" s="2"/>
      <c r="F41" s="2" t="s">
        <v>12</v>
      </c>
      <c r="G41" s="2"/>
      <c r="H41" s="32">
        <f>SUM(H12:H15,H19:H34,H38:H40)</f>
        <v>0</v>
      </c>
    </row>
    <row r="42" spans="1:8">
      <c r="A42" s="2"/>
      <c r="B42" s="36"/>
      <c r="C42" s="36"/>
      <c r="D42" s="2"/>
      <c r="E42" s="2"/>
      <c r="F42" s="2" t="s">
        <v>38</v>
      </c>
      <c r="G42" s="2"/>
      <c r="H42" s="37" t="s">
        <v>125</v>
      </c>
    </row>
    <row r="43" spans="1:8">
      <c r="A43" s="2"/>
      <c r="B43" s="36"/>
      <c r="C43" s="36"/>
      <c r="D43" s="2"/>
      <c r="E43" s="2"/>
      <c r="F43" s="33" t="s">
        <v>13</v>
      </c>
      <c r="G43" s="2"/>
      <c r="H43" s="34">
        <f>H41</f>
        <v>0</v>
      </c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 t="s">
        <v>18</v>
      </c>
      <c r="B45" s="2"/>
      <c r="C45" s="2"/>
      <c r="D45" s="17" t="s">
        <v>19</v>
      </c>
    </row>
    <row r="46" spans="1:8">
      <c r="A46" s="2" t="s">
        <v>121</v>
      </c>
      <c r="B46" s="2"/>
      <c r="C46" s="2"/>
      <c r="D46" s="18" t="s">
        <v>20</v>
      </c>
      <c r="E46" s="5"/>
      <c r="F46" s="5"/>
      <c r="G46" s="5"/>
      <c r="H46" s="5"/>
    </row>
    <row r="47" spans="1:8">
      <c r="A47" s="2" t="s">
        <v>122</v>
      </c>
      <c r="B47" s="2"/>
      <c r="C47" s="2"/>
      <c r="D47" s="18" t="s">
        <v>21</v>
      </c>
      <c r="E47" s="6"/>
      <c r="F47" s="6"/>
      <c r="G47" s="6"/>
      <c r="H47" s="6"/>
    </row>
    <row r="48" spans="1:8">
      <c r="A48" s="2" t="s">
        <v>22</v>
      </c>
      <c r="B48" s="2"/>
      <c r="C48" s="2"/>
      <c r="D48" s="18" t="s">
        <v>23</v>
      </c>
      <c r="E48" s="6"/>
      <c r="F48" s="6"/>
      <c r="G48" s="6"/>
      <c r="H48" s="6"/>
    </row>
    <row r="49" spans="1:8">
      <c r="A49" s="2" t="s">
        <v>48</v>
      </c>
      <c r="B49" s="2"/>
      <c r="C49" s="2"/>
      <c r="D49" s="18" t="s">
        <v>24</v>
      </c>
      <c r="E49" s="6"/>
      <c r="F49" s="6"/>
      <c r="G49" s="6"/>
      <c r="H49" s="6"/>
    </row>
    <row r="50" spans="1:8">
      <c r="A50" s="2" t="s">
        <v>123</v>
      </c>
      <c r="B50" s="2"/>
      <c r="C50" s="2"/>
      <c r="D50" s="18" t="s">
        <v>25</v>
      </c>
      <c r="E50" s="6"/>
      <c r="F50" s="6"/>
      <c r="G50" s="6"/>
      <c r="H50" s="6"/>
    </row>
    <row r="51" spans="1:8">
      <c r="A51" s="2" t="s">
        <v>124</v>
      </c>
      <c r="B51" s="2"/>
      <c r="C51" s="2"/>
      <c r="D51" s="18" t="s">
        <v>26</v>
      </c>
      <c r="E51" s="6"/>
      <c r="F51" s="6"/>
      <c r="G51" s="6"/>
      <c r="H51" s="6"/>
    </row>
    <row r="52" spans="1:8">
      <c r="A52" s="2"/>
      <c r="B52" s="2"/>
      <c r="C52" s="2"/>
      <c r="D52" s="18" t="s">
        <v>27</v>
      </c>
      <c r="E52" s="6"/>
      <c r="F52" s="6"/>
      <c r="G52" s="6"/>
      <c r="H52" s="6"/>
    </row>
    <row r="53" spans="1:8">
      <c r="A53" s="2"/>
      <c r="B53" s="2"/>
      <c r="C53" s="2"/>
      <c r="D53" s="18"/>
    </row>
    <row r="54" spans="1:8">
      <c r="A54" s="4" t="s">
        <v>28</v>
      </c>
      <c r="D54" s="17" t="s">
        <v>29</v>
      </c>
    </row>
    <row r="55" spans="1:8">
      <c r="A55" s="4" t="s">
        <v>30</v>
      </c>
      <c r="D55" s="18" t="s">
        <v>20</v>
      </c>
      <c r="E55" s="5"/>
      <c r="F55" s="5"/>
      <c r="G55" s="5"/>
      <c r="H55" s="5"/>
    </row>
    <row r="56" spans="1:8">
      <c r="A56" s="4" t="s">
        <v>31</v>
      </c>
      <c r="B56" s="4" t="s">
        <v>37</v>
      </c>
      <c r="D56" s="18" t="s">
        <v>21</v>
      </c>
      <c r="E56" s="6"/>
      <c r="F56" s="6"/>
      <c r="G56" s="6"/>
      <c r="H56" s="6"/>
    </row>
    <row r="57" spans="1:8">
      <c r="A57" s="4" t="s">
        <v>32</v>
      </c>
      <c r="B57" s="5"/>
      <c r="D57" s="18" t="s">
        <v>23</v>
      </c>
      <c r="E57" s="6"/>
      <c r="F57" s="6"/>
      <c r="G57" s="6"/>
      <c r="H57" s="6"/>
    </row>
    <row r="58" spans="1:8">
      <c r="A58" s="4" t="s">
        <v>33</v>
      </c>
      <c r="B58" s="5"/>
      <c r="D58" s="18" t="s">
        <v>24</v>
      </c>
      <c r="E58" s="6"/>
      <c r="F58" s="6"/>
      <c r="G58" s="6"/>
      <c r="H58" s="6"/>
    </row>
    <row r="59" spans="1:8">
      <c r="A59" s="4" t="s">
        <v>34</v>
      </c>
      <c r="B59" s="5"/>
      <c r="D59" s="18" t="s">
        <v>25</v>
      </c>
      <c r="E59" s="6"/>
      <c r="F59" s="6"/>
      <c r="G59" s="6"/>
      <c r="H59" s="6"/>
    </row>
    <row r="60" spans="1:8">
      <c r="D60" s="18" t="s">
        <v>26</v>
      </c>
      <c r="E60" s="6"/>
      <c r="F60" s="6"/>
      <c r="G60" s="6"/>
      <c r="H60" s="6"/>
    </row>
    <row r="61" spans="1:8">
      <c r="D61" s="18" t="s">
        <v>35</v>
      </c>
      <c r="E61" s="6"/>
      <c r="F61" s="6"/>
      <c r="G61" s="6"/>
      <c r="H61" s="6"/>
    </row>
  </sheetData>
  <sheetProtection password="C94E" sheet="1" objects="1" scenarios="1" selectLockedCells="1"/>
  <mergeCells count="11">
    <mergeCell ref="A36:H36"/>
    <mergeCell ref="B1:F1"/>
    <mergeCell ref="B2:F2"/>
    <mergeCell ref="B3:F3"/>
    <mergeCell ref="A17:H17"/>
    <mergeCell ref="A10:H10"/>
    <mergeCell ref="E8:G8"/>
    <mergeCell ref="E4:G4"/>
    <mergeCell ref="E5:G5"/>
    <mergeCell ref="E6:G6"/>
    <mergeCell ref="E7:G7"/>
  </mergeCells>
  <hyperlinks>
    <hyperlink ref="B8" r:id="rId1"/>
    <hyperlink ref="B5" r:id="rId2"/>
    <hyperlink ref="E8" r:id="rId3"/>
    <hyperlink ref="E5" r:id="rId4"/>
  </hyperlinks>
  <pageMargins left="0.5" right="0.5" top="0.75" bottom="0.75" header="0.3" footer="0.3"/>
  <pageSetup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topLeftCell="A13" zoomScaleNormal="100" workbookViewId="0">
      <selection activeCell="I36" sqref="I36"/>
    </sheetView>
  </sheetViews>
  <sheetFormatPr defaultRowHeight="15"/>
  <cols>
    <col min="1" max="1" width="19.5703125" style="4" customWidth="1"/>
    <col min="2" max="2" width="42.42578125" style="4" customWidth="1"/>
    <col min="3" max="3" width="11.5703125" style="4" bestFit="1" customWidth="1"/>
    <col min="4" max="4" width="13.7109375" style="4" bestFit="1" customWidth="1"/>
    <col min="5" max="5" width="12.28515625" style="4" customWidth="1"/>
    <col min="6" max="6" width="8.28515625" style="4" customWidth="1"/>
    <col min="7" max="7" width="8.7109375" style="4" bestFit="1" customWidth="1"/>
    <col min="8" max="8" width="10.28515625" style="4" bestFit="1" customWidth="1"/>
    <col min="9" max="16384" width="9.140625" style="4"/>
  </cols>
  <sheetData>
    <row r="1" spans="1:8" ht="23.25">
      <c r="A1" s="2"/>
      <c r="B1" s="38" t="s">
        <v>47</v>
      </c>
      <c r="C1" s="39"/>
      <c r="D1" s="39"/>
      <c r="E1" s="39"/>
      <c r="F1" s="39"/>
      <c r="G1" s="2"/>
      <c r="H1" s="2"/>
    </row>
    <row r="2" spans="1:8" ht="23.25">
      <c r="A2" s="2"/>
      <c r="B2" s="38" t="s">
        <v>14</v>
      </c>
      <c r="C2" s="39"/>
      <c r="D2" s="39"/>
      <c r="E2" s="39"/>
      <c r="F2" s="39"/>
      <c r="G2" s="2"/>
      <c r="H2" s="2"/>
    </row>
    <row r="3" spans="1:8" ht="23.25">
      <c r="A3" s="2"/>
      <c r="B3" s="38" t="s">
        <v>48</v>
      </c>
      <c r="C3" s="39"/>
      <c r="D3" s="39"/>
      <c r="E3" s="39"/>
      <c r="F3" s="39"/>
      <c r="G3" s="2"/>
      <c r="H3" s="2"/>
    </row>
    <row r="4" spans="1:8">
      <c r="A4" s="2"/>
      <c r="B4" s="11" t="s">
        <v>8</v>
      </c>
      <c r="C4" s="2"/>
      <c r="D4" s="9"/>
      <c r="E4" s="44" t="s">
        <v>41</v>
      </c>
      <c r="F4" s="45"/>
      <c r="G4" s="46"/>
      <c r="H4" s="2"/>
    </row>
    <row r="5" spans="1:8">
      <c r="A5" s="2"/>
      <c r="B5" s="15" t="s">
        <v>9</v>
      </c>
      <c r="C5" s="2"/>
      <c r="D5" s="10"/>
      <c r="E5" s="56" t="s">
        <v>43</v>
      </c>
      <c r="F5" s="57"/>
      <c r="G5" s="58"/>
      <c r="H5" s="2"/>
    </row>
    <row r="6" spans="1:8">
      <c r="A6" s="2"/>
      <c r="B6" s="13" t="s">
        <v>10</v>
      </c>
      <c r="C6" s="2"/>
      <c r="D6" s="9"/>
      <c r="E6" s="50" t="s">
        <v>42</v>
      </c>
      <c r="F6" s="51"/>
      <c r="G6" s="52"/>
      <c r="H6" s="2"/>
    </row>
    <row r="7" spans="1:8">
      <c r="A7" s="2"/>
      <c r="B7" s="13" t="s">
        <v>11</v>
      </c>
      <c r="C7" s="2"/>
      <c r="D7" s="9"/>
      <c r="E7" s="50" t="s">
        <v>11</v>
      </c>
      <c r="F7" s="51"/>
      <c r="G7" s="52"/>
      <c r="H7" s="2"/>
    </row>
    <row r="8" spans="1:8" ht="15" customHeight="1">
      <c r="A8" s="2"/>
      <c r="B8" s="16" t="s">
        <v>36</v>
      </c>
      <c r="C8" s="2"/>
      <c r="D8" s="2"/>
      <c r="E8" s="53" t="s">
        <v>36</v>
      </c>
      <c r="F8" s="54"/>
      <c r="G8" s="55"/>
      <c r="H8" s="2"/>
    </row>
    <row r="9" spans="1:8">
      <c r="A9" s="2"/>
      <c r="B9" s="1"/>
      <c r="C9" s="2"/>
      <c r="D9" s="2"/>
      <c r="E9" s="2"/>
      <c r="F9" s="2"/>
      <c r="G9" s="2"/>
      <c r="H9" s="2"/>
    </row>
    <row r="10" spans="1:8" ht="18.75">
      <c r="A10" s="40" t="s">
        <v>40</v>
      </c>
      <c r="B10" s="40"/>
      <c r="C10" s="40"/>
      <c r="D10" s="40"/>
      <c r="E10" s="40"/>
      <c r="F10" s="40"/>
      <c r="G10" s="40"/>
      <c r="H10" s="40"/>
    </row>
    <row r="11" spans="1:8">
      <c r="A11" s="28" t="s">
        <v>0</v>
      </c>
      <c r="B11" s="28" t="s">
        <v>6</v>
      </c>
      <c r="C11" s="28" t="s">
        <v>1</v>
      </c>
      <c r="D11" s="28" t="s">
        <v>16</v>
      </c>
      <c r="E11" s="28" t="s">
        <v>3</v>
      </c>
      <c r="F11" s="28" t="s">
        <v>2</v>
      </c>
      <c r="G11" s="28" t="s">
        <v>4</v>
      </c>
      <c r="H11" s="28" t="s">
        <v>5</v>
      </c>
    </row>
    <row r="12" spans="1:8">
      <c r="A12" s="19" t="s">
        <v>64</v>
      </c>
      <c r="B12" s="20" t="s">
        <v>65</v>
      </c>
      <c r="C12" s="19" t="s">
        <v>66</v>
      </c>
      <c r="D12" s="21">
        <v>50</v>
      </c>
      <c r="E12" s="19" t="s">
        <v>67</v>
      </c>
      <c r="F12" s="22">
        <v>370</v>
      </c>
      <c r="G12" s="7"/>
      <c r="H12" s="24">
        <f>F12*G12</f>
        <v>0</v>
      </c>
    </row>
    <row r="13" spans="1:8">
      <c r="A13" s="19" t="s">
        <v>68</v>
      </c>
      <c r="B13" s="23" t="s">
        <v>69</v>
      </c>
      <c r="C13" s="19" t="s">
        <v>70</v>
      </c>
      <c r="D13" s="21">
        <v>50</v>
      </c>
      <c r="E13" s="19" t="s">
        <v>71</v>
      </c>
      <c r="F13" s="22">
        <v>385</v>
      </c>
      <c r="G13" s="7"/>
      <c r="H13" s="24">
        <f t="shared" ref="H13" si="0">F13*G13</f>
        <v>0</v>
      </c>
    </row>
    <row r="14" spans="1:8">
      <c r="A14" s="25"/>
      <c r="B14" s="26"/>
      <c r="C14" s="25"/>
      <c r="D14" s="25"/>
      <c r="E14" s="25"/>
      <c r="F14" s="27"/>
      <c r="G14" s="25"/>
      <c r="H14" s="27"/>
    </row>
    <row r="15" spans="1:8" ht="18.75">
      <c r="A15" s="40" t="s">
        <v>72</v>
      </c>
      <c r="B15" s="40"/>
      <c r="C15" s="40"/>
      <c r="D15" s="40"/>
      <c r="E15" s="40"/>
      <c r="F15" s="40"/>
      <c r="G15" s="40"/>
      <c r="H15" s="40"/>
    </row>
    <row r="16" spans="1:8">
      <c r="A16" s="28" t="s">
        <v>0</v>
      </c>
      <c r="B16" s="28" t="s">
        <v>6</v>
      </c>
      <c r="C16" s="28" t="s">
        <v>1</v>
      </c>
      <c r="D16" s="28" t="s">
        <v>16</v>
      </c>
      <c r="E16" s="28" t="s">
        <v>3</v>
      </c>
      <c r="F16" s="28" t="s">
        <v>2</v>
      </c>
      <c r="G16" s="28" t="s">
        <v>4</v>
      </c>
      <c r="H16" s="28" t="s">
        <v>5</v>
      </c>
    </row>
    <row r="17" spans="1:8">
      <c r="A17" s="19" t="s">
        <v>107</v>
      </c>
      <c r="B17" s="20" t="s">
        <v>111</v>
      </c>
      <c r="C17" s="19" t="s">
        <v>113</v>
      </c>
      <c r="D17" s="19">
        <v>42</v>
      </c>
      <c r="E17" s="19" t="s">
        <v>114</v>
      </c>
      <c r="F17" s="24">
        <v>224</v>
      </c>
      <c r="G17" s="7"/>
      <c r="H17" s="24">
        <f t="shared" ref="H17:H20" si="1">F17*G17</f>
        <v>0</v>
      </c>
    </row>
    <row r="18" spans="1:8">
      <c r="A18" s="19" t="s">
        <v>108</v>
      </c>
      <c r="B18" s="20" t="s">
        <v>111</v>
      </c>
      <c r="C18" s="19" t="s">
        <v>113</v>
      </c>
      <c r="D18" s="19">
        <v>18</v>
      </c>
      <c r="E18" s="19" t="s">
        <v>114</v>
      </c>
      <c r="F18" s="24">
        <v>124</v>
      </c>
      <c r="G18" s="7"/>
      <c r="H18" s="24">
        <f t="shared" si="1"/>
        <v>0</v>
      </c>
    </row>
    <row r="19" spans="1:8">
      <c r="A19" s="19" t="s">
        <v>109</v>
      </c>
      <c r="B19" s="20" t="s">
        <v>111</v>
      </c>
      <c r="C19" s="19" t="s">
        <v>113</v>
      </c>
      <c r="D19" s="19">
        <v>18</v>
      </c>
      <c r="E19" s="19" t="s">
        <v>114</v>
      </c>
      <c r="F19" s="24">
        <v>70</v>
      </c>
      <c r="G19" s="7"/>
      <c r="H19" s="24">
        <f t="shared" si="1"/>
        <v>0</v>
      </c>
    </row>
    <row r="20" spans="1:8">
      <c r="A20" s="19" t="s">
        <v>110</v>
      </c>
      <c r="B20" s="20" t="s">
        <v>111</v>
      </c>
      <c r="C20" s="19" t="s">
        <v>113</v>
      </c>
      <c r="D20" s="19">
        <v>6</v>
      </c>
      <c r="E20" s="19" t="s">
        <v>114</v>
      </c>
      <c r="F20" s="24">
        <v>34</v>
      </c>
      <c r="G20" s="7"/>
      <c r="H20" s="24">
        <f t="shared" si="1"/>
        <v>0</v>
      </c>
    </row>
    <row r="21" spans="1:8">
      <c r="A21" s="19" t="s">
        <v>115</v>
      </c>
      <c r="B21" s="20" t="s">
        <v>112</v>
      </c>
      <c r="C21" s="19" t="s">
        <v>119</v>
      </c>
      <c r="D21" s="19">
        <v>42</v>
      </c>
      <c r="E21" s="19" t="s">
        <v>120</v>
      </c>
      <c r="F21" s="24">
        <v>224</v>
      </c>
      <c r="G21" s="7"/>
      <c r="H21" s="24">
        <f t="shared" ref="H21:H24" si="2">F21*G21</f>
        <v>0</v>
      </c>
    </row>
    <row r="22" spans="1:8">
      <c r="A22" s="19" t="s">
        <v>116</v>
      </c>
      <c r="B22" s="20" t="s">
        <v>112</v>
      </c>
      <c r="C22" s="19" t="s">
        <v>119</v>
      </c>
      <c r="D22" s="19">
        <v>18</v>
      </c>
      <c r="E22" s="19" t="s">
        <v>120</v>
      </c>
      <c r="F22" s="24">
        <v>124</v>
      </c>
      <c r="G22" s="7"/>
      <c r="H22" s="24">
        <f t="shared" si="2"/>
        <v>0</v>
      </c>
    </row>
    <row r="23" spans="1:8">
      <c r="A23" s="19" t="s">
        <v>117</v>
      </c>
      <c r="B23" s="20" t="s">
        <v>112</v>
      </c>
      <c r="C23" s="19" t="s">
        <v>119</v>
      </c>
      <c r="D23" s="19">
        <v>18</v>
      </c>
      <c r="E23" s="19" t="s">
        <v>120</v>
      </c>
      <c r="F23" s="24">
        <v>70</v>
      </c>
      <c r="G23" s="7"/>
      <c r="H23" s="24">
        <f t="shared" si="2"/>
        <v>0</v>
      </c>
    </row>
    <row r="24" spans="1:8">
      <c r="A24" s="19" t="s">
        <v>118</v>
      </c>
      <c r="B24" s="20" t="s">
        <v>112</v>
      </c>
      <c r="C24" s="19" t="s">
        <v>119</v>
      </c>
      <c r="D24" s="19">
        <v>6</v>
      </c>
      <c r="E24" s="19" t="s">
        <v>120</v>
      </c>
      <c r="F24" s="24">
        <v>34</v>
      </c>
      <c r="G24" s="7"/>
      <c r="H24" s="24">
        <f t="shared" si="2"/>
        <v>0</v>
      </c>
    </row>
    <row r="25" spans="1:8">
      <c r="A25" s="29"/>
      <c r="B25" s="30"/>
      <c r="C25" s="29"/>
      <c r="D25" s="29"/>
      <c r="E25" s="29"/>
      <c r="F25" s="31"/>
      <c r="G25" s="29"/>
      <c r="H25" s="31"/>
    </row>
    <row r="26" spans="1:8" ht="18.75">
      <c r="A26" s="40" t="s">
        <v>126</v>
      </c>
      <c r="B26" s="40"/>
      <c r="C26" s="40"/>
      <c r="D26" s="40"/>
      <c r="E26" s="40"/>
      <c r="F26" s="40"/>
      <c r="G26" s="40"/>
      <c r="H26" s="40"/>
    </row>
    <row r="27" spans="1:8">
      <c r="A27" s="28" t="s">
        <v>0</v>
      </c>
      <c r="B27" s="28" t="s">
        <v>6</v>
      </c>
      <c r="C27" s="28" t="s">
        <v>1</v>
      </c>
      <c r="D27" s="28" t="s">
        <v>16</v>
      </c>
      <c r="E27" s="28" t="s">
        <v>3</v>
      </c>
      <c r="F27" s="28" t="s">
        <v>2</v>
      </c>
      <c r="G27" s="28" t="s">
        <v>4</v>
      </c>
      <c r="H27" s="28" t="s">
        <v>5</v>
      </c>
    </row>
    <row r="28" spans="1:8">
      <c r="A28" s="19" t="s">
        <v>138</v>
      </c>
      <c r="B28" s="20" t="s">
        <v>128</v>
      </c>
      <c r="C28" s="19" t="s">
        <v>134</v>
      </c>
      <c r="D28" s="19">
        <v>1</v>
      </c>
      <c r="E28" s="19" t="s">
        <v>114</v>
      </c>
      <c r="F28" s="24">
        <v>8</v>
      </c>
      <c r="G28" s="7"/>
      <c r="H28" s="24">
        <f t="shared" ref="H28:H34" si="3">F28*G28</f>
        <v>0</v>
      </c>
    </row>
    <row r="29" spans="1:8">
      <c r="A29" s="19" t="s">
        <v>139</v>
      </c>
      <c r="B29" s="20" t="s">
        <v>129</v>
      </c>
      <c r="C29" s="19" t="s">
        <v>148</v>
      </c>
      <c r="D29" s="19">
        <v>1</v>
      </c>
      <c r="E29" s="19" t="s">
        <v>114</v>
      </c>
      <c r="F29" s="24">
        <v>8</v>
      </c>
      <c r="G29" s="7"/>
      <c r="H29" s="24">
        <f t="shared" si="3"/>
        <v>0</v>
      </c>
    </row>
    <row r="30" spans="1:8">
      <c r="A30" s="19" t="s">
        <v>140</v>
      </c>
      <c r="B30" s="20" t="s">
        <v>127</v>
      </c>
      <c r="C30" s="19" t="s">
        <v>149</v>
      </c>
      <c r="D30" s="19">
        <v>1</v>
      </c>
      <c r="E30" s="19" t="s">
        <v>114</v>
      </c>
      <c r="F30" s="24">
        <v>8</v>
      </c>
      <c r="G30" s="7"/>
      <c r="H30" s="24">
        <f t="shared" si="3"/>
        <v>0</v>
      </c>
    </row>
    <row r="31" spans="1:8">
      <c r="A31" s="19" t="s">
        <v>141</v>
      </c>
      <c r="B31" s="20" t="s">
        <v>130</v>
      </c>
      <c r="C31" s="19" t="s">
        <v>150</v>
      </c>
      <c r="D31" s="19">
        <v>1</v>
      </c>
      <c r="E31" s="19" t="s">
        <v>114</v>
      </c>
      <c r="F31" s="24">
        <v>8</v>
      </c>
      <c r="G31" s="7"/>
      <c r="H31" s="24">
        <f t="shared" si="3"/>
        <v>0</v>
      </c>
    </row>
    <row r="32" spans="1:8" ht="30">
      <c r="A32" s="19" t="s">
        <v>142</v>
      </c>
      <c r="B32" s="20" t="s">
        <v>131</v>
      </c>
      <c r="C32" s="19" t="s">
        <v>151</v>
      </c>
      <c r="D32" s="19">
        <v>1</v>
      </c>
      <c r="E32" s="19" t="s">
        <v>120</v>
      </c>
      <c r="F32" s="24">
        <v>8</v>
      </c>
      <c r="G32" s="7"/>
      <c r="H32" s="24">
        <f t="shared" si="3"/>
        <v>0</v>
      </c>
    </row>
    <row r="33" spans="1:8" ht="30">
      <c r="A33" s="19" t="s">
        <v>143</v>
      </c>
      <c r="B33" s="20" t="s">
        <v>132</v>
      </c>
      <c r="C33" s="19" t="s">
        <v>152</v>
      </c>
      <c r="D33" s="19">
        <v>1</v>
      </c>
      <c r="E33" s="19" t="s">
        <v>120</v>
      </c>
      <c r="F33" s="24">
        <v>8</v>
      </c>
      <c r="G33" s="7"/>
      <c r="H33" s="24">
        <f t="shared" si="3"/>
        <v>0</v>
      </c>
    </row>
    <row r="34" spans="1:8">
      <c r="A34" s="19" t="s">
        <v>144</v>
      </c>
      <c r="B34" s="20" t="s">
        <v>133</v>
      </c>
      <c r="C34" s="19" t="s">
        <v>149</v>
      </c>
      <c r="D34" s="19">
        <v>1</v>
      </c>
      <c r="E34" s="19" t="s">
        <v>120</v>
      </c>
      <c r="F34" s="24">
        <v>8</v>
      </c>
      <c r="G34" s="7"/>
      <c r="H34" s="24">
        <f t="shared" si="3"/>
        <v>0</v>
      </c>
    </row>
    <row r="35" spans="1:8">
      <c r="A35" s="2"/>
      <c r="B35" s="36"/>
      <c r="C35" s="36"/>
      <c r="D35" s="2"/>
      <c r="E35" s="2"/>
      <c r="F35" s="2" t="s">
        <v>12</v>
      </c>
      <c r="G35" s="2"/>
      <c r="H35" s="32">
        <f>SUM(H12:H13,H17:H24,H28:H34)</f>
        <v>0</v>
      </c>
    </row>
    <row r="36" spans="1:8">
      <c r="A36" s="2"/>
      <c r="B36" s="36"/>
      <c r="C36" s="36"/>
      <c r="D36" s="2"/>
      <c r="E36" s="2"/>
      <c r="F36" s="2" t="s">
        <v>38</v>
      </c>
      <c r="G36" s="2"/>
      <c r="H36" s="37" t="s">
        <v>125</v>
      </c>
    </row>
    <row r="37" spans="1:8">
      <c r="A37" s="2"/>
      <c r="B37" s="36"/>
      <c r="C37" s="36"/>
      <c r="D37" s="2"/>
      <c r="E37" s="2"/>
      <c r="F37" s="33" t="s">
        <v>13</v>
      </c>
      <c r="G37" s="2"/>
      <c r="H37" s="34">
        <f>H35</f>
        <v>0</v>
      </c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 t="s">
        <v>18</v>
      </c>
      <c r="B39" s="2"/>
      <c r="C39" s="2"/>
      <c r="D39" s="17" t="s">
        <v>19</v>
      </c>
    </row>
    <row r="40" spans="1:8">
      <c r="A40" s="2" t="s">
        <v>121</v>
      </c>
      <c r="B40" s="2"/>
      <c r="C40" s="2"/>
      <c r="D40" s="18" t="s">
        <v>20</v>
      </c>
      <c r="E40" s="5"/>
      <c r="F40" s="5"/>
      <c r="G40" s="5"/>
      <c r="H40" s="5"/>
    </row>
    <row r="41" spans="1:8">
      <c r="A41" s="2" t="s">
        <v>122</v>
      </c>
      <c r="B41" s="2"/>
      <c r="C41" s="2"/>
      <c r="D41" s="18" t="s">
        <v>21</v>
      </c>
      <c r="E41" s="6"/>
      <c r="F41" s="6"/>
      <c r="G41" s="6"/>
      <c r="H41" s="6"/>
    </row>
    <row r="42" spans="1:8">
      <c r="A42" s="2" t="s">
        <v>22</v>
      </c>
      <c r="B42" s="2"/>
      <c r="C42" s="2"/>
      <c r="D42" s="18" t="s">
        <v>23</v>
      </c>
      <c r="E42" s="6"/>
      <c r="F42" s="6"/>
      <c r="G42" s="6"/>
      <c r="H42" s="6"/>
    </row>
    <row r="43" spans="1:8">
      <c r="A43" s="2" t="s">
        <v>48</v>
      </c>
      <c r="B43" s="2"/>
      <c r="C43" s="2"/>
      <c r="D43" s="18" t="s">
        <v>24</v>
      </c>
      <c r="E43" s="6"/>
      <c r="F43" s="6"/>
      <c r="G43" s="6"/>
      <c r="H43" s="6"/>
    </row>
    <row r="44" spans="1:8">
      <c r="A44" s="2" t="s">
        <v>123</v>
      </c>
      <c r="B44" s="2"/>
      <c r="C44" s="2"/>
      <c r="D44" s="18" t="s">
        <v>25</v>
      </c>
      <c r="E44" s="6"/>
      <c r="F44" s="6"/>
      <c r="G44" s="6"/>
      <c r="H44" s="6"/>
    </row>
    <row r="45" spans="1:8">
      <c r="A45" s="2" t="s">
        <v>124</v>
      </c>
      <c r="B45" s="2"/>
      <c r="C45" s="2"/>
      <c r="D45" s="18" t="s">
        <v>26</v>
      </c>
      <c r="E45" s="6"/>
      <c r="F45" s="6"/>
      <c r="G45" s="6"/>
      <c r="H45" s="6"/>
    </row>
    <row r="46" spans="1:8">
      <c r="A46" s="2"/>
      <c r="B46" s="2"/>
      <c r="C46" s="2"/>
      <c r="D46" s="18" t="s">
        <v>27</v>
      </c>
      <c r="E46" s="6"/>
      <c r="F46" s="6"/>
      <c r="G46" s="6"/>
      <c r="H46" s="6"/>
    </row>
    <row r="47" spans="1:8">
      <c r="A47" s="2"/>
      <c r="B47" s="2"/>
      <c r="C47" s="2"/>
      <c r="D47" s="18"/>
    </row>
    <row r="48" spans="1:8">
      <c r="A48" s="4" t="s">
        <v>28</v>
      </c>
      <c r="D48" s="17" t="s">
        <v>29</v>
      </c>
    </row>
    <row r="49" spans="1:8">
      <c r="A49" s="4" t="s">
        <v>30</v>
      </c>
      <c r="D49" s="18" t="s">
        <v>20</v>
      </c>
      <c r="E49" s="5"/>
      <c r="F49" s="5"/>
      <c r="G49" s="5"/>
      <c r="H49" s="5"/>
    </row>
    <row r="50" spans="1:8">
      <c r="A50" s="4" t="s">
        <v>31</v>
      </c>
      <c r="B50" s="4" t="s">
        <v>37</v>
      </c>
      <c r="D50" s="18" t="s">
        <v>21</v>
      </c>
      <c r="E50" s="6"/>
      <c r="F50" s="6"/>
      <c r="G50" s="6"/>
      <c r="H50" s="6"/>
    </row>
    <row r="51" spans="1:8">
      <c r="A51" s="4" t="s">
        <v>32</v>
      </c>
      <c r="B51" s="5"/>
      <c r="D51" s="18" t="s">
        <v>23</v>
      </c>
      <c r="E51" s="6"/>
      <c r="F51" s="6"/>
      <c r="G51" s="6"/>
      <c r="H51" s="6"/>
    </row>
    <row r="52" spans="1:8">
      <c r="A52" s="4" t="s">
        <v>33</v>
      </c>
      <c r="B52" s="5"/>
      <c r="D52" s="18" t="s">
        <v>24</v>
      </c>
      <c r="E52" s="6"/>
      <c r="F52" s="6"/>
      <c r="G52" s="6"/>
      <c r="H52" s="6"/>
    </row>
    <row r="53" spans="1:8">
      <c r="A53" s="4" t="s">
        <v>34</v>
      </c>
      <c r="B53" s="5"/>
      <c r="D53" s="18" t="s">
        <v>25</v>
      </c>
      <c r="E53" s="6"/>
      <c r="F53" s="6"/>
      <c r="G53" s="6"/>
      <c r="H53" s="6"/>
    </row>
    <row r="54" spans="1:8">
      <c r="D54" s="18" t="s">
        <v>26</v>
      </c>
      <c r="E54" s="6"/>
      <c r="F54" s="6"/>
      <c r="G54" s="6"/>
      <c r="H54" s="6"/>
    </row>
    <row r="55" spans="1:8">
      <c r="D55" s="18" t="s">
        <v>35</v>
      </c>
      <c r="E55" s="6"/>
      <c r="F55" s="6"/>
      <c r="G55" s="6"/>
      <c r="H55" s="6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</sheetData>
  <sheetProtection password="C94E" sheet="1" objects="1" scenarios="1" selectLockedCells="1"/>
  <mergeCells count="11">
    <mergeCell ref="A26:H26"/>
    <mergeCell ref="B1:F1"/>
    <mergeCell ref="B2:F2"/>
    <mergeCell ref="B3:F3"/>
    <mergeCell ref="A15:H15"/>
    <mergeCell ref="A10:H10"/>
    <mergeCell ref="E8:G8"/>
    <mergeCell ref="E4:G4"/>
    <mergeCell ref="E5:G5"/>
    <mergeCell ref="E6:G6"/>
    <mergeCell ref="E7:G7"/>
  </mergeCells>
  <hyperlinks>
    <hyperlink ref="B8" r:id="rId1"/>
    <hyperlink ref="B5" r:id="rId2"/>
    <hyperlink ref="E8" r:id="rId3"/>
    <hyperlink ref="E5" r:id="rId4"/>
  </hyperlinks>
  <pageMargins left="0.5" right="0.5" top="0.75" bottom="0.75" header="0.3" footer="0.3"/>
  <pageSetup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8"/>
  <sheetViews>
    <sheetView tabSelected="1" topLeftCell="A45" workbookViewId="0">
      <selection activeCell="G56" sqref="G56"/>
    </sheetView>
  </sheetViews>
  <sheetFormatPr defaultRowHeight="15"/>
  <cols>
    <col min="1" max="1" width="16.85546875" style="4" customWidth="1"/>
    <col min="2" max="2" width="44.28515625" style="35" customWidth="1"/>
    <col min="3" max="3" width="12.5703125" style="4" bestFit="1" customWidth="1"/>
    <col min="4" max="4" width="13.7109375" style="4" bestFit="1" customWidth="1"/>
    <col min="5" max="5" width="12.28515625" style="4" bestFit="1" customWidth="1"/>
    <col min="6" max="6" width="8.28515625" style="4" customWidth="1"/>
    <col min="7" max="7" width="8.7109375" style="4" bestFit="1" customWidth="1"/>
    <col min="8" max="8" width="10.28515625" style="4" bestFit="1" customWidth="1"/>
    <col min="9" max="16384" width="9.140625" style="4"/>
  </cols>
  <sheetData>
    <row r="1" spans="1:8" ht="23.25">
      <c r="A1" s="2"/>
      <c r="B1" s="38" t="s">
        <v>47</v>
      </c>
      <c r="C1" s="39"/>
      <c r="D1" s="39"/>
      <c r="E1" s="39"/>
      <c r="F1" s="39"/>
      <c r="G1" s="2"/>
      <c r="H1" s="2"/>
    </row>
    <row r="2" spans="1:8" ht="23.25">
      <c r="A2" s="2"/>
      <c r="B2" s="38" t="s">
        <v>15</v>
      </c>
      <c r="C2" s="39"/>
      <c r="D2" s="39"/>
      <c r="E2" s="39"/>
      <c r="F2" s="39"/>
      <c r="G2" s="2"/>
      <c r="H2" s="2"/>
    </row>
    <row r="3" spans="1:8" ht="23.25">
      <c r="A3" s="2"/>
      <c r="B3" s="38" t="s">
        <v>48</v>
      </c>
      <c r="C3" s="39"/>
      <c r="D3" s="39"/>
      <c r="E3" s="39"/>
      <c r="F3" s="39"/>
      <c r="G3" s="2"/>
      <c r="H3" s="2"/>
    </row>
    <row r="4" spans="1:8">
      <c r="A4" s="2"/>
      <c r="B4" s="11" t="s">
        <v>8</v>
      </c>
      <c r="C4" s="2"/>
      <c r="D4" s="9"/>
      <c r="E4" s="44" t="s">
        <v>41</v>
      </c>
      <c r="F4" s="45"/>
      <c r="G4" s="46"/>
      <c r="H4" s="2"/>
    </row>
    <row r="5" spans="1:8">
      <c r="A5" s="2"/>
      <c r="B5" s="15" t="s">
        <v>9</v>
      </c>
      <c r="C5" s="2"/>
      <c r="D5" s="10"/>
      <c r="E5" s="56" t="s">
        <v>43</v>
      </c>
      <c r="F5" s="57"/>
      <c r="G5" s="58"/>
      <c r="H5" s="2"/>
    </row>
    <row r="6" spans="1:8">
      <c r="A6" s="2"/>
      <c r="B6" s="13" t="s">
        <v>10</v>
      </c>
      <c r="C6" s="2"/>
      <c r="D6" s="9"/>
      <c r="E6" s="50" t="s">
        <v>42</v>
      </c>
      <c r="F6" s="51"/>
      <c r="G6" s="52"/>
      <c r="H6" s="2"/>
    </row>
    <row r="7" spans="1:8">
      <c r="A7" s="2"/>
      <c r="B7" s="13" t="s">
        <v>11</v>
      </c>
      <c r="C7" s="2"/>
      <c r="D7" s="9"/>
      <c r="E7" s="50" t="s">
        <v>11</v>
      </c>
      <c r="F7" s="51"/>
      <c r="G7" s="52"/>
      <c r="H7" s="2"/>
    </row>
    <row r="8" spans="1:8" ht="15" customHeight="1">
      <c r="A8" s="2"/>
      <c r="B8" s="16" t="s">
        <v>36</v>
      </c>
      <c r="C8" s="2"/>
      <c r="D8" s="2"/>
      <c r="E8" s="53" t="s">
        <v>36</v>
      </c>
      <c r="F8" s="54"/>
      <c r="G8" s="55"/>
      <c r="H8" s="2"/>
    </row>
    <row r="9" spans="1:8">
      <c r="A9" s="2"/>
      <c r="B9" s="1"/>
      <c r="C9" s="2"/>
      <c r="D9" s="2"/>
      <c r="E9" s="2"/>
      <c r="F9" s="2"/>
      <c r="G9" s="2"/>
      <c r="H9" s="2"/>
    </row>
    <row r="10" spans="1:8" ht="18.75">
      <c r="A10" s="40" t="s">
        <v>106</v>
      </c>
      <c r="B10" s="40"/>
      <c r="C10" s="40"/>
      <c r="D10" s="40"/>
      <c r="E10" s="40"/>
      <c r="F10" s="40"/>
      <c r="G10" s="40"/>
      <c r="H10" s="40"/>
    </row>
    <row r="11" spans="1:8">
      <c r="A11" s="28" t="s">
        <v>0</v>
      </c>
      <c r="B11" s="28" t="s">
        <v>6</v>
      </c>
      <c r="C11" s="28" t="s">
        <v>1</v>
      </c>
      <c r="D11" s="28" t="s">
        <v>16</v>
      </c>
      <c r="E11" s="28" t="s">
        <v>3</v>
      </c>
      <c r="F11" s="28" t="s">
        <v>2</v>
      </c>
      <c r="G11" s="28" t="s">
        <v>4</v>
      </c>
      <c r="H11" s="28" t="s">
        <v>5</v>
      </c>
    </row>
    <row r="12" spans="1:8">
      <c r="A12" s="19" t="s">
        <v>49</v>
      </c>
      <c r="B12" s="20" t="s">
        <v>50</v>
      </c>
      <c r="C12" s="19" t="s">
        <v>51</v>
      </c>
      <c r="D12" s="21">
        <v>70</v>
      </c>
      <c r="E12" s="19" t="s">
        <v>52</v>
      </c>
      <c r="F12" s="22">
        <v>295</v>
      </c>
      <c r="G12" s="7"/>
      <c r="H12" s="24">
        <f>F12*G12</f>
        <v>0</v>
      </c>
    </row>
    <row r="13" spans="1:8">
      <c r="A13" s="19" t="s">
        <v>53</v>
      </c>
      <c r="B13" s="20" t="s">
        <v>54</v>
      </c>
      <c r="C13" s="19" t="s">
        <v>39</v>
      </c>
      <c r="D13" s="21">
        <v>73</v>
      </c>
      <c r="E13" s="19" t="s">
        <v>55</v>
      </c>
      <c r="F13" s="22">
        <v>370</v>
      </c>
      <c r="G13" s="7"/>
      <c r="H13" s="24">
        <f t="shared" ref="H13:H15" si="0">F13*G13</f>
        <v>0</v>
      </c>
    </row>
    <row r="14" spans="1:8">
      <c r="A14" s="19" t="s">
        <v>56</v>
      </c>
      <c r="B14" s="20" t="s">
        <v>57</v>
      </c>
      <c r="C14" s="19" t="s">
        <v>59</v>
      </c>
      <c r="D14" s="21">
        <v>70</v>
      </c>
      <c r="E14" s="19" t="s">
        <v>60</v>
      </c>
      <c r="F14" s="22">
        <v>400</v>
      </c>
      <c r="G14" s="7"/>
      <c r="H14" s="24">
        <f t="shared" si="0"/>
        <v>0</v>
      </c>
    </row>
    <row r="15" spans="1:8">
      <c r="A15" s="19" t="s">
        <v>62</v>
      </c>
      <c r="B15" s="20" t="s">
        <v>58</v>
      </c>
      <c r="C15" s="19" t="s">
        <v>61</v>
      </c>
      <c r="D15" s="21">
        <v>50</v>
      </c>
      <c r="E15" s="19" t="s">
        <v>63</v>
      </c>
      <c r="F15" s="22">
        <v>290</v>
      </c>
      <c r="G15" s="7"/>
      <c r="H15" s="24">
        <f t="shared" si="0"/>
        <v>0</v>
      </c>
    </row>
    <row r="16" spans="1:8">
      <c r="A16" s="19" t="s">
        <v>64</v>
      </c>
      <c r="B16" s="20" t="s">
        <v>65</v>
      </c>
      <c r="C16" s="19" t="s">
        <v>66</v>
      </c>
      <c r="D16" s="21">
        <v>50</v>
      </c>
      <c r="E16" s="19" t="s">
        <v>67</v>
      </c>
      <c r="F16" s="22">
        <v>370</v>
      </c>
      <c r="G16" s="7"/>
      <c r="H16" s="24">
        <f>F16*G16</f>
        <v>0</v>
      </c>
    </row>
    <row r="17" spans="1:8">
      <c r="A17" s="19" t="s">
        <v>68</v>
      </c>
      <c r="B17" s="23" t="s">
        <v>69</v>
      </c>
      <c r="C17" s="19" t="s">
        <v>70</v>
      </c>
      <c r="D17" s="21">
        <v>50</v>
      </c>
      <c r="E17" s="19" t="s">
        <v>71</v>
      </c>
      <c r="F17" s="22">
        <v>385</v>
      </c>
      <c r="G17" s="7"/>
      <c r="H17" s="24">
        <f t="shared" ref="H17" si="1">F17*G17</f>
        <v>0</v>
      </c>
    </row>
    <row r="18" spans="1:8">
      <c r="A18" s="25"/>
      <c r="B18" s="26"/>
      <c r="C18" s="25"/>
      <c r="D18" s="25"/>
      <c r="E18" s="25"/>
      <c r="F18" s="27"/>
      <c r="G18" s="25"/>
      <c r="H18" s="27"/>
    </row>
    <row r="19" spans="1:8" ht="18.75">
      <c r="A19" s="40" t="s">
        <v>72</v>
      </c>
      <c r="B19" s="40"/>
      <c r="C19" s="40"/>
      <c r="D19" s="40"/>
      <c r="E19" s="40"/>
      <c r="F19" s="40"/>
      <c r="G19" s="40"/>
      <c r="H19" s="40"/>
    </row>
    <row r="20" spans="1:8">
      <c r="A20" s="28" t="s">
        <v>0</v>
      </c>
      <c r="B20" s="28" t="s">
        <v>6</v>
      </c>
      <c r="C20" s="28" t="s">
        <v>1</v>
      </c>
      <c r="D20" s="28" t="s">
        <v>16</v>
      </c>
      <c r="E20" s="28" t="s">
        <v>3</v>
      </c>
      <c r="F20" s="28" t="s">
        <v>2</v>
      </c>
      <c r="G20" s="28" t="s">
        <v>4</v>
      </c>
      <c r="H20" s="28" t="s">
        <v>5</v>
      </c>
    </row>
    <row r="21" spans="1:8">
      <c r="A21" s="19" t="s">
        <v>73</v>
      </c>
      <c r="B21" s="20" t="s">
        <v>74</v>
      </c>
      <c r="C21" s="19" t="s">
        <v>17</v>
      </c>
      <c r="D21" s="19">
        <v>35</v>
      </c>
      <c r="E21" s="19" t="s">
        <v>45</v>
      </c>
      <c r="F21" s="24">
        <v>159</v>
      </c>
      <c r="G21" s="7"/>
      <c r="H21" s="24">
        <f>F21*G21</f>
        <v>0</v>
      </c>
    </row>
    <row r="22" spans="1:8">
      <c r="A22" s="19" t="s">
        <v>75</v>
      </c>
      <c r="B22" s="20" t="s">
        <v>76</v>
      </c>
      <c r="C22" s="19" t="s">
        <v>17</v>
      </c>
      <c r="D22" s="19">
        <v>15</v>
      </c>
      <c r="E22" s="19" t="s">
        <v>45</v>
      </c>
      <c r="F22" s="24">
        <v>89</v>
      </c>
      <c r="G22" s="7"/>
      <c r="H22" s="24">
        <f t="shared" ref="H22:H44" si="2">F22*G22</f>
        <v>0</v>
      </c>
    </row>
    <row r="23" spans="1:8">
      <c r="A23" s="19" t="s">
        <v>77</v>
      </c>
      <c r="B23" s="20" t="s">
        <v>78</v>
      </c>
      <c r="C23" s="19" t="s">
        <v>17</v>
      </c>
      <c r="D23" s="19">
        <v>15</v>
      </c>
      <c r="E23" s="19" t="s">
        <v>45</v>
      </c>
      <c r="F23" s="24">
        <v>46</v>
      </c>
      <c r="G23" s="7"/>
      <c r="H23" s="24">
        <f t="shared" si="2"/>
        <v>0</v>
      </c>
    </row>
    <row r="24" spans="1:8">
      <c r="A24" s="19" t="s">
        <v>79</v>
      </c>
      <c r="B24" s="20" t="s">
        <v>80</v>
      </c>
      <c r="C24" s="19" t="s">
        <v>17</v>
      </c>
      <c r="D24" s="19">
        <v>5</v>
      </c>
      <c r="E24" s="19" t="s">
        <v>45</v>
      </c>
      <c r="F24" s="24">
        <v>24.5</v>
      </c>
      <c r="G24" s="7"/>
      <c r="H24" s="24">
        <f t="shared" si="2"/>
        <v>0</v>
      </c>
    </row>
    <row r="25" spans="1:8">
      <c r="A25" s="19" t="s">
        <v>90</v>
      </c>
      <c r="B25" s="20" t="s">
        <v>81</v>
      </c>
      <c r="C25" s="19" t="s">
        <v>94</v>
      </c>
      <c r="D25" s="19">
        <v>63</v>
      </c>
      <c r="E25" s="19" t="s">
        <v>46</v>
      </c>
      <c r="F25" s="24">
        <v>318</v>
      </c>
      <c r="G25" s="7"/>
      <c r="H25" s="24">
        <f>F25*G25</f>
        <v>0</v>
      </c>
    </row>
    <row r="26" spans="1:8">
      <c r="A26" s="19" t="s">
        <v>91</v>
      </c>
      <c r="B26" s="20" t="s">
        <v>82</v>
      </c>
      <c r="C26" s="19" t="s">
        <v>94</v>
      </c>
      <c r="D26" s="19">
        <v>27</v>
      </c>
      <c r="E26" s="19" t="s">
        <v>46</v>
      </c>
      <c r="F26" s="24">
        <v>167</v>
      </c>
      <c r="G26" s="7"/>
      <c r="H26" s="24">
        <f t="shared" ref="H26:H28" si="3">F26*G26</f>
        <v>0</v>
      </c>
    </row>
    <row r="27" spans="1:8">
      <c r="A27" s="19" t="s">
        <v>92</v>
      </c>
      <c r="B27" s="20" t="s">
        <v>83</v>
      </c>
      <c r="C27" s="19" t="s">
        <v>94</v>
      </c>
      <c r="D27" s="19">
        <v>27</v>
      </c>
      <c r="E27" s="19" t="s">
        <v>46</v>
      </c>
      <c r="F27" s="24">
        <v>105</v>
      </c>
      <c r="G27" s="7"/>
      <c r="H27" s="24">
        <f t="shared" si="3"/>
        <v>0</v>
      </c>
    </row>
    <row r="28" spans="1:8">
      <c r="A28" s="19" t="s">
        <v>93</v>
      </c>
      <c r="B28" s="20" t="s">
        <v>84</v>
      </c>
      <c r="C28" s="19" t="s">
        <v>94</v>
      </c>
      <c r="D28" s="19">
        <v>9</v>
      </c>
      <c r="E28" s="19" t="s">
        <v>46</v>
      </c>
      <c r="F28" s="24">
        <v>47</v>
      </c>
      <c r="G28" s="7"/>
      <c r="H28" s="24">
        <f t="shared" si="3"/>
        <v>0</v>
      </c>
    </row>
    <row r="29" spans="1:8">
      <c r="A29" s="19" t="s">
        <v>95</v>
      </c>
      <c r="B29" s="20" t="s">
        <v>85</v>
      </c>
      <c r="C29" s="19" t="s">
        <v>99</v>
      </c>
      <c r="D29" s="19">
        <v>56</v>
      </c>
      <c r="E29" s="19" t="s">
        <v>100</v>
      </c>
      <c r="F29" s="24">
        <v>319</v>
      </c>
      <c r="G29" s="7"/>
      <c r="H29" s="24">
        <f t="shared" si="2"/>
        <v>0</v>
      </c>
    </row>
    <row r="30" spans="1:8">
      <c r="A30" s="19" t="s">
        <v>96</v>
      </c>
      <c r="B30" s="20" t="s">
        <v>86</v>
      </c>
      <c r="C30" s="19" t="s">
        <v>99</v>
      </c>
      <c r="D30" s="19">
        <v>24</v>
      </c>
      <c r="E30" s="19" t="s">
        <v>100</v>
      </c>
      <c r="F30" s="24">
        <v>159</v>
      </c>
      <c r="G30" s="7"/>
      <c r="H30" s="24">
        <f>F30*G30</f>
        <v>0</v>
      </c>
    </row>
    <row r="31" spans="1:8">
      <c r="A31" s="19" t="s">
        <v>97</v>
      </c>
      <c r="B31" s="20" t="s">
        <v>87</v>
      </c>
      <c r="C31" s="19" t="s">
        <v>99</v>
      </c>
      <c r="D31" s="19">
        <v>24</v>
      </c>
      <c r="E31" s="19" t="s">
        <v>100</v>
      </c>
      <c r="F31" s="24">
        <v>119</v>
      </c>
      <c r="G31" s="7"/>
      <c r="H31" s="24">
        <f t="shared" ref="H31:H35" si="4">F31*G31</f>
        <v>0</v>
      </c>
    </row>
    <row r="32" spans="1:8">
      <c r="A32" s="19" t="s">
        <v>98</v>
      </c>
      <c r="B32" s="20" t="s">
        <v>88</v>
      </c>
      <c r="C32" s="19" t="s">
        <v>99</v>
      </c>
      <c r="D32" s="19">
        <v>8</v>
      </c>
      <c r="E32" s="19" t="s">
        <v>100</v>
      </c>
      <c r="F32" s="24">
        <v>45</v>
      </c>
      <c r="G32" s="7"/>
      <c r="H32" s="24">
        <f t="shared" si="4"/>
        <v>0</v>
      </c>
    </row>
    <row r="33" spans="1:8">
      <c r="A33" s="19" t="s">
        <v>101</v>
      </c>
      <c r="B33" s="20" t="s">
        <v>89</v>
      </c>
      <c r="C33" s="19" t="s">
        <v>44</v>
      </c>
      <c r="D33" s="19">
        <v>49</v>
      </c>
      <c r="E33" s="19" t="s">
        <v>105</v>
      </c>
      <c r="F33" s="24">
        <v>295</v>
      </c>
      <c r="G33" s="7"/>
      <c r="H33" s="24">
        <f t="shared" si="4"/>
        <v>0</v>
      </c>
    </row>
    <row r="34" spans="1:8">
      <c r="A34" s="19" t="s">
        <v>102</v>
      </c>
      <c r="B34" s="20" t="s">
        <v>89</v>
      </c>
      <c r="C34" s="19" t="s">
        <v>44</v>
      </c>
      <c r="D34" s="19">
        <v>21</v>
      </c>
      <c r="E34" s="19" t="s">
        <v>105</v>
      </c>
      <c r="F34" s="24">
        <v>149</v>
      </c>
      <c r="G34" s="7"/>
      <c r="H34" s="24">
        <f t="shared" si="4"/>
        <v>0</v>
      </c>
    </row>
    <row r="35" spans="1:8">
      <c r="A35" s="19" t="s">
        <v>103</v>
      </c>
      <c r="B35" s="20" t="s">
        <v>89</v>
      </c>
      <c r="C35" s="19" t="s">
        <v>44</v>
      </c>
      <c r="D35" s="19">
        <v>21</v>
      </c>
      <c r="E35" s="19" t="s">
        <v>105</v>
      </c>
      <c r="F35" s="24">
        <v>115</v>
      </c>
      <c r="G35" s="7"/>
      <c r="H35" s="24">
        <f t="shared" si="4"/>
        <v>0</v>
      </c>
    </row>
    <row r="36" spans="1:8">
      <c r="A36" s="19" t="s">
        <v>104</v>
      </c>
      <c r="B36" s="20" t="s">
        <v>89</v>
      </c>
      <c r="C36" s="19" t="s">
        <v>44</v>
      </c>
      <c r="D36" s="19">
        <v>7</v>
      </c>
      <c r="E36" s="19" t="s">
        <v>105</v>
      </c>
      <c r="F36" s="24">
        <v>42</v>
      </c>
      <c r="G36" s="7"/>
      <c r="H36" s="24">
        <f t="shared" si="2"/>
        <v>0</v>
      </c>
    </row>
    <row r="37" spans="1:8">
      <c r="A37" s="19" t="s">
        <v>107</v>
      </c>
      <c r="B37" s="20" t="s">
        <v>111</v>
      </c>
      <c r="C37" s="19" t="s">
        <v>113</v>
      </c>
      <c r="D37" s="19">
        <v>42</v>
      </c>
      <c r="E37" s="19" t="s">
        <v>114</v>
      </c>
      <c r="F37" s="24">
        <v>224</v>
      </c>
      <c r="G37" s="7"/>
      <c r="H37" s="24">
        <f t="shared" si="2"/>
        <v>0</v>
      </c>
    </row>
    <row r="38" spans="1:8">
      <c r="A38" s="19" t="s">
        <v>108</v>
      </c>
      <c r="B38" s="20" t="s">
        <v>111</v>
      </c>
      <c r="C38" s="19" t="s">
        <v>113</v>
      </c>
      <c r="D38" s="19">
        <v>18</v>
      </c>
      <c r="E38" s="19" t="s">
        <v>114</v>
      </c>
      <c r="F38" s="24">
        <v>124</v>
      </c>
      <c r="G38" s="7"/>
      <c r="H38" s="24">
        <f t="shared" si="2"/>
        <v>0</v>
      </c>
    </row>
    <row r="39" spans="1:8">
      <c r="A39" s="19" t="s">
        <v>109</v>
      </c>
      <c r="B39" s="20" t="s">
        <v>111</v>
      </c>
      <c r="C39" s="19" t="s">
        <v>113</v>
      </c>
      <c r="D39" s="19">
        <v>18</v>
      </c>
      <c r="E39" s="19" t="s">
        <v>114</v>
      </c>
      <c r="F39" s="24">
        <v>70</v>
      </c>
      <c r="G39" s="7"/>
      <c r="H39" s="24">
        <f t="shared" si="2"/>
        <v>0</v>
      </c>
    </row>
    <row r="40" spans="1:8">
      <c r="A40" s="19" t="s">
        <v>110</v>
      </c>
      <c r="B40" s="20" t="s">
        <v>111</v>
      </c>
      <c r="C40" s="19" t="s">
        <v>113</v>
      </c>
      <c r="D40" s="19">
        <v>6</v>
      </c>
      <c r="E40" s="19" t="s">
        <v>114</v>
      </c>
      <c r="F40" s="24">
        <v>34</v>
      </c>
      <c r="G40" s="7"/>
      <c r="H40" s="24">
        <f t="shared" si="2"/>
        <v>0</v>
      </c>
    </row>
    <row r="41" spans="1:8">
      <c r="A41" s="19" t="s">
        <v>115</v>
      </c>
      <c r="B41" s="20" t="s">
        <v>112</v>
      </c>
      <c r="C41" s="19" t="s">
        <v>119</v>
      </c>
      <c r="D41" s="19">
        <v>42</v>
      </c>
      <c r="E41" s="19" t="s">
        <v>120</v>
      </c>
      <c r="F41" s="24">
        <v>224</v>
      </c>
      <c r="G41" s="7"/>
      <c r="H41" s="24">
        <f t="shared" si="2"/>
        <v>0</v>
      </c>
    </row>
    <row r="42" spans="1:8">
      <c r="A42" s="19" t="s">
        <v>116</v>
      </c>
      <c r="B42" s="20" t="s">
        <v>112</v>
      </c>
      <c r="C42" s="19" t="s">
        <v>119</v>
      </c>
      <c r="D42" s="19">
        <v>18</v>
      </c>
      <c r="E42" s="19" t="s">
        <v>120</v>
      </c>
      <c r="F42" s="24">
        <v>124</v>
      </c>
      <c r="G42" s="7"/>
      <c r="H42" s="24">
        <f t="shared" si="2"/>
        <v>0</v>
      </c>
    </row>
    <row r="43" spans="1:8">
      <c r="A43" s="19" t="s">
        <v>117</v>
      </c>
      <c r="B43" s="20" t="s">
        <v>112</v>
      </c>
      <c r="C43" s="19" t="s">
        <v>119</v>
      </c>
      <c r="D43" s="19">
        <v>18</v>
      </c>
      <c r="E43" s="19" t="s">
        <v>120</v>
      </c>
      <c r="F43" s="24">
        <v>70</v>
      </c>
      <c r="G43" s="7"/>
      <c r="H43" s="24">
        <f t="shared" si="2"/>
        <v>0</v>
      </c>
    </row>
    <row r="44" spans="1:8">
      <c r="A44" s="19" t="s">
        <v>118</v>
      </c>
      <c r="B44" s="20" t="s">
        <v>112</v>
      </c>
      <c r="C44" s="19" t="s">
        <v>119</v>
      </c>
      <c r="D44" s="19">
        <v>6</v>
      </c>
      <c r="E44" s="19" t="s">
        <v>120</v>
      </c>
      <c r="F44" s="24">
        <v>34</v>
      </c>
      <c r="G44" s="7"/>
      <c r="H44" s="24">
        <f t="shared" si="2"/>
        <v>0</v>
      </c>
    </row>
    <row r="45" spans="1:8">
      <c r="A45" s="25"/>
      <c r="B45" s="26"/>
      <c r="C45" s="25"/>
      <c r="D45" s="25"/>
      <c r="E45" s="25"/>
      <c r="F45" s="27"/>
      <c r="G45" s="25"/>
      <c r="H45" s="27"/>
    </row>
    <row r="46" spans="1:8" ht="18.75">
      <c r="A46" s="40" t="s">
        <v>126</v>
      </c>
      <c r="B46" s="40"/>
      <c r="C46" s="40"/>
      <c r="D46" s="40"/>
      <c r="E46" s="40"/>
      <c r="F46" s="40"/>
      <c r="G46" s="40"/>
      <c r="H46" s="40"/>
    </row>
    <row r="47" spans="1:8">
      <c r="A47" s="28" t="s">
        <v>0</v>
      </c>
      <c r="B47" s="28" t="s">
        <v>6</v>
      </c>
      <c r="C47" s="28" t="s">
        <v>1</v>
      </c>
      <c r="D47" s="28" t="s">
        <v>16</v>
      </c>
      <c r="E47" s="28" t="s">
        <v>3</v>
      </c>
      <c r="F47" s="28" t="s">
        <v>2</v>
      </c>
      <c r="G47" s="28" t="s">
        <v>4</v>
      </c>
      <c r="H47" s="28" t="s">
        <v>5</v>
      </c>
    </row>
    <row r="48" spans="1:8">
      <c r="A48" s="19" t="s">
        <v>138</v>
      </c>
      <c r="B48" s="20" t="s">
        <v>128</v>
      </c>
      <c r="C48" s="19" t="s">
        <v>134</v>
      </c>
      <c r="D48" s="19">
        <v>1</v>
      </c>
      <c r="E48" s="19" t="s">
        <v>114</v>
      </c>
      <c r="F48" s="24">
        <v>8</v>
      </c>
      <c r="G48" s="7"/>
      <c r="H48" s="24">
        <f t="shared" ref="H48:H57" si="5">F48*G48</f>
        <v>0</v>
      </c>
    </row>
    <row r="49" spans="1:8">
      <c r="A49" s="19" t="s">
        <v>139</v>
      </c>
      <c r="B49" s="20" t="s">
        <v>129</v>
      </c>
      <c r="C49" s="19" t="s">
        <v>148</v>
      </c>
      <c r="D49" s="19">
        <v>1</v>
      </c>
      <c r="E49" s="19" t="s">
        <v>114</v>
      </c>
      <c r="F49" s="24">
        <v>8</v>
      </c>
      <c r="G49" s="7"/>
      <c r="H49" s="24">
        <f t="shared" si="5"/>
        <v>0</v>
      </c>
    </row>
    <row r="50" spans="1:8">
      <c r="A50" s="19" t="s">
        <v>140</v>
      </c>
      <c r="B50" s="20" t="s">
        <v>127</v>
      </c>
      <c r="C50" s="19" t="s">
        <v>149</v>
      </c>
      <c r="D50" s="19">
        <v>1</v>
      </c>
      <c r="E50" s="19" t="s">
        <v>114</v>
      </c>
      <c r="F50" s="24">
        <v>8</v>
      </c>
      <c r="G50" s="7"/>
      <c r="H50" s="24">
        <f t="shared" si="5"/>
        <v>0</v>
      </c>
    </row>
    <row r="51" spans="1:8">
      <c r="A51" s="19" t="s">
        <v>141</v>
      </c>
      <c r="B51" s="20" t="s">
        <v>130</v>
      </c>
      <c r="C51" s="19" t="s">
        <v>150</v>
      </c>
      <c r="D51" s="19">
        <v>1</v>
      </c>
      <c r="E51" s="19" t="s">
        <v>114</v>
      </c>
      <c r="F51" s="24">
        <v>8</v>
      </c>
      <c r="G51" s="7"/>
      <c r="H51" s="24">
        <f t="shared" si="5"/>
        <v>0</v>
      </c>
    </row>
    <row r="52" spans="1:8" ht="30">
      <c r="A52" s="19" t="s">
        <v>142</v>
      </c>
      <c r="B52" s="20" t="s">
        <v>131</v>
      </c>
      <c r="C52" s="19" t="s">
        <v>151</v>
      </c>
      <c r="D52" s="19">
        <v>1</v>
      </c>
      <c r="E52" s="19" t="s">
        <v>120</v>
      </c>
      <c r="F52" s="24">
        <v>8</v>
      </c>
      <c r="G52" s="7"/>
      <c r="H52" s="24">
        <f t="shared" si="5"/>
        <v>0</v>
      </c>
    </row>
    <row r="53" spans="1:8" ht="30">
      <c r="A53" s="19" t="s">
        <v>143</v>
      </c>
      <c r="B53" s="20" t="s">
        <v>132</v>
      </c>
      <c r="C53" s="19" t="s">
        <v>152</v>
      </c>
      <c r="D53" s="19">
        <v>1</v>
      </c>
      <c r="E53" s="19" t="s">
        <v>120</v>
      </c>
      <c r="F53" s="24">
        <v>8</v>
      </c>
      <c r="G53" s="7"/>
      <c r="H53" s="24">
        <f t="shared" si="5"/>
        <v>0</v>
      </c>
    </row>
    <row r="54" spans="1:8">
      <c r="A54" s="19" t="s">
        <v>144</v>
      </c>
      <c r="B54" s="20" t="s">
        <v>133</v>
      </c>
      <c r="C54" s="19" t="s">
        <v>149</v>
      </c>
      <c r="D54" s="19">
        <v>1</v>
      </c>
      <c r="E54" s="19" t="s">
        <v>120</v>
      </c>
      <c r="F54" s="24">
        <v>8</v>
      </c>
      <c r="G54" s="7"/>
      <c r="H54" s="24">
        <f t="shared" si="5"/>
        <v>0</v>
      </c>
    </row>
    <row r="55" spans="1:8">
      <c r="A55" s="19" t="s">
        <v>145</v>
      </c>
      <c r="B55" s="20" t="s">
        <v>135</v>
      </c>
      <c r="C55" s="19" t="s">
        <v>153</v>
      </c>
      <c r="D55" s="19">
        <v>1</v>
      </c>
      <c r="E55" s="19" t="s">
        <v>120</v>
      </c>
      <c r="F55" s="24">
        <v>6.5</v>
      </c>
      <c r="G55" s="7"/>
      <c r="H55" s="24">
        <f t="shared" si="5"/>
        <v>0</v>
      </c>
    </row>
    <row r="56" spans="1:8">
      <c r="A56" s="19" t="s">
        <v>146</v>
      </c>
      <c r="B56" s="20" t="s">
        <v>136</v>
      </c>
      <c r="C56" s="19" t="s">
        <v>154</v>
      </c>
      <c r="D56" s="19">
        <v>1</v>
      </c>
      <c r="E56" s="19" t="s">
        <v>120</v>
      </c>
      <c r="F56" s="24">
        <v>6.5</v>
      </c>
      <c r="G56" s="7"/>
      <c r="H56" s="24">
        <f t="shared" si="5"/>
        <v>0</v>
      </c>
    </row>
    <row r="57" spans="1:8">
      <c r="A57" s="19" t="s">
        <v>147</v>
      </c>
      <c r="B57" s="20" t="s">
        <v>137</v>
      </c>
      <c r="C57" s="19" t="s">
        <v>155</v>
      </c>
      <c r="D57" s="19">
        <v>1</v>
      </c>
      <c r="E57" s="19" t="s">
        <v>120</v>
      </c>
      <c r="F57" s="24">
        <v>6.5</v>
      </c>
      <c r="G57" s="7"/>
      <c r="H57" s="24">
        <f t="shared" si="5"/>
        <v>0</v>
      </c>
    </row>
    <row r="58" spans="1:8">
      <c r="A58" s="2"/>
      <c r="B58" s="36"/>
      <c r="C58" s="36"/>
      <c r="D58" s="2"/>
      <c r="E58" s="2"/>
      <c r="F58" s="2" t="s">
        <v>12</v>
      </c>
      <c r="G58" s="2"/>
      <c r="H58" s="32">
        <f>SUM(H12:H17,H21:H44,H48:H57)</f>
        <v>0</v>
      </c>
    </row>
    <row r="59" spans="1:8">
      <c r="A59" s="2"/>
      <c r="B59" s="36"/>
      <c r="C59" s="36"/>
      <c r="D59" s="2"/>
      <c r="E59" s="2"/>
      <c r="F59" s="2" t="s">
        <v>38</v>
      </c>
      <c r="G59" s="2"/>
      <c r="H59" s="37" t="s">
        <v>125</v>
      </c>
    </row>
    <row r="60" spans="1:8">
      <c r="A60" s="2"/>
      <c r="B60" s="36"/>
      <c r="C60" s="36"/>
      <c r="D60" s="2"/>
      <c r="E60" s="2"/>
      <c r="F60" s="33" t="s">
        <v>13</v>
      </c>
      <c r="G60" s="2"/>
      <c r="H60" s="34">
        <f>H58</f>
        <v>0</v>
      </c>
    </row>
    <row r="61" spans="1:8">
      <c r="A61" s="2"/>
      <c r="B61" s="8"/>
      <c r="C61" s="2"/>
      <c r="D61" s="2"/>
      <c r="E61" s="2"/>
      <c r="F61" s="2"/>
      <c r="G61" s="2"/>
      <c r="H61" s="2"/>
    </row>
    <row r="62" spans="1:8">
      <c r="A62" s="2" t="s">
        <v>18</v>
      </c>
      <c r="B62" s="2"/>
      <c r="C62" s="2"/>
      <c r="D62" s="3" t="s">
        <v>19</v>
      </c>
      <c r="E62" s="2"/>
      <c r="F62" s="2"/>
      <c r="G62" s="2"/>
      <c r="H62" s="2"/>
    </row>
    <row r="63" spans="1:8">
      <c r="A63" s="2" t="s">
        <v>121</v>
      </c>
      <c r="B63" s="2"/>
      <c r="C63" s="2"/>
      <c r="D63" s="18" t="s">
        <v>20</v>
      </c>
      <c r="E63" s="5"/>
      <c r="F63" s="5"/>
      <c r="G63" s="5"/>
      <c r="H63" s="5"/>
    </row>
    <row r="64" spans="1:8">
      <c r="A64" s="2" t="s">
        <v>122</v>
      </c>
      <c r="B64" s="2"/>
      <c r="C64" s="2"/>
      <c r="D64" s="18" t="s">
        <v>21</v>
      </c>
      <c r="E64" s="6"/>
      <c r="F64" s="6"/>
      <c r="G64" s="6"/>
      <c r="H64" s="6"/>
    </row>
    <row r="65" spans="1:8">
      <c r="A65" s="2" t="s">
        <v>22</v>
      </c>
      <c r="B65" s="2"/>
      <c r="C65" s="2"/>
      <c r="D65" s="18" t="s">
        <v>23</v>
      </c>
      <c r="E65" s="6"/>
      <c r="F65" s="6"/>
      <c r="G65" s="6"/>
      <c r="H65" s="6"/>
    </row>
    <row r="66" spans="1:8">
      <c r="A66" s="2" t="s">
        <v>48</v>
      </c>
      <c r="B66" s="2"/>
      <c r="C66" s="2"/>
      <c r="D66" s="18" t="s">
        <v>24</v>
      </c>
      <c r="E66" s="6"/>
      <c r="F66" s="6"/>
      <c r="G66" s="6"/>
      <c r="H66" s="6"/>
    </row>
    <row r="67" spans="1:8">
      <c r="A67" s="2" t="s">
        <v>123</v>
      </c>
      <c r="B67" s="2"/>
      <c r="C67" s="2"/>
      <c r="D67" s="18" t="s">
        <v>25</v>
      </c>
      <c r="E67" s="6"/>
      <c r="F67" s="6"/>
      <c r="G67" s="6"/>
      <c r="H67" s="6"/>
    </row>
    <row r="68" spans="1:8">
      <c r="A68" s="2" t="s">
        <v>124</v>
      </c>
      <c r="B68" s="2"/>
      <c r="C68" s="2"/>
      <c r="D68" s="18" t="s">
        <v>26</v>
      </c>
      <c r="E68" s="6"/>
      <c r="F68" s="6"/>
      <c r="G68" s="6"/>
      <c r="H68" s="6"/>
    </row>
    <row r="69" spans="1:8">
      <c r="A69" s="2"/>
      <c r="B69" s="2"/>
      <c r="C69" s="2"/>
      <c r="D69" s="18" t="s">
        <v>27</v>
      </c>
      <c r="E69" s="6"/>
      <c r="F69" s="6"/>
      <c r="G69" s="6"/>
      <c r="H69" s="6"/>
    </row>
    <row r="70" spans="1:8">
      <c r="A70" s="2"/>
      <c r="B70" s="2"/>
      <c r="C70" s="2"/>
      <c r="D70" s="18"/>
    </row>
    <row r="71" spans="1:8">
      <c r="A71" s="2" t="s">
        <v>28</v>
      </c>
      <c r="B71" s="4"/>
      <c r="C71" s="2"/>
      <c r="D71" s="17" t="s">
        <v>29</v>
      </c>
    </row>
    <row r="72" spans="1:8">
      <c r="A72" s="4" t="s">
        <v>30</v>
      </c>
      <c r="B72" s="4"/>
      <c r="D72" s="18" t="s">
        <v>20</v>
      </c>
      <c r="E72" s="5"/>
      <c r="F72" s="5"/>
      <c r="G72" s="5"/>
      <c r="H72" s="5"/>
    </row>
    <row r="73" spans="1:8">
      <c r="A73" s="4" t="s">
        <v>31</v>
      </c>
      <c r="B73" s="4" t="s">
        <v>37</v>
      </c>
      <c r="D73" s="18" t="s">
        <v>21</v>
      </c>
      <c r="E73" s="6"/>
      <c r="F73" s="6"/>
      <c r="G73" s="6"/>
      <c r="H73" s="6"/>
    </row>
    <row r="74" spans="1:8">
      <c r="A74" s="4" t="s">
        <v>32</v>
      </c>
      <c r="B74" s="5"/>
      <c r="D74" s="18" t="s">
        <v>23</v>
      </c>
      <c r="E74" s="6"/>
      <c r="F74" s="6"/>
      <c r="G74" s="6"/>
      <c r="H74" s="6"/>
    </row>
    <row r="75" spans="1:8">
      <c r="A75" s="4" t="s">
        <v>33</v>
      </c>
      <c r="B75" s="5"/>
      <c r="D75" s="18" t="s">
        <v>24</v>
      </c>
      <c r="E75" s="6"/>
      <c r="F75" s="6"/>
      <c r="G75" s="6"/>
      <c r="H75" s="6"/>
    </row>
    <row r="76" spans="1:8">
      <c r="A76" s="4" t="s">
        <v>34</v>
      </c>
      <c r="B76" s="5"/>
      <c r="D76" s="18" t="s">
        <v>25</v>
      </c>
      <c r="E76" s="6"/>
      <c r="F76" s="6"/>
      <c r="G76" s="6"/>
      <c r="H76" s="6"/>
    </row>
    <row r="77" spans="1:8">
      <c r="B77" s="4"/>
      <c r="D77" s="18" t="s">
        <v>26</v>
      </c>
      <c r="E77" s="6"/>
      <c r="F77" s="6"/>
      <c r="G77" s="6"/>
      <c r="H77" s="6"/>
    </row>
    <row r="78" spans="1:8">
      <c r="B78" s="4"/>
      <c r="D78" s="18" t="s">
        <v>35</v>
      </c>
      <c r="E78" s="6"/>
      <c r="F78" s="6"/>
      <c r="G78" s="6"/>
      <c r="H78" s="6"/>
    </row>
  </sheetData>
  <sheetProtection password="C94E" sheet="1" objects="1" scenarios="1" selectLockedCells="1"/>
  <mergeCells count="11">
    <mergeCell ref="A19:H19"/>
    <mergeCell ref="A46:H46"/>
    <mergeCell ref="B1:F1"/>
    <mergeCell ref="B2:F2"/>
    <mergeCell ref="B3:F3"/>
    <mergeCell ref="A10:H10"/>
    <mergeCell ref="E8:G8"/>
    <mergeCell ref="E4:G4"/>
    <mergeCell ref="E5:G5"/>
    <mergeCell ref="E6:G6"/>
    <mergeCell ref="E7:G7"/>
  </mergeCells>
  <hyperlinks>
    <hyperlink ref="B8" r:id="rId1"/>
    <hyperlink ref="B5" r:id="rId2"/>
    <hyperlink ref="E8" r:id="rId3"/>
    <hyperlink ref="E5" r:id="rId4"/>
  </hyperlinks>
  <pageMargins left="0.5" right="0.5" top="0.5" bottom="0.5" header="0.3" footer="0.3"/>
  <pageSetup orientation="landscape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K-3</vt:lpstr>
      <vt:lpstr>Advanced</vt:lpstr>
      <vt:lpstr>Cross-Age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2013-06-28T05:39:20Z</cp:lastPrinted>
  <dcterms:created xsi:type="dcterms:W3CDTF">2010-06-29T19:30:45Z</dcterms:created>
  <dcterms:modified xsi:type="dcterms:W3CDTF">2013-07-09T23:03:43Z</dcterms:modified>
</cp:coreProperties>
</file>