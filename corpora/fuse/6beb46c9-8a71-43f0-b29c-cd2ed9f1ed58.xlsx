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8195" windowHeight="9780"/>
  </bookViews>
  <sheets>
    <sheet name="540.19a" sheetId="3" r:id="rId1"/>
    <sheet name="540.19b" sheetId="4" r:id="rId2"/>
  </sheets>
  <definedNames>
    <definedName name="_xlnm.Print_Area" localSheetId="0">'540.19a'!$A:$J</definedName>
    <definedName name="_xlnm.Print_Area" localSheetId="1">'540.19b'!$A:$J</definedName>
  </definedNames>
  <calcPr calcId="125725"/>
</workbook>
</file>

<file path=xl/calcChain.xml><?xml version="1.0" encoding="utf-8"?>
<calcChain xmlns="http://schemas.openxmlformats.org/spreadsheetml/2006/main">
  <c r="D183" i="4"/>
  <c r="C183"/>
  <c r="I232" i="3"/>
  <c r="E232"/>
  <c r="I230"/>
  <c r="G230"/>
  <c r="I229"/>
  <c r="G229"/>
  <c r="I228"/>
  <c r="G228"/>
  <c r="I227"/>
  <c r="G227"/>
  <c r="I226"/>
  <c r="G226"/>
  <c r="I225"/>
  <c r="G225"/>
  <c r="I224"/>
  <c r="G224"/>
  <c r="G232" s="1"/>
  <c r="I223"/>
  <c r="G223"/>
  <c r="I222"/>
  <c r="G222"/>
  <c r="I213"/>
  <c r="E213"/>
  <c r="I211"/>
  <c r="G211"/>
  <c r="I210"/>
  <c r="G210"/>
  <c r="I209"/>
  <c r="G209"/>
  <c r="I208"/>
  <c r="G208"/>
  <c r="I207"/>
  <c r="G207"/>
  <c r="I206"/>
  <c r="G206"/>
  <c r="I205"/>
  <c r="G205"/>
  <c r="G213" s="1"/>
  <c r="I204"/>
  <c r="G204"/>
  <c r="I203"/>
  <c r="G203"/>
  <c r="I194"/>
  <c r="E194"/>
  <c r="I192"/>
  <c r="G192"/>
  <c r="I191"/>
  <c r="G191"/>
  <c r="I190"/>
  <c r="G190"/>
  <c r="I189"/>
  <c r="G189"/>
  <c r="I188"/>
  <c r="G188"/>
  <c r="I187"/>
  <c r="G187"/>
  <c r="I186"/>
  <c r="G186"/>
  <c r="G194" s="1"/>
  <c r="I185"/>
  <c r="G185"/>
  <c r="I184"/>
  <c r="G184"/>
  <c r="I171"/>
  <c r="E171"/>
  <c r="I169"/>
  <c r="G169"/>
  <c r="I168"/>
  <c r="G168"/>
  <c r="I167"/>
  <c r="G167"/>
  <c r="I166"/>
  <c r="G166"/>
  <c r="I165"/>
  <c r="G165"/>
  <c r="I164"/>
  <c r="G164"/>
  <c r="I163"/>
  <c r="G163"/>
  <c r="G171" s="1"/>
  <c r="I162"/>
  <c r="G162"/>
  <c r="I161"/>
  <c r="G161"/>
  <c r="I152"/>
  <c r="E152"/>
  <c r="I150"/>
  <c r="G150"/>
  <c r="I149"/>
  <c r="G149"/>
  <c r="I148"/>
  <c r="G148"/>
  <c r="I147"/>
  <c r="G147"/>
  <c r="I146"/>
  <c r="G146"/>
  <c r="I145"/>
  <c r="G145"/>
  <c r="I144"/>
  <c r="G144"/>
  <c r="G152" s="1"/>
  <c r="I143"/>
  <c r="G143"/>
  <c r="I142"/>
  <c r="G142"/>
  <c r="I81"/>
  <c r="G81"/>
  <c r="I80"/>
  <c r="G80"/>
  <c r="G41" i="4"/>
  <c r="G127" i="3"/>
  <c r="G85"/>
  <c r="G22"/>
  <c r="G130"/>
  <c r="I130"/>
  <c r="I85"/>
  <c r="G61"/>
  <c r="I61"/>
  <c r="G62"/>
  <c r="I62"/>
  <c r="G60"/>
  <c r="I60"/>
  <c r="D162" i="4"/>
  <c r="C162"/>
  <c r="D141"/>
  <c r="C141"/>
  <c r="D117"/>
  <c r="C117"/>
  <c r="D96"/>
  <c r="C96"/>
  <c r="D75"/>
  <c r="C75"/>
  <c r="G40"/>
  <c r="I40"/>
  <c r="G38"/>
  <c r="I38"/>
  <c r="G39"/>
  <c r="I39"/>
  <c r="D29"/>
  <c r="I47" s="1"/>
  <c r="C29"/>
  <c r="G47" s="1"/>
  <c r="E44"/>
  <c r="E50" s="1"/>
  <c r="I42"/>
  <c r="G42"/>
  <c r="I41"/>
  <c r="I37"/>
  <c r="G37"/>
  <c r="I36"/>
  <c r="G36"/>
  <c r="I35"/>
  <c r="G35"/>
  <c r="I34"/>
  <c r="G34"/>
  <c r="I33"/>
  <c r="G33"/>
  <c r="I44" l="1"/>
  <c r="I50" s="1"/>
  <c r="G44"/>
  <c r="G50" s="1"/>
  <c r="I124" i="3"/>
  <c r="I125"/>
  <c r="I126"/>
  <c r="I127"/>
  <c r="I128"/>
  <c r="I129"/>
  <c r="I131"/>
  <c r="I123"/>
  <c r="G124"/>
  <c r="G125"/>
  <c r="G126"/>
  <c r="G128"/>
  <c r="G129"/>
  <c r="G131"/>
  <c r="G123"/>
  <c r="I20"/>
  <c r="I21"/>
  <c r="I22"/>
  <c r="I23"/>
  <c r="I24"/>
  <c r="I25"/>
  <c r="I26"/>
  <c r="I29"/>
  <c r="I30"/>
  <c r="I31"/>
  <c r="I32"/>
  <c r="I33"/>
  <c r="I34"/>
  <c r="I35"/>
  <c r="I37"/>
  <c r="I38"/>
  <c r="I39"/>
  <c r="I40"/>
  <c r="I41"/>
  <c r="I42"/>
  <c r="I43"/>
  <c r="I44"/>
  <c r="I45"/>
  <c r="I46"/>
  <c r="I47"/>
  <c r="I48"/>
  <c r="I50"/>
  <c r="I51"/>
  <c r="I52"/>
  <c r="I53"/>
  <c r="I54"/>
  <c r="I55"/>
  <c r="I56"/>
  <c r="I57"/>
  <c r="I58"/>
  <c r="I59"/>
  <c r="I63"/>
  <c r="I65"/>
  <c r="I66"/>
  <c r="I67"/>
  <c r="I68"/>
  <c r="I69"/>
  <c r="I71"/>
  <c r="I72"/>
  <c r="I73"/>
  <c r="I74"/>
  <c r="I75"/>
  <c r="I77"/>
  <c r="I78"/>
  <c r="I79"/>
  <c r="I82"/>
  <c r="I84"/>
  <c r="I86"/>
  <c r="I87"/>
  <c r="I88"/>
  <c r="G20"/>
  <c r="G21"/>
  <c r="G23"/>
  <c r="G24"/>
  <c r="G25"/>
  <c r="G26"/>
  <c r="G29"/>
  <c r="G30"/>
  <c r="G31"/>
  <c r="G32"/>
  <c r="G33"/>
  <c r="G34"/>
  <c r="G35"/>
  <c r="G37"/>
  <c r="G38"/>
  <c r="G39"/>
  <c r="G40"/>
  <c r="G41"/>
  <c r="G42"/>
  <c r="G43"/>
  <c r="G44"/>
  <c r="G45"/>
  <c r="G46"/>
  <c r="G47"/>
  <c r="G48"/>
  <c r="G50"/>
  <c r="G51"/>
  <c r="G52"/>
  <c r="G53"/>
  <c r="G54"/>
  <c r="G55"/>
  <c r="G56"/>
  <c r="G57"/>
  <c r="G58"/>
  <c r="G59"/>
  <c r="G63"/>
  <c r="G65"/>
  <c r="G66"/>
  <c r="G67"/>
  <c r="G68"/>
  <c r="G69"/>
  <c r="G71"/>
  <c r="G72"/>
  <c r="G73"/>
  <c r="G74"/>
  <c r="G75"/>
  <c r="G77"/>
  <c r="G78"/>
  <c r="G79"/>
  <c r="G82"/>
  <c r="G84"/>
  <c r="G86"/>
  <c r="G87"/>
  <c r="G88"/>
  <c r="I19"/>
  <c r="G19"/>
  <c r="E133" l="1"/>
  <c r="E90"/>
  <c r="G133" l="1"/>
  <c r="I133"/>
  <c r="I90"/>
  <c r="G90"/>
</calcChain>
</file>

<file path=xl/sharedStrings.xml><?xml version="1.0" encoding="utf-8"?>
<sst xmlns="http://schemas.openxmlformats.org/spreadsheetml/2006/main" count="295" uniqueCount="151">
  <si>
    <t>Safety</t>
  </si>
  <si>
    <t>Technical Performance</t>
  </si>
  <si>
    <t>Delivery/schedule</t>
  </si>
  <si>
    <t>Management of Work</t>
  </si>
  <si>
    <t>Quality and cooperation of superintendents:</t>
  </si>
  <si>
    <t>Is the superintendent open and easy to work with</t>
  </si>
  <si>
    <t>Does the superintendent makes sound decisions and display a high level of confidence</t>
  </si>
  <si>
    <t>Does the superintendent provide adequate prejob briefings</t>
  </si>
  <si>
    <t>Does the superintendent ensure workers are adequately trained per the contract</t>
  </si>
  <si>
    <t>Does the superintendent display a strong safety culture</t>
  </si>
  <si>
    <t>Does the superintendent provide timely and adequate daily reports</t>
  </si>
  <si>
    <t>Is the superintendent cognizant of the need for BEA Quality Assurance inspections</t>
  </si>
  <si>
    <t>Is the superintendent cognizant of required vendor data submittal approvals prior to proceeding with applicable work</t>
  </si>
  <si>
    <t>Does the superintendent maintain red line drawings</t>
  </si>
  <si>
    <t>Workmanship - performed in a professional manner resulting in top quality goods and services</t>
  </si>
  <si>
    <t>Are systems and components installed in a workmanship like manner</t>
  </si>
  <si>
    <t>Is care given to protect systems and components during the performance of the work</t>
  </si>
  <si>
    <t>Home office support</t>
  </si>
  <si>
    <t>Is the project manager or owner readily available when contacted</t>
  </si>
  <si>
    <t>Is the home office staff customer oriented</t>
  </si>
  <si>
    <t>Does the home office respond to poor SPES scores</t>
  </si>
  <si>
    <t>Does the home office provide timely and reasonable cost proposals</t>
  </si>
  <si>
    <t>Does the home office perform adequate case work during an employee medical emergency</t>
  </si>
  <si>
    <t>Assure compliance with technical requirements including codes &amp; standards</t>
  </si>
  <si>
    <t>Engineering capabilities and expertise applied as needed and with cooperation</t>
  </si>
  <si>
    <t>Are outage requests, isolations, and lockout/tagouts requested in timely manner? (no last minute)requests</t>
  </si>
  <si>
    <t>Is the work performed during the outage sufficient so that another outage in not required</t>
  </si>
  <si>
    <t>Subcontractor's Self Performed Score</t>
  </si>
  <si>
    <t>BEA Score</t>
  </si>
  <si>
    <t xml:space="preserve">Contract No. </t>
  </si>
  <si>
    <t>Project Name</t>
  </si>
  <si>
    <t>Supplier</t>
  </si>
  <si>
    <t>Project Manager</t>
  </si>
  <si>
    <t>Subcontract Administrator</t>
  </si>
  <si>
    <t>Quality Engineer</t>
  </si>
  <si>
    <t>Safety Representative</t>
  </si>
  <si>
    <t>Construction Field Representative</t>
  </si>
  <si>
    <t>Does the superintendent display interest in lower-tiers work</t>
  </si>
  <si>
    <t>Does the superintendent display adequate control of lower-tiers</t>
  </si>
  <si>
    <t>Are CFP/C's clear and concise</t>
  </si>
  <si>
    <t>Yes</t>
  </si>
  <si>
    <t>No</t>
  </si>
  <si>
    <t>N/A</t>
  </si>
  <si>
    <t>Does the superintendent understand the contract specifications, drawings, special conditions, SRM, etc.</t>
  </si>
  <si>
    <t>Possible Points</t>
  </si>
  <si>
    <t>Subcontractor's Self Performed Points</t>
  </si>
  <si>
    <t>BEA Awarded Points</t>
  </si>
  <si>
    <t>Did the subcontractor prevent any equipment or material damage</t>
  </si>
  <si>
    <t>Does the lower-tiers recognize the general contractor’s authority</t>
  </si>
  <si>
    <t>Lower-Tier A</t>
  </si>
  <si>
    <t>Subcontractor Total</t>
  </si>
  <si>
    <t>Vendor Data</t>
  </si>
  <si>
    <t>Approvals:</t>
  </si>
  <si>
    <t>Lower-Tier C</t>
  </si>
  <si>
    <t>Lower-Tier B</t>
  </si>
  <si>
    <t>Lower-Tier D</t>
  </si>
  <si>
    <t>Lower-Tier E</t>
  </si>
  <si>
    <t>Lower-Tier Evaluations:</t>
  </si>
  <si>
    <t>Lower-Tier A Total</t>
  </si>
  <si>
    <t>Instructions:</t>
  </si>
  <si>
    <t>Part A</t>
  </si>
  <si>
    <t>Part B</t>
  </si>
  <si>
    <t>Subcontractor's Performed Score of Lower-Tier Points</t>
  </si>
  <si>
    <t>Subcontractor's Performed Evaluation of Lower-Tier</t>
  </si>
  <si>
    <t>BEA Evaluation of Lower-Tier</t>
  </si>
  <si>
    <t xml:space="preserve">Subcontractor's Self Performed Total Points </t>
  </si>
  <si>
    <t>BEA Awarded Total Points</t>
  </si>
  <si>
    <t>Average Awarded Total Points</t>
  </si>
  <si>
    <t>Comments:</t>
  </si>
  <si>
    <t>Final Performance</t>
  </si>
  <si>
    <t>Final Total Score</t>
  </si>
  <si>
    <t xml:space="preserve">540.19a Average Awarded Total </t>
  </si>
  <si>
    <t>Factored Weight of Total Score</t>
  </si>
  <si>
    <t>Factored Weight of Average Total Score</t>
  </si>
  <si>
    <t>FINAL</t>
  </si>
  <si>
    <t>Subcontractor's Performed Evaluation of Lower-Tier Total Points</t>
  </si>
  <si>
    <t>BEA Evaluation of Lower-Tier Total Points</t>
  </si>
  <si>
    <t>540.19a Scores</t>
  </si>
  <si>
    <t>Were all CFP/C's resolved</t>
  </si>
  <si>
    <t>Quality Assurance/Inspections</t>
  </si>
  <si>
    <t>Does the home office respond to safety violations in a timely manner</t>
  </si>
  <si>
    <t>Are invoices submitted with the required supporting documentation</t>
  </si>
  <si>
    <t>Are certified payrolls submitted on time and accurate</t>
  </si>
  <si>
    <t>Do invoices accurately reflect the schedule of values</t>
  </si>
  <si>
    <t>Did the Lower-Tier submited vendor data meet the contract requirements</t>
  </si>
  <si>
    <t xml:space="preserve">Subcontractor is to list each Lower-Tier in Part B and evaluate each of its Lower-Tiers performance answering Yes, No or Not Applicable (N/A) in column "Subcontractor's Performed Evaluation of Lower-Tier".  </t>
  </si>
  <si>
    <t xml:space="preserve">Subcontractor is to evaluate its own performance by completing Part A answering Yes, No or Not Applicable (N/A) in column "Subcontractor's Self Performed Score".  </t>
  </si>
  <si>
    <t>Were all inspections acceptable</t>
  </si>
  <si>
    <t>Does the Lower-Tier work well with other crafts</t>
  </si>
  <si>
    <t>Does the Lower-Tier display a strong safety culture</t>
  </si>
  <si>
    <t>Is the Lower-Tier on schedule for their scope of work</t>
  </si>
  <si>
    <t>Did the Subcontractor show improvement throughout the project</t>
  </si>
  <si>
    <t>Did the Subcontractor complete all vendor data submissions</t>
  </si>
  <si>
    <t>Did the Subcontractor resolve all safety violations</t>
  </si>
  <si>
    <t>Did the Subcontractor complete all "punch-list" items by the contract completion date</t>
  </si>
  <si>
    <t>Did the Subcontractor complete all actions by the contractual completion date</t>
  </si>
  <si>
    <t>Did the Subcontractor efficiently manage their scheduling and manpower</t>
  </si>
  <si>
    <t>Did the Subcontractor effectively manage their Lower-Tier's</t>
  </si>
  <si>
    <t>Did the Subcontractor provide a finished product per the Contract documents</t>
  </si>
  <si>
    <t>Did the Subcontractor provide timely notification for inspections</t>
  </si>
  <si>
    <t xml:space="preserve">Did the Subcontractor provide timely notification for testing </t>
  </si>
  <si>
    <t xml:space="preserve">Did the Subcontractor submit vendor data submittals in a timely manner </t>
  </si>
  <si>
    <t>Did the Subcontractor submited vendor data meet the contract requirements</t>
  </si>
  <si>
    <t>Did the Subcontractor submit vendor data correctly</t>
  </si>
  <si>
    <t>Is the Subcontractor projected to meet the contracted completion date</t>
  </si>
  <si>
    <t>Did the Subcontractor recognize a better method for installing or utilizing a different system or component that could save the project time and money</t>
  </si>
  <si>
    <t>Did the Subcontractor provide a recommendation for design errors</t>
  </si>
  <si>
    <t>Did the Subcontractor go above and beyond simply installing components and point out potential issues or problems with the design</t>
  </si>
  <si>
    <t>Does the Subcontractor minimize rework</t>
  </si>
  <si>
    <t>Does the Subcontractor consistently install components that meet codes &amp; standards</t>
  </si>
  <si>
    <t>Has the Subcontractor been proactive in ensuring codes are met</t>
  </si>
  <si>
    <t>Is the Subcontractor knowledgeable about the applicable codes &amp; standards</t>
  </si>
  <si>
    <t>Is the Subcontractor following the specifications and drawings</t>
  </si>
  <si>
    <t>Did the Subcontractor prevent any equipment or material damage</t>
  </si>
  <si>
    <t>Did the Subcontractor coordinate and schedule the appropriate lower-tiers to ensure work remains as scheduled</t>
  </si>
  <si>
    <t>Did the Subcontractor have adequate equipment and labor available</t>
  </si>
  <si>
    <t>Does the Subcontractor understand and have the capability to use a CPM schedule</t>
  </si>
  <si>
    <t xml:space="preserve">Did the Subcontractor provide an updated CPM schedule </t>
  </si>
  <si>
    <t>Did the Subcontractor submit a short range schedules on time throughout the performance period</t>
  </si>
  <si>
    <t>Did the Subcontractor develop an adequate and realistic schedule</t>
  </si>
  <si>
    <t>Did the Subcontractor plan and execute work effectively</t>
  </si>
  <si>
    <r>
      <t xml:space="preserve">Did the Subcontractor </t>
    </r>
    <r>
      <rPr>
        <u/>
        <sz val="12"/>
        <color theme="1"/>
        <rFont val="Times New Roman"/>
        <family val="1"/>
      </rPr>
      <t>not</t>
    </r>
    <r>
      <rPr>
        <sz val="12"/>
        <color theme="1"/>
        <rFont val="Times New Roman"/>
        <family val="1"/>
      </rPr>
      <t xml:space="preserve"> receive any Category 3 Safety violations</t>
    </r>
  </si>
  <si>
    <r>
      <t xml:space="preserve">Did the Subcontractor </t>
    </r>
    <r>
      <rPr>
        <u/>
        <sz val="12"/>
        <color theme="1"/>
        <rFont val="Times New Roman"/>
        <family val="1"/>
      </rPr>
      <t>not</t>
    </r>
    <r>
      <rPr>
        <sz val="12"/>
        <color theme="1"/>
        <rFont val="Times New Roman"/>
        <family val="1"/>
      </rPr>
      <t xml:space="preserve"> receive any Category 2 Safety violations</t>
    </r>
  </si>
  <si>
    <r>
      <t xml:space="preserve">Did the Subcontractor </t>
    </r>
    <r>
      <rPr>
        <u/>
        <sz val="12"/>
        <color theme="1"/>
        <rFont val="Times New Roman"/>
        <family val="1"/>
      </rPr>
      <t>not</t>
    </r>
    <r>
      <rPr>
        <sz val="12"/>
        <color theme="1"/>
        <rFont val="Times New Roman"/>
        <family val="1"/>
      </rPr>
      <t xml:space="preserve"> receive any Category 1 Safety violations</t>
    </r>
  </si>
  <si>
    <t>Does the Subcontractor adhere to its safety plan</t>
  </si>
  <si>
    <t>Does the Subcontractor maintain a clean and organized construction site</t>
  </si>
  <si>
    <t xml:space="preserve">Did the Subcontractor conduct prejob brief and weekly tool box meetings </t>
  </si>
  <si>
    <t>Did the Subcontractor submit manpower reports and training records in a timely manner</t>
  </si>
  <si>
    <t>Did the Subcontractor attend all required meetings</t>
  </si>
  <si>
    <t xml:space="preserve">BEA evaluates Subcontractor performance by completing Part A answering Yes, No or Not Applicable (N/A) in column "BEA Score".  </t>
  </si>
  <si>
    <t xml:space="preserve">BEA evaluates Subcontractor's Lower-Tiers performance by completing Part B answering Yes, No or Not Applicable (N/A) in column "BEA Evaluation of Lower-Tier Score".  </t>
  </si>
  <si>
    <t>Did the Lower-Tier attend the prejob briefing every morning as required</t>
  </si>
  <si>
    <t xml:space="preserve">Subcontractor evaluates each of its Lower-Tiers by completing Part B entering all prior 540.19a scores.  </t>
  </si>
  <si>
    <t xml:space="preserve">BEAevaluates Subcontractor's performance by completing Part A entering all prior 540.19a scores and answering Yes, No or Not Applicable (N/A) in column "BEA Score".  </t>
  </si>
  <si>
    <t xml:space="preserve">BEA evaluates Subcontractor's Lower-Tiers by completing Part B entering all prior 540.19a scores.  </t>
  </si>
  <si>
    <t xml:space="preserve">Subcontractorevaluates its own performance by completing Part A entering all prior 540.19a scores and answering Yes, No or Not Applicable (N/A) in column "Subcontractor's Self Performed Score".  </t>
  </si>
  <si>
    <t>Did the Subcontractor resolve all NCR's in a timely manner</t>
  </si>
  <si>
    <t>To be Evaluated by Quality Representative</t>
  </si>
  <si>
    <t>To be Evaluated by Safety Representative</t>
  </si>
  <si>
    <t>To be Evaluated by Construction Management Represenative</t>
  </si>
  <si>
    <t>To be Evaluated by Project Management Represenative</t>
  </si>
  <si>
    <t>To be Evalutated by Supply Chain Representative</t>
  </si>
  <si>
    <r>
      <t xml:space="preserve">Form 540.19B to be completed by Subcontractor with </t>
    </r>
    <r>
      <rPr>
        <u/>
        <sz val="12"/>
        <color theme="1"/>
        <rFont val="Times New Roman"/>
        <family val="1"/>
      </rPr>
      <t>final</t>
    </r>
    <r>
      <rPr>
        <sz val="12"/>
        <color theme="1"/>
        <rFont val="Times New Roman"/>
        <family val="1"/>
      </rPr>
      <t xml:space="preserve"> pay request Proc Form PROC-2123, Progress Invoice Request for Construction Subcontracts.</t>
    </r>
  </si>
  <si>
    <t>Did the Subcontractor meet the requirements of RD-5005/5014</t>
  </si>
  <si>
    <t>Did the Subcontractor meet the requirements of RD-5010</t>
  </si>
  <si>
    <t>No deficancies were noted for equipment/material</t>
  </si>
  <si>
    <t xml:space="preserve">SPES # </t>
  </si>
  <si>
    <t>SPES Performance Period</t>
  </si>
  <si>
    <t>Form 540.19a to be completed and submitted by Subcontractor with each pay request Proc Form PROC-2123, Progress Invoice Request for Construction Subcontracts.  Each 540.19a will then be averaged and evaluated with the 540.19b to arrive at a final SPES score for the project.</t>
  </si>
  <si>
    <t>Lower-Tier F</t>
  </si>
  <si>
    <t>BEA shall reference LWP-4002 for further direction in utilizing this form.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</si>
</sst>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9">
    <xf numFmtId="0" fontId="0" fillId="0" borderId="0" xfId="0"/>
    <xf numFmtId="0" fontId="1" fillId="0" borderId="4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14" xfId="0" applyFont="1" applyBorder="1" applyAlignment="1" applyProtection="1">
      <alignment wrapText="1"/>
      <protection locked="0"/>
    </xf>
    <xf numFmtId="0" fontId="1" fillId="0" borderId="15" xfId="0" applyFont="1" applyBorder="1" applyAlignment="1" applyProtection="1">
      <alignment horizontal="right" wrapText="1"/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1" fillId="0" borderId="17" xfId="0" applyFont="1" applyBorder="1" applyAlignment="1" applyProtection="1">
      <alignment horizontal="right" wrapText="1"/>
      <protection locked="0"/>
    </xf>
    <xf numFmtId="0" fontId="1" fillId="0" borderId="12" xfId="0" applyFont="1" applyBorder="1" applyAlignment="1" applyProtection="1">
      <alignment horizontal="center" wrapText="1"/>
      <protection locked="0"/>
    </xf>
    <xf numFmtId="0" fontId="1" fillId="0" borderId="13" xfId="0" applyFont="1" applyBorder="1" applyAlignment="1" applyProtection="1">
      <alignment horizontal="center"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wrapText="1"/>
    </xf>
    <xf numFmtId="0" fontId="1" fillId="0" borderId="0" xfId="0" applyFont="1" applyBorder="1" applyAlignment="1" applyProtection="1">
      <alignment horizontal="center" wrapText="1"/>
    </xf>
    <xf numFmtId="0" fontId="1" fillId="0" borderId="1" xfId="0" applyFont="1" applyBorder="1" applyAlignment="1" applyProtection="1">
      <alignment horizontal="center" wrapText="1"/>
    </xf>
    <xf numFmtId="0" fontId="1" fillId="0" borderId="19" xfId="0" applyFont="1" applyBorder="1" applyAlignment="1" applyProtection="1">
      <alignment horizontal="center" wrapText="1"/>
    </xf>
    <xf numFmtId="0" fontId="1" fillId="0" borderId="27" xfId="0" applyFont="1" applyBorder="1" applyAlignment="1" applyProtection="1">
      <alignment horizontal="center" wrapText="1"/>
    </xf>
    <xf numFmtId="0" fontId="1" fillId="0" borderId="18" xfId="0" applyFont="1" applyBorder="1" applyAlignment="1" applyProtection="1">
      <alignment horizontal="center" wrapText="1"/>
    </xf>
    <xf numFmtId="0" fontId="6" fillId="0" borderId="20" xfId="0" applyFont="1" applyBorder="1" applyAlignment="1" applyProtection="1">
      <alignment horizontal="center" wrapText="1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/>
    <xf numFmtId="0" fontId="1" fillId="0" borderId="0" xfId="0" applyFont="1" applyAlignment="1" applyProtection="1">
      <alignment wrapText="1"/>
    </xf>
    <xf numFmtId="0" fontId="1" fillId="0" borderId="0" xfId="0" applyFont="1" applyAlignment="1" applyProtection="1">
      <alignment horizontal="center"/>
    </xf>
    <xf numFmtId="0" fontId="1" fillId="0" borderId="8" xfId="0" applyFont="1" applyBorder="1" applyProtection="1"/>
    <xf numFmtId="0" fontId="1" fillId="0" borderId="9" xfId="0" applyFont="1" applyBorder="1" applyAlignment="1" applyProtection="1">
      <alignment horizontal="left"/>
    </xf>
    <xf numFmtId="0" fontId="1" fillId="0" borderId="9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right" wrapText="1"/>
    </xf>
    <xf numFmtId="0" fontId="1" fillId="0" borderId="15" xfId="0" applyFont="1" applyBorder="1" applyAlignment="1" applyProtection="1">
      <alignment horizontal="center"/>
    </xf>
    <xf numFmtId="0" fontId="1" fillId="0" borderId="0" xfId="0" applyFont="1" applyBorder="1" applyProtection="1"/>
    <xf numFmtId="0" fontId="1" fillId="0" borderId="16" xfId="0" applyFont="1" applyBorder="1" applyAlignment="1" applyProtection="1">
      <alignment wrapText="1"/>
    </xf>
    <xf numFmtId="0" fontId="1" fillId="0" borderId="0" xfId="0" applyFont="1" applyBorder="1" applyAlignment="1" applyProtection="1">
      <alignment horizontal="center"/>
    </xf>
    <xf numFmtId="0" fontId="1" fillId="0" borderId="11" xfId="0" applyFont="1" applyBorder="1" applyProtection="1"/>
    <xf numFmtId="0" fontId="1" fillId="0" borderId="12" xfId="0" applyFont="1" applyBorder="1" applyProtection="1"/>
    <xf numFmtId="0" fontId="1" fillId="0" borderId="12" xfId="0" applyFont="1" applyBorder="1" applyAlignment="1" applyProtection="1">
      <alignment horizontal="center"/>
    </xf>
    <xf numFmtId="0" fontId="1" fillId="0" borderId="13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wrapText="1"/>
    </xf>
    <xf numFmtId="0" fontId="1" fillId="0" borderId="9" xfId="0" applyFont="1" applyBorder="1" applyProtection="1"/>
    <xf numFmtId="0" fontId="1" fillId="0" borderId="10" xfId="0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"/>
    </xf>
    <xf numFmtId="0" fontId="1" fillId="0" borderId="16" xfId="0" applyFont="1" applyBorder="1" applyProtection="1"/>
    <xf numFmtId="0" fontId="1" fillId="0" borderId="0" xfId="0" applyFont="1" applyBorder="1" applyAlignment="1" applyProtection="1">
      <alignment wrapText="1"/>
    </xf>
    <xf numFmtId="0" fontId="1" fillId="0" borderId="12" xfId="0" applyFont="1" applyBorder="1" applyAlignment="1" applyProtection="1">
      <alignment wrapText="1"/>
    </xf>
    <xf numFmtId="0" fontId="5" fillId="0" borderId="0" xfId="0" applyFont="1" applyAlignment="1" applyProtection="1">
      <alignment horizontal="right" vertical="top"/>
    </xf>
    <xf numFmtId="0" fontId="5" fillId="0" borderId="0" xfId="0" applyFont="1" applyBorder="1" applyProtection="1"/>
    <xf numFmtId="0" fontId="1" fillId="0" borderId="8" xfId="0" applyFont="1" applyBorder="1" applyAlignment="1" applyProtection="1">
      <alignment horizontal="right"/>
    </xf>
    <xf numFmtId="0" fontId="1" fillId="0" borderId="9" xfId="0" applyFont="1" applyBorder="1" applyAlignment="1" applyProtection="1">
      <alignment horizontal="center" wrapText="1"/>
    </xf>
    <xf numFmtId="0" fontId="6" fillId="0" borderId="4" xfId="0" applyFont="1" applyBorder="1" applyAlignment="1" applyProtection="1">
      <alignment horizontal="center" wrapText="1"/>
    </xf>
    <xf numFmtId="0" fontId="1" fillId="0" borderId="12" xfId="0" applyFont="1" applyBorder="1" applyAlignment="1" applyProtection="1">
      <alignment horizontal="left" wrapText="1"/>
    </xf>
    <xf numFmtId="0" fontId="8" fillId="0" borderId="8" xfId="0" applyFont="1" applyBorder="1" applyProtection="1"/>
    <xf numFmtId="0" fontId="1" fillId="0" borderId="9" xfId="0" applyFont="1" applyBorder="1" applyAlignment="1" applyProtection="1">
      <alignment wrapText="1"/>
    </xf>
    <xf numFmtId="0" fontId="1" fillId="0" borderId="16" xfId="0" applyFont="1" applyBorder="1" applyAlignment="1" applyProtection="1">
      <alignment horizontal="right"/>
    </xf>
    <xf numFmtId="0" fontId="1" fillId="0" borderId="4" xfId="0" applyFont="1" applyBorder="1" applyAlignment="1" applyProtection="1">
      <alignment horizontal="center"/>
    </xf>
    <xf numFmtId="0" fontId="1" fillId="0" borderId="1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right" wrapText="1"/>
    </xf>
    <xf numFmtId="0" fontId="1" fillId="0" borderId="13" xfId="0" applyFont="1" applyBorder="1" applyProtection="1"/>
    <xf numFmtId="0" fontId="1" fillId="0" borderId="0" xfId="0" applyFont="1" applyAlignment="1" applyProtection="1">
      <alignment horizontal="right"/>
    </xf>
    <xf numFmtId="0" fontId="5" fillId="0" borderId="0" xfId="0" applyFont="1" applyProtection="1"/>
    <xf numFmtId="0" fontId="6" fillId="0" borderId="16" xfId="0" applyFont="1" applyBorder="1" applyProtection="1"/>
    <xf numFmtId="0" fontId="6" fillId="0" borderId="0" xfId="0" applyFont="1" applyBorder="1" applyAlignment="1" applyProtection="1">
      <alignment horizontal="right" wrapText="1"/>
    </xf>
    <xf numFmtId="0" fontId="7" fillId="0" borderId="0" xfId="0" applyFont="1" applyBorder="1" applyProtection="1"/>
    <xf numFmtId="0" fontId="1" fillId="0" borderId="0" xfId="0" applyFont="1" applyBorder="1" applyAlignment="1" applyProtection="1">
      <alignment horizontal="right" wrapText="1"/>
    </xf>
    <xf numFmtId="0" fontId="1" fillId="0" borderId="1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17" xfId="0" applyFont="1" applyBorder="1" applyAlignment="1" applyProtection="1">
      <alignment horizontal="right"/>
      <protection locked="0"/>
    </xf>
    <xf numFmtId="0" fontId="1" fillId="0" borderId="2" xfId="0" applyFont="1" applyBorder="1" applyProtection="1">
      <protection locked="0"/>
    </xf>
    <xf numFmtId="0" fontId="1" fillId="0" borderId="4" xfId="0" applyFont="1" applyFill="1" applyBorder="1" applyAlignment="1" applyProtection="1">
      <alignment horizontal="center"/>
    </xf>
    <xf numFmtId="9" fontId="1" fillId="0" borderId="0" xfId="1" applyFont="1" applyFill="1" applyBorder="1" applyAlignment="1" applyProtection="1">
      <alignment horizontal="center" wrapText="1"/>
    </xf>
    <xf numFmtId="0" fontId="1" fillId="2" borderId="4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</xf>
    <xf numFmtId="0" fontId="1" fillId="0" borderId="0" xfId="0" applyFont="1" applyFill="1" applyBorder="1" applyAlignment="1" applyProtection="1">
      <alignment horizontal="center" wrapText="1"/>
    </xf>
    <xf numFmtId="0" fontId="1" fillId="0" borderId="0" xfId="0" applyFont="1" applyAlignment="1" applyProtection="1">
      <alignment horizontal="center" wrapText="1"/>
    </xf>
    <xf numFmtId="0" fontId="1" fillId="0" borderId="9" xfId="0" applyFont="1" applyBorder="1" applyAlignment="1" applyProtection="1">
      <alignment horizontal="left" wrapText="1"/>
    </xf>
    <xf numFmtId="0" fontId="1" fillId="0" borderId="11" xfId="0" applyFont="1" applyBorder="1" applyAlignment="1" applyProtection="1">
      <alignment wrapText="1"/>
    </xf>
    <xf numFmtId="0" fontId="1" fillId="0" borderId="12" xfId="0" applyFont="1" applyBorder="1" applyAlignment="1" applyProtection="1">
      <alignment horizontal="center" wrapText="1"/>
    </xf>
    <xf numFmtId="0" fontId="1" fillId="0" borderId="13" xfId="0" applyFont="1" applyBorder="1" applyAlignment="1" applyProtection="1">
      <alignment horizontal="center" wrapText="1"/>
    </xf>
    <xf numFmtId="0" fontId="1" fillId="0" borderId="10" xfId="0" applyFont="1" applyBorder="1" applyAlignment="1" applyProtection="1">
      <alignment horizontal="center" wrapText="1"/>
    </xf>
    <xf numFmtId="0" fontId="5" fillId="0" borderId="0" xfId="0" applyFont="1" applyAlignment="1" applyProtection="1">
      <alignment horizontal="right" vertical="top" wrapText="1"/>
    </xf>
    <xf numFmtId="0" fontId="5" fillId="0" borderId="0" xfId="0" applyFont="1" applyAlignment="1" applyProtection="1">
      <alignment wrapText="1"/>
    </xf>
    <xf numFmtId="0" fontId="1" fillId="0" borderId="8" xfId="0" applyFont="1" applyBorder="1" applyAlignment="1" applyProtection="1">
      <alignment horizontal="center" wrapText="1"/>
    </xf>
    <xf numFmtId="0" fontId="1" fillId="0" borderId="26" xfId="0" applyFont="1" applyBorder="1" applyAlignment="1" applyProtection="1">
      <alignment wrapText="1"/>
    </xf>
    <xf numFmtId="0" fontId="1" fillId="0" borderId="4" xfId="0" applyFont="1" applyFill="1" applyBorder="1" applyAlignment="1" applyProtection="1">
      <alignment horizontal="center" wrapText="1"/>
    </xf>
    <xf numFmtId="0" fontId="1" fillId="0" borderId="16" xfId="0" applyFont="1" applyBorder="1" applyAlignment="1" applyProtection="1">
      <alignment horizontal="right" wrapText="1"/>
    </xf>
    <xf numFmtId="0" fontId="1" fillId="0" borderId="21" xfId="0" applyFont="1" applyBorder="1" applyAlignment="1" applyProtection="1">
      <alignment wrapText="1"/>
    </xf>
    <xf numFmtId="0" fontId="4" fillId="0" borderId="0" xfId="0" applyFont="1" applyAlignment="1" applyProtection="1">
      <alignment wrapText="1"/>
    </xf>
    <xf numFmtId="0" fontId="1" fillId="0" borderId="0" xfId="0" applyFont="1" applyAlignment="1" applyProtection="1">
      <alignment horizontal="right" wrapText="1"/>
    </xf>
    <xf numFmtId="0" fontId="1" fillId="0" borderId="12" xfId="0" applyFont="1" applyBorder="1" applyAlignment="1" applyProtection="1">
      <alignment vertical="top"/>
    </xf>
    <xf numFmtId="0" fontId="1" fillId="0" borderId="12" xfId="0" applyFont="1" applyBorder="1" applyAlignment="1" applyProtection="1">
      <alignment vertical="top" wrapText="1"/>
    </xf>
    <xf numFmtId="0" fontId="1" fillId="0" borderId="12" xfId="0" applyFont="1" applyBorder="1" applyAlignment="1" applyProtection="1">
      <alignment horizontal="center" vertical="top"/>
    </xf>
    <xf numFmtId="0" fontId="1" fillId="0" borderId="13" xfId="0" applyFont="1" applyBorder="1" applyAlignment="1" applyProtection="1">
      <alignment horizontal="center" vertical="top"/>
    </xf>
    <xf numFmtId="0" fontId="1" fillId="0" borderId="0" xfId="0" applyFont="1" applyBorder="1" applyAlignment="1" applyProtection="1">
      <alignment vertical="top"/>
    </xf>
    <xf numFmtId="0" fontId="1" fillId="0" borderId="0" xfId="0" applyFont="1" applyBorder="1" applyAlignment="1" applyProtection="1">
      <alignment vertical="top" wrapText="1"/>
    </xf>
    <xf numFmtId="0" fontId="1" fillId="0" borderId="0" xfId="0" applyFont="1" applyBorder="1" applyAlignment="1" applyProtection="1">
      <alignment horizontal="center" vertical="top"/>
    </xf>
    <xf numFmtId="0" fontId="1" fillId="0" borderId="0" xfId="0" applyFont="1" applyAlignment="1" applyProtection="1">
      <alignment vertical="top"/>
    </xf>
    <xf numFmtId="0" fontId="1" fillId="0" borderId="0" xfId="0" applyFont="1" applyAlignment="1" applyProtection="1">
      <alignment vertical="top" wrapText="1"/>
    </xf>
    <xf numFmtId="0" fontId="1" fillId="0" borderId="0" xfId="0" applyFont="1" applyAlignment="1" applyProtection="1">
      <alignment horizontal="center" vertical="top"/>
    </xf>
    <xf numFmtId="0" fontId="1" fillId="0" borderId="0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 wrapText="1"/>
      <protection locked="0"/>
    </xf>
    <xf numFmtId="0" fontId="1" fillId="0" borderId="7" xfId="0" applyFont="1" applyBorder="1" applyAlignment="1" applyProtection="1">
      <alignment wrapText="1"/>
    </xf>
    <xf numFmtId="0" fontId="1" fillId="0" borderId="0" xfId="0" applyFont="1" applyFill="1" applyBorder="1" applyAlignment="1" applyProtection="1">
      <alignment horizontal="left" wrapText="1"/>
    </xf>
    <xf numFmtId="0" fontId="1" fillId="0" borderId="6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wrapText="1"/>
    </xf>
    <xf numFmtId="0" fontId="1" fillId="0" borderId="5" xfId="0" applyFont="1" applyBorder="1" applyAlignment="1" applyProtection="1">
      <alignment horizontal="center" wrapText="1"/>
    </xf>
    <xf numFmtId="0" fontId="1" fillId="0" borderId="22" xfId="0" applyFont="1" applyBorder="1" applyAlignment="1" applyProtection="1">
      <alignment horizontal="left" vertical="top" wrapText="1"/>
      <protection locked="0"/>
    </xf>
    <xf numFmtId="0" fontId="1" fillId="0" borderId="23" xfId="0" applyFont="1" applyBorder="1" applyAlignment="1" applyProtection="1">
      <alignment horizontal="left" vertical="top" wrapText="1"/>
      <protection locked="0"/>
    </xf>
    <xf numFmtId="0" fontId="1" fillId="0" borderId="28" xfId="0" applyFont="1" applyBorder="1" applyAlignment="1" applyProtection="1">
      <alignment horizontal="left" vertical="top" wrapText="1"/>
      <protection locked="0"/>
    </xf>
    <xf numFmtId="0" fontId="1" fillId="0" borderId="24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1" fillId="0" borderId="18" xfId="0" applyFont="1" applyBorder="1" applyAlignment="1" applyProtection="1">
      <alignment horizontal="left" vertical="top" wrapText="1"/>
      <protection locked="0"/>
    </xf>
    <xf numFmtId="0" fontId="1" fillId="0" borderId="25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1" fillId="0" borderId="29" xfId="0" applyFont="1" applyBorder="1" applyAlignment="1" applyProtection="1">
      <alignment horizontal="left" vertical="top" wrapText="1"/>
      <protection locked="0"/>
    </xf>
    <xf numFmtId="0" fontId="1" fillId="0" borderId="7" xfId="0" applyFont="1" applyBorder="1" applyAlignment="1" applyProtection="1">
      <alignment horizontal="left" wrapText="1"/>
    </xf>
    <xf numFmtId="0" fontId="1" fillId="0" borderId="14" xfId="0" applyFont="1" applyBorder="1" applyAlignment="1" applyProtection="1">
      <alignment horizontal="center" wrapText="1"/>
      <protection locked="0"/>
    </xf>
    <xf numFmtId="0" fontId="1" fillId="0" borderId="2" xfId="0" applyFont="1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wrapText="1"/>
      <protection locked="0"/>
    </xf>
    <xf numFmtId="0" fontId="1" fillId="0" borderId="0" xfId="0" applyFont="1" applyBorder="1" applyAlignment="1" applyProtection="1">
      <alignment horizontal="right" wrapText="1"/>
    </xf>
    <xf numFmtId="0" fontId="1" fillId="0" borderId="0" xfId="0" applyFont="1" applyAlignment="1" applyProtection="1">
      <alignment horizontal="left" wrapText="1"/>
    </xf>
    <xf numFmtId="0" fontId="1" fillId="0" borderId="14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30" xfId="0" applyFont="1" applyBorder="1" applyAlignment="1" applyProtection="1">
      <alignment horizontal="left"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31" xfId="0" applyFont="1" applyBorder="1" applyAlignment="1" applyProtection="1">
      <alignment vertical="top"/>
      <protection locked="0"/>
    </xf>
    <xf numFmtId="0" fontId="1" fillId="0" borderId="32" xfId="0" applyFont="1" applyBorder="1" applyAlignment="1" applyProtection="1">
      <alignment horizontal="left" vertical="top"/>
      <protection locked="0"/>
    </xf>
    <xf numFmtId="0" fontId="7" fillId="0" borderId="0" xfId="0" applyFont="1" applyBorder="1" applyAlignment="1" applyProtection="1">
      <alignment vertical="top"/>
      <protection locked="0"/>
    </xf>
    <xf numFmtId="0" fontId="7" fillId="0" borderId="6" xfId="0" applyFont="1" applyBorder="1" applyAlignment="1" applyProtection="1">
      <alignment vertical="top"/>
      <protection locked="0"/>
    </xf>
    <xf numFmtId="0" fontId="7" fillId="0" borderId="32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33" xfId="0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34" xfId="0" applyFont="1" applyBorder="1" applyAlignment="1" applyProtection="1">
      <alignment vertical="top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19" xfId="0" applyFont="1" applyBorder="1" applyAlignment="1" applyProtection="1">
      <alignment horizontal="left" vertical="top"/>
      <protection locked="0"/>
    </xf>
    <xf numFmtId="0" fontId="6" fillId="0" borderId="0" xfId="0" applyFont="1" applyBorder="1" applyAlignment="1" applyProtection="1">
      <alignment horizontal="right" wrapText="1"/>
    </xf>
    <xf numFmtId="0" fontId="1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238"/>
  <sheetViews>
    <sheetView tabSelected="1" view="pageLayout" zoomScaleNormal="100" workbookViewId="0">
      <selection activeCell="C2" sqref="C2"/>
    </sheetView>
  </sheetViews>
  <sheetFormatPr defaultRowHeight="15.75"/>
  <cols>
    <col min="1" max="1" width="4.7109375" style="21" customWidth="1"/>
    <col min="2" max="2" width="27" style="21" customWidth="1"/>
    <col min="3" max="3" width="20.85546875" style="21" customWidth="1"/>
    <col min="4" max="4" width="31.85546875" style="21" customWidth="1"/>
    <col min="5" max="5" width="10.5703125" style="73" customWidth="1"/>
    <col min="6" max="6" width="22.28515625" style="73" bestFit="1" customWidth="1"/>
    <col min="7" max="7" width="18.85546875" style="73" bestFit="1" customWidth="1"/>
    <col min="8" max="8" width="14.85546875" style="73" customWidth="1"/>
    <col min="9" max="9" width="13.7109375" style="73" customWidth="1"/>
    <col min="10" max="10" width="4.7109375" style="21" customWidth="1"/>
    <col min="11" max="11" width="3.85546875" style="21" customWidth="1"/>
    <col min="12" max="12" width="5.28515625" style="21" hidden="1" customWidth="1"/>
    <col min="13" max="16384" width="9.140625" style="21"/>
  </cols>
  <sheetData>
    <row r="1" spans="2:12" ht="16.5" thickBot="1"/>
    <row r="2" spans="2:12" ht="17.25" thickTop="1" thickBot="1">
      <c r="B2" s="35" t="s">
        <v>29</v>
      </c>
      <c r="C2" s="4"/>
      <c r="D2" s="74" t="s">
        <v>30</v>
      </c>
      <c r="E2" s="115"/>
      <c r="F2" s="115"/>
      <c r="G2" s="26"/>
      <c r="H2" s="26" t="s">
        <v>146</v>
      </c>
      <c r="I2" s="5"/>
      <c r="J2" s="40"/>
      <c r="K2" s="40"/>
      <c r="L2" s="40"/>
    </row>
    <row r="3" spans="2:12" ht="16.5" thickBot="1">
      <c r="B3" s="29" t="s">
        <v>31</v>
      </c>
      <c r="C3" s="6"/>
      <c r="D3" s="40"/>
      <c r="E3" s="13"/>
      <c r="F3" s="13"/>
      <c r="G3" s="118" t="s">
        <v>147</v>
      </c>
      <c r="H3" s="118"/>
      <c r="I3" s="7"/>
      <c r="J3" s="40"/>
      <c r="K3" s="40"/>
      <c r="L3" s="40"/>
    </row>
    <row r="4" spans="2:12" ht="16.5" thickBot="1">
      <c r="B4" s="75"/>
      <c r="C4" s="41"/>
      <c r="D4" s="41"/>
      <c r="E4" s="76"/>
      <c r="F4" s="76"/>
      <c r="G4" s="76"/>
      <c r="H4" s="76"/>
      <c r="I4" s="77"/>
    </row>
    <row r="5" spans="2:12" ht="16.5" thickTop="1">
      <c r="B5" s="35" t="s">
        <v>52</v>
      </c>
      <c r="C5" s="49"/>
      <c r="D5" s="49"/>
      <c r="E5" s="45"/>
      <c r="F5" s="45"/>
      <c r="G5" s="45"/>
      <c r="H5" s="45"/>
      <c r="I5" s="78"/>
    </row>
    <row r="6" spans="2:12">
      <c r="B6" s="29"/>
      <c r="C6" s="40"/>
      <c r="D6" s="40"/>
      <c r="E6" s="13"/>
      <c r="F6" s="13"/>
      <c r="G6" s="13"/>
      <c r="H6" s="13"/>
      <c r="I6" s="17"/>
    </row>
    <row r="7" spans="2:12" ht="16.5" thickBot="1">
      <c r="B7" s="29" t="s">
        <v>32</v>
      </c>
      <c r="C7" s="10"/>
      <c r="D7" s="40" t="s">
        <v>33</v>
      </c>
      <c r="E7" s="116"/>
      <c r="F7" s="116"/>
      <c r="G7" s="13"/>
      <c r="H7" s="13"/>
      <c r="I7" s="17"/>
    </row>
    <row r="8" spans="2:12" ht="16.5" thickBot="1">
      <c r="B8" s="29" t="s">
        <v>34</v>
      </c>
      <c r="C8" s="6"/>
      <c r="D8" s="40" t="s">
        <v>35</v>
      </c>
      <c r="E8" s="117"/>
      <c r="F8" s="117"/>
      <c r="G8" s="13"/>
      <c r="H8" s="13"/>
      <c r="I8" s="17"/>
    </row>
    <row r="9" spans="2:12" ht="32.25" thickBot="1">
      <c r="B9" s="29" t="s">
        <v>36</v>
      </c>
      <c r="C9" s="6"/>
      <c r="D9" s="40"/>
      <c r="E9" s="13"/>
      <c r="F9" s="13"/>
      <c r="G9" s="13"/>
      <c r="H9" s="13"/>
      <c r="I9" s="17"/>
    </row>
    <row r="10" spans="2:12" ht="16.5" thickBot="1">
      <c r="B10" s="75"/>
      <c r="C10" s="41"/>
      <c r="D10" s="41"/>
      <c r="E10" s="76"/>
      <c r="F10" s="76"/>
      <c r="G10" s="76"/>
      <c r="H10" s="76"/>
      <c r="I10" s="77"/>
    </row>
    <row r="11" spans="2:12" ht="30.75" customHeight="1" thickTop="1">
      <c r="B11" s="79" t="s">
        <v>59</v>
      </c>
      <c r="C11" s="119" t="s">
        <v>148</v>
      </c>
      <c r="D11" s="119"/>
      <c r="E11" s="119"/>
      <c r="F11" s="119"/>
      <c r="G11" s="119"/>
      <c r="H11" s="119"/>
      <c r="I11" s="119"/>
    </row>
    <row r="12" spans="2:12" ht="30" customHeight="1">
      <c r="C12" s="98" t="s">
        <v>86</v>
      </c>
      <c r="D12" s="98"/>
      <c r="E12" s="98"/>
      <c r="F12" s="98"/>
      <c r="G12" s="98"/>
      <c r="H12" s="98"/>
      <c r="I12" s="98"/>
    </row>
    <row r="13" spans="2:12" ht="31.5" customHeight="1">
      <c r="C13" s="99" t="s">
        <v>85</v>
      </c>
      <c r="D13" s="99"/>
      <c r="E13" s="99"/>
      <c r="F13" s="99"/>
      <c r="G13" s="99"/>
      <c r="H13" s="99"/>
      <c r="I13" s="99"/>
    </row>
    <row r="14" spans="2:12">
      <c r="C14" s="98" t="s">
        <v>129</v>
      </c>
      <c r="D14" s="98"/>
      <c r="E14" s="98"/>
      <c r="F14" s="98"/>
      <c r="G14" s="98"/>
      <c r="H14" s="98"/>
      <c r="I14" s="98"/>
    </row>
    <row r="15" spans="2:12" ht="30.75" customHeight="1">
      <c r="C15" s="98" t="s">
        <v>130</v>
      </c>
      <c r="D15" s="98"/>
      <c r="E15" s="98"/>
      <c r="F15" s="98"/>
      <c r="G15" s="98"/>
      <c r="H15" s="98"/>
      <c r="I15" s="98"/>
    </row>
    <row r="16" spans="2:12" ht="27" thickBot="1">
      <c r="B16" s="80" t="s">
        <v>60</v>
      </c>
    </row>
    <row r="17" spans="2:12" s="73" customFormat="1" ht="31.5" customHeight="1" thickTop="1">
      <c r="B17" s="81"/>
      <c r="C17" s="45"/>
      <c r="D17" s="45"/>
      <c r="E17" s="45" t="s">
        <v>44</v>
      </c>
      <c r="F17" s="45" t="s">
        <v>27</v>
      </c>
      <c r="G17" s="45" t="s">
        <v>45</v>
      </c>
      <c r="H17" s="45" t="s">
        <v>28</v>
      </c>
      <c r="I17" s="78" t="s">
        <v>46</v>
      </c>
      <c r="K17" s="21"/>
      <c r="L17" s="21"/>
    </row>
    <row r="18" spans="2:12">
      <c r="B18" s="82" t="s">
        <v>0</v>
      </c>
      <c r="C18" s="104" t="s">
        <v>138</v>
      </c>
      <c r="D18" s="104"/>
      <c r="E18" s="12"/>
      <c r="F18" s="12"/>
      <c r="G18" s="12"/>
      <c r="H18" s="12"/>
      <c r="I18" s="16"/>
      <c r="L18" s="21" t="s">
        <v>40</v>
      </c>
    </row>
    <row r="19" spans="2:12">
      <c r="B19" s="29">
        <v>1</v>
      </c>
      <c r="C19" s="98" t="s">
        <v>128</v>
      </c>
      <c r="D19" s="98"/>
      <c r="E19" s="83">
        <v>10</v>
      </c>
      <c r="F19" s="1"/>
      <c r="G19" s="11">
        <f t="shared" ref="G19:G26" si="0">IF(F19=$L$19,0,E19)</f>
        <v>10</v>
      </c>
      <c r="H19" s="1"/>
      <c r="I19" s="15">
        <f t="shared" ref="I19:I26" si="1">IF(H19=$L$19,0,E19)</f>
        <v>10</v>
      </c>
      <c r="L19" s="21" t="s">
        <v>41</v>
      </c>
    </row>
    <row r="20" spans="2:12" ht="30.75" customHeight="1">
      <c r="B20" s="29">
        <v>2</v>
      </c>
      <c r="C20" s="98" t="s">
        <v>127</v>
      </c>
      <c r="D20" s="98"/>
      <c r="E20" s="83">
        <v>10</v>
      </c>
      <c r="F20" s="1"/>
      <c r="G20" s="11">
        <f t="shared" si="0"/>
        <v>10</v>
      </c>
      <c r="H20" s="1"/>
      <c r="I20" s="15">
        <f t="shared" si="1"/>
        <v>10</v>
      </c>
      <c r="L20" s="21" t="s">
        <v>42</v>
      </c>
    </row>
    <row r="21" spans="2:12" ht="30" customHeight="1">
      <c r="B21" s="29">
        <v>3</v>
      </c>
      <c r="C21" s="98" t="s">
        <v>126</v>
      </c>
      <c r="D21" s="98"/>
      <c r="E21" s="83">
        <v>10</v>
      </c>
      <c r="F21" s="1"/>
      <c r="G21" s="11">
        <f t="shared" si="0"/>
        <v>10</v>
      </c>
      <c r="H21" s="1"/>
      <c r="I21" s="15">
        <f t="shared" si="1"/>
        <v>10</v>
      </c>
    </row>
    <row r="22" spans="2:12" ht="30" customHeight="1">
      <c r="B22" s="29">
        <v>4</v>
      </c>
      <c r="C22" s="98" t="s">
        <v>125</v>
      </c>
      <c r="D22" s="98"/>
      <c r="E22" s="83">
        <v>10</v>
      </c>
      <c r="F22" s="1"/>
      <c r="G22" s="11">
        <f t="shared" si="0"/>
        <v>10</v>
      </c>
      <c r="H22" s="1"/>
      <c r="I22" s="15">
        <f t="shared" si="1"/>
        <v>10</v>
      </c>
    </row>
    <row r="23" spans="2:12">
      <c r="B23" s="29">
        <v>5</v>
      </c>
      <c r="C23" s="98" t="s">
        <v>124</v>
      </c>
      <c r="D23" s="98"/>
      <c r="E23" s="83">
        <v>10</v>
      </c>
      <c r="F23" s="1"/>
      <c r="G23" s="11">
        <f t="shared" si="0"/>
        <v>10</v>
      </c>
      <c r="H23" s="1"/>
      <c r="I23" s="15">
        <f t="shared" si="1"/>
        <v>10</v>
      </c>
    </row>
    <row r="24" spans="2:12">
      <c r="B24" s="29">
        <v>6</v>
      </c>
      <c r="C24" s="98" t="s">
        <v>123</v>
      </c>
      <c r="D24" s="98"/>
      <c r="E24" s="83">
        <v>100</v>
      </c>
      <c r="F24" s="1"/>
      <c r="G24" s="11">
        <f t="shared" si="0"/>
        <v>100</v>
      </c>
      <c r="H24" s="1"/>
      <c r="I24" s="15">
        <f t="shared" si="1"/>
        <v>100</v>
      </c>
    </row>
    <row r="25" spans="2:12">
      <c r="B25" s="29">
        <v>7</v>
      </c>
      <c r="C25" s="98" t="s">
        <v>122</v>
      </c>
      <c r="D25" s="98"/>
      <c r="E25" s="83">
        <v>50</v>
      </c>
      <c r="F25" s="1"/>
      <c r="G25" s="11">
        <f t="shared" si="0"/>
        <v>50</v>
      </c>
      <c r="H25" s="1"/>
      <c r="I25" s="15">
        <f t="shared" si="1"/>
        <v>50</v>
      </c>
    </row>
    <row r="26" spans="2:12">
      <c r="B26" s="29">
        <v>8</v>
      </c>
      <c r="C26" s="114" t="s">
        <v>121</v>
      </c>
      <c r="D26" s="114"/>
      <c r="E26" s="83">
        <v>30</v>
      </c>
      <c r="F26" s="1"/>
      <c r="G26" s="11">
        <f t="shared" si="0"/>
        <v>30</v>
      </c>
      <c r="H26" s="1"/>
      <c r="I26" s="15">
        <f t="shared" si="1"/>
        <v>30</v>
      </c>
    </row>
    <row r="27" spans="2:12">
      <c r="B27" s="82" t="s">
        <v>1</v>
      </c>
      <c r="C27" s="104" t="s">
        <v>139</v>
      </c>
      <c r="D27" s="104"/>
      <c r="E27" s="71"/>
      <c r="F27" s="12"/>
      <c r="G27" s="12"/>
      <c r="H27" s="12"/>
      <c r="I27" s="16"/>
    </row>
    <row r="28" spans="2:12">
      <c r="B28" s="84" t="s">
        <v>3</v>
      </c>
      <c r="C28" s="40"/>
      <c r="D28" s="40"/>
      <c r="E28" s="72"/>
      <c r="F28" s="13"/>
      <c r="G28" s="13"/>
      <c r="H28" s="13"/>
      <c r="I28" s="17"/>
    </row>
    <row r="29" spans="2:12" ht="15" customHeight="1">
      <c r="B29" s="29">
        <v>1</v>
      </c>
      <c r="C29" s="98" t="s">
        <v>120</v>
      </c>
      <c r="D29" s="98"/>
      <c r="E29" s="83">
        <v>10</v>
      </c>
      <c r="F29" s="1"/>
      <c r="G29" s="11">
        <f t="shared" ref="G29:G35" si="2">IF(F29=$L$19,0,E29)</f>
        <v>10</v>
      </c>
      <c r="H29" s="1"/>
      <c r="I29" s="15">
        <f t="shared" ref="I29:I35" si="3">IF(H29=$L$19,0,E29)</f>
        <v>10</v>
      </c>
    </row>
    <row r="30" spans="2:12" ht="30" customHeight="1">
      <c r="B30" s="29">
        <v>2</v>
      </c>
      <c r="C30" s="98" t="s">
        <v>119</v>
      </c>
      <c r="D30" s="98"/>
      <c r="E30" s="83">
        <v>10</v>
      </c>
      <c r="F30" s="1"/>
      <c r="G30" s="11">
        <f t="shared" si="2"/>
        <v>10</v>
      </c>
      <c r="H30" s="1"/>
      <c r="I30" s="15">
        <f t="shared" si="3"/>
        <v>10</v>
      </c>
    </row>
    <row r="31" spans="2:12" ht="15" customHeight="1">
      <c r="B31" s="29">
        <v>3</v>
      </c>
      <c r="C31" s="98" t="s">
        <v>118</v>
      </c>
      <c r="D31" s="98"/>
      <c r="E31" s="83">
        <v>5</v>
      </c>
      <c r="F31" s="1"/>
      <c r="G31" s="11">
        <f t="shared" si="2"/>
        <v>5</v>
      </c>
      <c r="H31" s="1"/>
      <c r="I31" s="15">
        <f t="shared" si="3"/>
        <v>5</v>
      </c>
    </row>
    <row r="32" spans="2:12" ht="15" customHeight="1">
      <c r="B32" s="29">
        <v>4</v>
      </c>
      <c r="C32" s="98" t="s">
        <v>117</v>
      </c>
      <c r="D32" s="98"/>
      <c r="E32" s="83">
        <v>5</v>
      </c>
      <c r="F32" s="1"/>
      <c r="G32" s="11">
        <f t="shared" si="2"/>
        <v>5</v>
      </c>
      <c r="H32" s="1"/>
      <c r="I32" s="15">
        <f t="shared" si="3"/>
        <v>5</v>
      </c>
    </row>
    <row r="33" spans="2:9" ht="30.75" customHeight="1">
      <c r="B33" s="29">
        <v>5</v>
      </c>
      <c r="C33" s="98" t="s">
        <v>116</v>
      </c>
      <c r="D33" s="98"/>
      <c r="E33" s="83">
        <v>10</v>
      </c>
      <c r="F33" s="1"/>
      <c r="G33" s="11">
        <f t="shared" si="2"/>
        <v>10</v>
      </c>
      <c r="H33" s="1"/>
      <c r="I33" s="15">
        <f t="shared" si="3"/>
        <v>10</v>
      </c>
    </row>
    <row r="34" spans="2:9" ht="30" customHeight="1">
      <c r="B34" s="29">
        <v>6</v>
      </c>
      <c r="C34" s="98" t="s">
        <v>115</v>
      </c>
      <c r="D34" s="98"/>
      <c r="E34" s="83">
        <v>15</v>
      </c>
      <c r="F34" s="1"/>
      <c r="G34" s="11">
        <f t="shared" si="2"/>
        <v>15</v>
      </c>
      <c r="H34" s="1"/>
      <c r="I34" s="15">
        <f t="shared" si="3"/>
        <v>15</v>
      </c>
    </row>
    <row r="35" spans="2:9" ht="32.25" customHeight="1">
      <c r="B35" s="29">
        <v>7</v>
      </c>
      <c r="C35" s="98" t="s">
        <v>114</v>
      </c>
      <c r="D35" s="98"/>
      <c r="E35" s="83">
        <v>15</v>
      </c>
      <c r="F35" s="1"/>
      <c r="G35" s="11">
        <f t="shared" si="2"/>
        <v>15</v>
      </c>
      <c r="H35" s="1"/>
      <c r="I35" s="15">
        <f t="shared" si="3"/>
        <v>15</v>
      </c>
    </row>
    <row r="36" spans="2:9" ht="31.5">
      <c r="B36" s="84" t="s">
        <v>4</v>
      </c>
      <c r="C36" s="40"/>
      <c r="D36" s="40"/>
      <c r="E36" s="72"/>
      <c r="F36" s="13"/>
      <c r="G36" s="13"/>
      <c r="H36" s="13"/>
      <c r="I36" s="17"/>
    </row>
    <row r="37" spans="2:9" ht="15" customHeight="1">
      <c r="B37" s="29">
        <v>1</v>
      </c>
      <c r="C37" s="98" t="s">
        <v>5</v>
      </c>
      <c r="D37" s="98"/>
      <c r="E37" s="83">
        <v>5</v>
      </c>
      <c r="F37" s="1"/>
      <c r="G37" s="11">
        <f t="shared" ref="G37:G48" si="4">IF(F37=$L$19,0,E37)</f>
        <v>5</v>
      </c>
      <c r="H37" s="1"/>
      <c r="I37" s="15">
        <f t="shared" ref="I37:I48" si="5">IF(H37=$L$19,0,E37)</f>
        <v>5</v>
      </c>
    </row>
    <row r="38" spans="2:9" ht="30" customHeight="1">
      <c r="B38" s="29">
        <v>2</v>
      </c>
      <c r="C38" s="98" t="s">
        <v>6</v>
      </c>
      <c r="D38" s="98"/>
      <c r="E38" s="83">
        <v>15</v>
      </c>
      <c r="F38" s="1"/>
      <c r="G38" s="11">
        <f t="shared" si="4"/>
        <v>15</v>
      </c>
      <c r="H38" s="1"/>
      <c r="I38" s="15">
        <f t="shared" si="5"/>
        <v>15</v>
      </c>
    </row>
    <row r="39" spans="2:9" ht="15" customHeight="1">
      <c r="B39" s="29">
        <v>3</v>
      </c>
      <c r="C39" s="98" t="s">
        <v>7</v>
      </c>
      <c r="D39" s="98"/>
      <c r="E39" s="83">
        <v>5</v>
      </c>
      <c r="F39" s="1"/>
      <c r="G39" s="11">
        <f t="shared" si="4"/>
        <v>5</v>
      </c>
      <c r="H39" s="1"/>
      <c r="I39" s="15">
        <f t="shared" si="5"/>
        <v>5</v>
      </c>
    </row>
    <row r="40" spans="2:9" ht="30" customHeight="1">
      <c r="B40" s="29">
        <v>4</v>
      </c>
      <c r="C40" s="98" t="s">
        <v>8</v>
      </c>
      <c r="D40" s="98"/>
      <c r="E40" s="83">
        <v>5</v>
      </c>
      <c r="F40" s="1"/>
      <c r="G40" s="11">
        <f t="shared" si="4"/>
        <v>5</v>
      </c>
      <c r="H40" s="1"/>
      <c r="I40" s="15">
        <f t="shared" si="5"/>
        <v>5</v>
      </c>
    </row>
    <row r="41" spans="2:9" ht="15" customHeight="1">
      <c r="B41" s="29">
        <v>5</v>
      </c>
      <c r="C41" s="98" t="s">
        <v>38</v>
      </c>
      <c r="D41" s="98"/>
      <c r="E41" s="83">
        <v>15</v>
      </c>
      <c r="F41" s="1"/>
      <c r="G41" s="11">
        <f t="shared" si="4"/>
        <v>15</v>
      </c>
      <c r="H41" s="1"/>
      <c r="I41" s="15">
        <f t="shared" si="5"/>
        <v>15</v>
      </c>
    </row>
    <row r="42" spans="2:9" ht="15" customHeight="1">
      <c r="B42" s="29">
        <v>6</v>
      </c>
      <c r="C42" s="98" t="s">
        <v>37</v>
      </c>
      <c r="D42" s="98"/>
      <c r="E42" s="83">
        <v>10</v>
      </c>
      <c r="F42" s="1"/>
      <c r="G42" s="11">
        <f t="shared" si="4"/>
        <v>10</v>
      </c>
      <c r="H42" s="1"/>
      <c r="I42" s="15">
        <f t="shared" si="5"/>
        <v>10</v>
      </c>
    </row>
    <row r="43" spans="2:9" ht="15" customHeight="1">
      <c r="B43" s="29">
        <v>7</v>
      </c>
      <c r="C43" s="98" t="s">
        <v>9</v>
      </c>
      <c r="D43" s="98"/>
      <c r="E43" s="83">
        <v>10</v>
      </c>
      <c r="F43" s="1"/>
      <c r="G43" s="11">
        <f t="shared" si="4"/>
        <v>10</v>
      </c>
      <c r="H43" s="1"/>
      <c r="I43" s="15">
        <f t="shared" si="5"/>
        <v>10</v>
      </c>
    </row>
    <row r="44" spans="2:9" ht="29.25" customHeight="1">
      <c r="B44" s="29">
        <v>8</v>
      </c>
      <c r="C44" s="98" t="s">
        <v>43</v>
      </c>
      <c r="D44" s="98"/>
      <c r="E44" s="83">
        <v>10</v>
      </c>
      <c r="F44" s="1"/>
      <c r="G44" s="11">
        <f t="shared" si="4"/>
        <v>10</v>
      </c>
      <c r="H44" s="1"/>
      <c r="I44" s="15">
        <f t="shared" si="5"/>
        <v>10</v>
      </c>
    </row>
    <row r="45" spans="2:9" ht="29.25" customHeight="1">
      <c r="B45" s="29">
        <v>9</v>
      </c>
      <c r="C45" s="98" t="s">
        <v>10</v>
      </c>
      <c r="D45" s="98"/>
      <c r="E45" s="83">
        <v>10</v>
      </c>
      <c r="F45" s="1"/>
      <c r="G45" s="11">
        <f t="shared" si="4"/>
        <v>10</v>
      </c>
      <c r="H45" s="1"/>
      <c r="I45" s="15">
        <f t="shared" si="5"/>
        <v>10</v>
      </c>
    </row>
    <row r="46" spans="2:9" ht="30" customHeight="1">
      <c r="B46" s="29">
        <v>10</v>
      </c>
      <c r="C46" s="98" t="s">
        <v>11</v>
      </c>
      <c r="D46" s="98"/>
      <c r="E46" s="83">
        <v>15</v>
      </c>
      <c r="F46" s="1"/>
      <c r="G46" s="11">
        <f t="shared" si="4"/>
        <v>15</v>
      </c>
      <c r="H46" s="1"/>
      <c r="I46" s="15">
        <f t="shared" si="5"/>
        <v>15</v>
      </c>
    </row>
    <row r="47" spans="2:9" ht="30" customHeight="1">
      <c r="B47" s="29">
        <v>11</v>
      </c>
      <c r="C47" s="98" t="s">
        <v>12</v>
      </c>
      <c r="D47" s="98"/>
      <c r="E47" s="83">
        <v>15</v>
      </c>
      <c r="F47" s="1"/>
      <c r="G47" s="11">
        <f t="shared" si="4"/>
        <v>15</v>
      </c>
      <c r="H47" s="1"/>
      <c r="I47" s="15">
        <f t="shared" si="5"/>
        <v>15</v>
      </c>
    </row>
    <row r="48" spans="2:9" ht="15" customHeight="1">
      <c r="B48" s="29">
        <v>12</v>
      </c>
      <c r="C48" s="98" t="s">
        <v>13</v>
      </c>
      <c r="D48" s="98"/>
      <c r="E48" s="83">
        <v>5</v>
      </c>
      <c r="F48" s="1"/>
      <c r="G48" s="11">
        <f t="shared" si="4"/>
        <v>5</v>
      </c>
      <c r="H48" s="1"/>
      <c r="I48" s="15">
        <f t="shared" si="5"/>
        <v>5</v>
      </c>
    </row>
    <row r="49" spans="2:9" ht="27.75" customHeight="1">
      <c r="B49" s="84" t="s">
        <v>14</v>
      </c>
      <c r="C49" s="40"/>
      <c r="D49" s="40"/>
      <c r="E49" s="72"/>
      <c r="F49" s="13"/>
      <c r="G49" s="13"/>
      <c r="H49" s="13"/>
      <c r="I49" s="17"/>
    </row>
    <row r="50" spans="2:9" ht="29.25" customHeight="1">
      <c r="B50" s="29">
        <v>1</v>
      </c>
      <c r="C50" s="98" t="s">
        <v>15</v>
      </c>
      <c r="D50" s="98"/>
      <c r="E50" s="83">
        <v>25</v>
      </c>
      <c r="F50" s="1"/>
      <c r="G50" s="11">
        <f t="shared" ref="G50:G63" si="6">IF(F50=$L$19,0,E50)</f>
        <v>25</v>
      </c>
      <c r="H50" s="1"/>
      <c r="I50" s="15">
        <f t="shared" ref="I50:I63" si="7">IF(H50=$L$19,0,E50)</f>
        <v>25</v>
      </c>
    </row>
    <row r="51" spans="2:9" ht="29.25" customHeight="1">
      <c r="B51" s="29">
        <v>2</v>
      </c>
      <c r="C51" s="98" t="s">
        <v>16</v>
      </c>
      <c r="D51" s="98"/>
      <c r="E51" s="83">
        <v>10</v>
      </c>
      <c r="F51" s="1"/>
      <c r="G51" s="11">
        <f t="shared" si="6"/>
        <v>10</v>
      </c>
      <c r="H51" s="1"/>
      <c r="I51" s="15">
        <f t="shared" si="7"/>
        <v>10</v>
      </c>
    </row>
    <row r="52" spans="2:9" ht="29.25" customHeight="1">
      <c r="B52" s="29">
        <v>3</v>
      </c>
      <c r="C52" s="101" t="s">
        <v>113</v>
      </c>
      <c r="D52" s="101"/>
      <c r="E52" s="83">
        <v>10</v>
      </c>
      <c r="F52" s="1"/>
      <c r="G52" s="11">
        <f t="shared" si="6"/>
        <v>10</v>
      </c>
      <c r="H52" s="1"/>
      <c r="I52" s="15">
        <f t="shared" si="7"/>
        <v>10</v>
      </c>
    </row>
    <row r="53" spans="2:9">
      <c r="B53" s="84" t="s">
        <v>17</v>
      </c>
      <c r="C53" s="40"/>
      <c r="D53" s="40"/>
      <c r="E53" s="83"/>
      <c r="F53" s="1"/>
      <c r="G53" s="11">
        <f t="shared" si="6"/>
        <v>0</v>
      </c>
      <c r="H53" s="1"/>
      <c r="I53" s="15">
        <f t="shared" si="7"/>
        <v>0</v>
      </c>
    </row>
    <row r="54" spans="2:9" ht="30" customHeight="1">
      <c r="B54" s="29">
        <v>1</v>
      </c>
      <c r="C54" s="98" t="s">
        <v>18</v>
      </c>
      <c r="D54" s="98"/>
      <c r="E54" s="83">
        <v>5</v>
      </c>
      <c r="F54" s="1"/>
      <c r="G54" s="11">
        <f t="shared" si="6"/>
        <v>5</v>
      </c>
      <c r="H54" s="1"/>
      <c r="I54" s="15">
        <f t="shared" si="7"/>
        <v>5</v>
      </c>
    </row>
    <row r="55" spans="2:9" ht="15" customHeight="1">
      <c r="B55" s="29">
        <v>2</v>
      </c>
      <c r="C55" s="98" t="s">
        <v>19</v>
      </c>
      <c r="D55" s="98"/>
      <c r="E55" s="83">
        <v>5</v>
      </c>
      <c r="F55" s="1"/>
      <c r="G55" s="11">
        <f t="shared" si="6"/>
        <v>5</v>
      </c>
      <c r="H55" s="1"/>
      <c r="I55" s="15">
        <f t="shared" si="7"/>
        <v>5</v>
      </c>
    </row>
    <row r="56" spans="2:9" ht="18" customHeight="1">
      <c r="B56" s="29">
        <v>3</v>
      </c>
      <c r="C56" s="98" t="s">
        <v>20</v>
      </c>
      <c r="D56" s="98"/>
      <c r="E56" s="83">
        <v>10</v>
      </c>
      <c r="F56" s="1"/>
      <c r="G56" s="11">
        <f t="shared" si="6"/>
        <v>10</v>
      </c>
      <c r="H56" s="1"/>
      <c r="I56" s="15">
        <f t="shared" si="7"/>
        <v>10</v>
      </c>
    </row>
    <row r="57" spans="2:9" ht="30" customHeight="1">
      <c r="B57" s="29">
        <v>4</v>
      </c>
      <c r="C57" s="98" t="s">
        <v>80</v>
      </c>
      <c r="D57" s="98"/>
      <c r="E57" s="83">
        <v>10</v>
      </c>
      <c r="F57" s="1"/>
      <c r="G57" s="11">
        <f t="shared" si="6"/>
        <v>10</v>
      </c>
      <c r="H57" s="1"/>
      <c r="I57" s="15">
        <f t="shared" si="7"/>
        <v>10</v>
      </c>
    </row>
    <row r="58" spans="2:9" ht="29.25" customHeight="1">
      <c r="B58" s="29">
        <v>5</v>
      </c>
      <c r="C58" s="98" t="s">
        <v>21</v>
      </c>
      <c r="D58" s="98"/>
      <c r="E58" s="83">
        <v>15</v>
      </c>
      <c r="F58" s="1"/>
      <c r="G58" s="11">
        <f t="shared" si="6"/>
        <v>15</v>
      </c>
      <c r="H58" s="1"/>
      <c r="I58" s="15">
        <f t="shared" si="7"/>
        <v>15</v>
      </c>
    </row>
    <row r="59" spans="2:9" ht="30" customHeight="1">
      <c r="B59" s="29">
        <v>6</v>
      </c>
      <c r="C59" s="98" t="s">
        <v>22</v>
      </c>
      <c r="D59" s="98"/>
      <c r="E59" s="83">
        <v>5</v>
      </c>
      <c r="F59" s="1"/>
      <c r="G59" s="11">
        <f t="shared" si="6"/>
        <v>5</v>
      </c>
      <c r="H59" s="1"/>
      <c r="I59" s="15">
        <f t="shared" si="7"/>
        <v>5</v>
      </c>
    </row>
    <row r="60" spans="2:9" ht="31.5" customHeight="1">
      <c r="B60" s="29">
        <v>7</v>
      </c>
      <c r="C60" s="98" t="s">
        <v>81</v>
      </c>
      <c r="D60" s="102"/>
      <c r="E60" s="83">
        <v>10</v>
      </c>
      <c r="F60" s="1"/>
      <c r="G60" s="11">
        <f t="shared" si="6"/>
        <v>10</v>
      </c>
      <c r="H60" s="1"/>
      <c r="I60" s="15">
        <f t="shared" si="7"/>
        <v>10</v>
      </c>
    </row>
    <row r="61" spans="2:9">
      <c r="B61" s="29">
        <v>8</v>
      </c>
      <c r="C61" s="98" t="s">
        <v>83</v>
      </c>
      <c r="D61" s="102"/>
      <c r="E61" s="83">
        <v>5</v>
      </c>
      <c r="F61" s="1"/>
      <c r="G61" s="11">
        <f t="shared" si="6"/>
        <v>5</v>
      </c>
      <c r="H61" s="1"/>
      <c r="I61" s="15">
        <f t="shared" si="7"/>
        <v>5</v>
      </c>
    </row>
    <row r="62" spans="2:9">
      <c r="B62" s="29">
        <v>9</v>
      </c>
      <c r="C62" s="98" t="s">
        <v>82</v>
      </c>
      <c r="D62" s="102"/>
      <c r="E62" s="83">
        <v>5</v>
      </c>
      <c r="F62" s="1"/>
      <c r="G62" s="11">
        <f t="shared" si="6"/>
        <v>5</v>
      </c>
      <c r="H62" s="1"/>
      <c r="I62" s="15">
        <f t="shared" si="7"/>
        <v>5</v>
      </c>
    </row>
    <row r="63" spans="2:9" ht="15" customHeight="1">
      <c r="B63" s="29">
        <v>10</v>
      </c>
      <c r="C63" s="98" t="s">
        <v>39</v>
      </c>
      <c r="D63" s="98"/>
      <c r="E63" s="83">
        <v>20</v>
      </c>
      <c r="F63" s="1"/>
      <c r="G63" s="11">
        <f t="shared" si="6"/>
        <v>20</v>
      </c>
      <c r="H63" s="1"/>
      <c r="I63" s="15">
        <f t="shared" si="7"/>
        <v>20</v>
      </c>
    </row>
    <row r="64" spans="2:9" ht="47.25">
      <c r="B64" s="84" t="s">
        <v>23</v>
      </c>
      <c r="C64" s="40"/>
      <c r="D64" s="40"/>
      <c r="E64" s="72"/>
      <c r="F64" s="13"/>
      <c r="G64" s="13"/>
      <c r="H64" s="13"/>
      <c r="I64" s="17"/>
    </row>
    <row r="65" spans="2:9" ht="15" customHeight="1">
      <c r="B65" s="29">
        <v>1</v>
      </c>
      <c r="C65" s="98" t="s">
        <v>112</v>
      </c>
      <c r="D65" s="98"/>
      <c r="E65" s="83">
        <v>15</v>
      </c>
      <c r="F65" s="1"/>
      <c r="G65" s="11">
        <f>IF(F65=$L$19,0,E65)</f>
        <v>15</v>
      </c>
      <c r="H65" s="1"/>
      <c r="I65" s="15">
        <f>IF(H65=$L$19,0,E65)</f>
        <v>15</v>
      </c>
    </row>
    <row r="66" spans="2:9" ht="30.75" customHeight="1">
      <c r="B66" s="29">
        <v>2</v>
      </c>
      <c r="C66" s="98" t="s">
        <v>111</v>
      </c>
      <c r="D66" s="98"/>
      <c r="E66" s="83">
        <v>10</v>
      </c>
      <c r="F66" s="1"/>
      <c r="G66" s="11">
        <f>IF(F66=$L$19,0,E66)</f>
        <v>10</v>
      </c>
      <c r="H66" s="1"/>
      <c r="I66" s="15">
        <f>IF(H66=$L$19,0,E66)</f>
        <v>10</v>
      </c>
    </row>
    <row r="67" spans="2:9" ht="30.75" customHeight="1">
      <c r="B67" s="29">
        <v>3</v>
      </c>
      <c r="C67" s="98" t="s">
        <v>110</v>
      </c>
      <c r="D67" s="98"/>
      <c r="E67" s="83">
        <v>5</v>
      </c>
      <c r="F67" s="1"/>
      <c r="G67" s="11">
        <f>IF(F67=$L$19,0,E67)</f>
        <v>5</v>
      </c>
      <c r="H67" s="1"/>
      <c r="I67" s="15">
        <f>IF(H67=$L$19,0,E67)</f>
        <v>5</v>
      </c>
    </row>
    <row r="68" spans="2:9" ht="30.75" customHeight="1">
      <c r="B68" s="29">
        <v>4</v>
      </c>
      <c r="C68" s="101" t="s">
        <v>109</v>
      </c>
      <c r="D68" s="101"/>
      <c r="E68" s="83">
        <v>10</v>
      </c>
      <c r="F68" s="1"/>
      <c r="G68" s="11">
        <f>IF(F68=$L$19,0,E68)</f>
        <v>10</v>
      </c>
      <c r="H68" s="1"/>
      <c r="I68" s="15">
        <f>IF(H68=$L$19,0,E68)</f>
        <v>10</v>
      </c>
    </row>
    <row r="69" spans="2:9" ht="15" customHeight="1">
      <c r="B69" s="29">
        <v>5</v>
      </c>
      <c r="C69" s="101" t="s">
        <v>108</v>
      </c>
      <c r="D69" s="101"/>
      <c r="E69" s="83">
        <v>10</v>
      </c>
      <c r="F69" s="1"/>
      <c r="G69" s="11">
        <f>IF(F69=$L$19,0,E69)</f>
        <v>10</v>
      </c>
      <c r="H69" s="1"/>
      <c r="I69" s="15">
        <f>IF(H69=$L$19,0,E69)</f>
        <v>10</v>
      </c>
    </row>
    <row r="70" spans="2:9" ht="47.25">
      <c r="B70" s="84" t="s">
        <v>24</v>
      </c>
      <c r="C70" s="40"/>
      <c r="D70" s="40"/>
      <c r="E70" s="11"/>
      <c r="F70" s="1"/>
      <c r="G70" s="11"/>
      <c r="H70" s="1"/>
      <c r="I70" s="15"/>
    </row>
    <row r="71" spans="2:9" ht="45" customHeight="1">
      <c r="B71" s="29">
        <v>1</v>
      </c>
      <c r="C71" s="103" t="s">
        <v>107</v>
      </c>
      <c r="D71" s="103"/>
      <c r="E71" s="83">
        <v>15</v>
      </c>
      <c r="F71" s="1"/>
      <c r="G71" s="11">
        <f>IF(F71=$L$19,0,E71)</f>
        <v>15</v>
      </c>
      <c r="H71" s="1"/>
      <c r="I71" s="15">
        <f>IF(H71=$L$19,0,E71)</f>
        <v>15</v>
      </c>
    </row>
    <row r="72" spans="2:9" ht="30" customHeight="1">
      <c r="B72" s="29">
        <v>2</v>
      </c>
      <c r="C72" s="103" t="s">
        <v>106</v>
      </c>
      <c r="D72" s="103"/>
      <c r="E72" s="83">
        <v>20</v>
      </c>
      <c r="F72" s="1"/>
      <c r="G72" s="11">
        <f>IF(F72=$L$19,0,E72)</f>
        <v>20</v>
      </c>
      <c r="H72" s="1"/>
      <c r="I72" s="15">
        <f>IF(H72=$L$19,0,E72)</f>
        <v>20</v>
      </c>
    </row>
    <row r="73" spans="2:9" ht="44.25" customHeight="1">
      <c r="B73" s="29">
        <v>3</v>
      </c>
      <c r="C73" s="103" t="s">
        <v>105</v>
      </c>
      <c r="D73" s="103"/>
      <c r="E73" s="83">
        <v>20</v>
      </c>
      <c r="F73" s="1"/>
      <c r="G73" s="11">
        <f>IF(F73=$L$19,0,E73)</f>
        <v>20</v>
      </c>
      <c r="H73" s="1"/>
      <c r="I73" s="15">
        <f>IF(H73=$L$19,0,E73)</f>
        <v>20</v>
      </c>
    </row>
    <row r="74" spans="2:9" ht="30" customHeight="1">
      <c r="B74" s="29">
        <v>4</v>
      </c>
      <c r="C74" s="103" t="s">
        <v>25</v>
      </c>
      <c r="D74" s="103"/>
      <c r="E74" s="83">
        <v>20</v>
      </c>
      <c r="F74" s="1"/>
      <c r="G74" s="11">
        <f>IF(F74=$L$19,0,E74)</f>
        <v>20</v>
      </c>
      <c r="H74" s="1"/>
      <c r="I74" s="15">
        <f>IF(H74=$L$19,0,E74)</f>
        <v>20</v>
      </c>
    </row>
    <row r="75" spans="2:9" ht="33.75" customHeight="1">
      <c r="B75" s="85">
        <v>5</v>
      </c>
      <c r="C75" s="100" t="s">
        <v>26</v>
      </c>
      <c r="D75" s="100"/>
      <c r="E75" s="83">
        <v>20</v>
      </c>
      <c r="F75" s="1"/>
      <c r="G75" s="11">
        <f>IF(F75=$L$19,0,E75)</f>
        <v>20</v>
      </c>
      <c r="H75" s="1"/>
      <c r="I75" s="15">
        <f>IF(H75=$L$19,0,E75)</f>
        <v>20</v>
      </c>
    </row>
    <row r="76" spans="2:9" ht="18" customHeight="1">
      <c r="B76" s="82" t="s">
        <v>79</v>
      </c>
      <c r="C76" s="104" t="s">
        <v>137</v>
      </c>
      <c r="D76" s="104"/>
      <c r="E76" s="71"/>
      <c r="F76" s="12"/>
      <c r="G76" s="12"/>
      <c r="H76" s="12"/>
      <c r="I76" s="16"/>
    </row>
    <row r="77" spans="2:9">
      <c r="B77" s="29">
        <v>1</v>
      </c>
      <c r="C77" s="98" t="s">
        <v>145</v>
      </c>
      <c r="D77" s="98"/>
      <c r="E77" s="83">
        <v>20</v>
      </c>
      <c r="F77" s="1"/>
      <c r="G77" s="11">
        <f t="shared" ref="G77:G82" si="8">IF(F77=$L$19,0,E77)</f>
        <v>20</v>
      </c>
      <c r="H77" s="1"/>
      <c r="I77" s="15">
        <f t="shared" ref="I77:I82" si="9">IF(H77=$L$19,0,E77)</f>
        <v>20</v>
      </c>
    </row>
    <row r="78" spans="2:9" ht="30.75" customHeight="1">
      <c r="B78" s="29">
        <v>2</v>
      </c>
      <c r="C78" s="98" t="s">
        <v>99</v>
      </c>
      <c r="D78" s="98"/>
      <c r="E78" s="83">
        <v>15</v>
      </c>
      <c r="F78" s="1"/>
      <c r="G78" s="11">
        <f t="shared" si="8"/>
        <v>15</v>
      </c>
      <c r="H78" s="1"/>
      <c r="I78" s="15">
        <f t="shared" si="9"/>
        <v>15</v>
      </c>
    </row>
    <row r="79" spans="2:9">
      <c r="B79" s="29">
        <v>3</v>
      </c>
      <c r="C79" s="98" t="s">
        <v>100</v>
      </c>
      <c r="D79" s="98"/>
      <c r="E79" s="83">
        <v>15</v>
      </c>
      <c r="F79" s="1"/>
      <c r="G79" s="11">
        <f t="shared" si="8"/>
        <v>15</v>
      </c>
      <c r="H79" s="1"/>
      <c r="I79" s="15">
        <f t="shared" si="9"/>
        <v>15</v>
      </c>
    </row>
    <row r="80" spans="2:9" ht="30" customHeight="1">
      <c r="B80" s="29">
        <v>5</v>
      </c>
      <c r="C80" s="98" t="s">
        <v>143</v>
      </c>
      <c r="D80" s="102"/>
      <c r="E80" s="83">
        <v>35</v>
      </c>
      <c r="F80" s="1"/>
      <c r="G80" s="11">
        <f t="shared" ref="G80:G81" si="10">IF(F80=$L$19,0,E80)</f>
        <v>35</v>
      </c>
      <c r="H80" s="1"/>
      <c r="I80" s="15">
        <f t="shared" ref="I80:I81" si="11">IF(H80=$L$19,0,E80)</f>
        <v>35</v>
      </c>
    </row>
    <row r="81" spans="2:9">
      <c r="B81" s="29">
        <v>6</v>
      </c>
      <c r="C81" s="98" t="s">
        <v>144</v>
      </c>
      <c r="D81" s="102"/>
      <c r="E81" s="83">
        <v>35</v>
      </c>
      <c r="F81" s="1"/>
      <c r="G81" s="11">
        <f t="shared" si="10"/>
        <v>35</v>
      </c>
      <c r="H81" s="1"/>
      <c r="I81" s="15">
        <f t="shared" si="11"/>
        <v>35</v>
      </c>
    </row>
    <row r="82" spans="2:9">
      <c r="B82" s="29">
        <v>7</v>
      </c>
      <c r="C82" s="114" t="s">
        <v>87</v>
      </c>
      <c r="D82" s="114"/>
      <c r="E82" s="83">
        <v>25</v>
      </c>
      <c r="F82" s="1"/>
      <c r="G82" s="11">
        <f t="shared" si="8"/>
        <v>25</v>
      </c>
      <c r="H82" s="1"/>
      <c r="I82" s="15">
        <f t="shared" si="9"/>
        <v>25</v>
      </c>
    </row>
    <row r="83" spans="2:9">
      <c r="B83" s="82" t="s">
        <v>51</v>
      </c>
      <c r="C83" s="104" t="s">
        <v>140</v>
      </c>
      <c r="D83" s="104"/>
      <c r="E83" s="71"/>
      <c r="F83" s="12"/>
      <c r="G83" s="12"/>
      <c r="H83" s="12"/>
      <c r="I83" s="16"/>
    </row>
    <row r="84" spans="2:9" ht="30" customHeight="1">
      <c r="B84" s="29">
        <v>1</v>
      </c>
      <c r="C84" s="98" t="s">
        <v>101</v>
      </c>
      <c r="D84" s="98"/>
      <c r="E84" s="83">
        <v>20</v>
      </c>
      <c r="F84" s="1"/>
      <c r="G84" s="11">
        <f t="shared" ref="G84:G88" si="12">IF(F84=$L$19,0,E84)</f>
        <v>20</v>
      </c>
      <c r="H84" s="1"/>
      <c r="I84" s="15">
        <f t="shared" ref="I84:I88" si="13">IF(H84=$L$19,0,E84)</f>
        <v>20</v>
      </c>
    </row>
    <row r="85" spans="2:9" ht="30" customHeight="1">
      <c r="B85" s="29">
        <v>2</v>
      </c>
      <c r="C85" s="98" t="s">
        <v>102</v>
      </c>
      <c r="D85" s="102"/>
      <c r="E85" s="83">
        <v>15</v>
      </c>
      <c r="F85" s="1"/>
      <c r="G85" s="11">
        <f t="shared" si="12"/>
        <v>15</v>
      </c>
      <c r="H85" s="1"/>
      <c r="I85" s="15">
        <f t="shared" si="13"/>
        <v>15</v>
      </c>
    </row>
    <row r="86" spans="2:9">
      <c r="B86" s="85">
        <v>3</v>
      </c>
      <c r="C86" s="114" t="s">
        <v>103</v>
      </c>
      <c r="D86" s="114"/>
      <c r="E86" s="83">
        <v>20</v>
      </c>
      <c r="F86" s="1"/>
      <c r="G86" s="11">
        <f t="shared" si="12"/>
        <v>20</v>
      </c>
      <c r="H86" s="1"/>
      <c r="I86" s="15">
        <f t="shared" si="13"/>
        <v>20</v>
      </c>
    </row>
    <row r="87" spans="2:9">
      <c r="B87" s="82" t="s">
        <v>2</v>
      </c>
      <c r="C87" s="104" t="s">
        <v>141</v>
      </c>
      <c r="D87" s="104"/>
      <c r="E87" s="71"/>
      <c r="F87" s="12"/>
      <c r="G87" s="12">
        <f t="shared" si="12"/>
        <v>0</v>
      </c>
      <c r="H87" s="12"/>
      <c r="I87" s="16">
        <f t="shared" si="13"/>
        <v>0</v>
      </c>
    </row>
    <row r="88" spans="2:9" ht="33" customHeight="1">
      <c r="B88" s="85">
        <v>1</v>
      </c>
      <c r="C88" s="114" t="s">
        <v>104</v>
      </c>
      <c r="D88" s="114"/>
      <c r="E88" s="83">
        <v>100</v>
      </c>
      <c r="F88" s="1"/>
      <c r="G88" s="11">
        <f t="shared" si="12"/>
        <v>100</v>
      </c>
      <c r="H88" s="1"/>
      <c r="I88" s="15">
        <f t="shared" si="13"/>
        <v>100</v>
      </c>
    </row>
    <row r="89" spans="2:9" ht="16.5" thickBot="1">
      <c r="B89" s="29"/>
      <c r="C89" s="40"/>
      <c r="D89" s="40"/>
      <c r="E89" s="13"/>
      <c r="F89" s="13"/>
      <c r="G89" s="13"/>
      <c r="H89" s="13"/>
      <c r="I89" s="17"/>
    </row>
    <row r="90" spans="2:9" ht="16.5" thickBot="1">
      <c r="B90" s="29"/>
      <c r="C90" s="40"/>
      <c r="D90" s="63" t="s">
        <v>50</v>
      </c>
      <c r="E90" s="14">
        <f>SUM(E19:E89)</f>
        <v>1000</v>
      </c>
      <c r="F90" s="13"/>
      <c r="G90" s="14">
        <f>SUM(G19:G89)</f>
        <v>1000</v>
      </c>
      <c r="H90" s="13"/>
      <c r="I90" s="18">
        <f>SUM(I19:I89)</f>
        <v>1000</v>
      </c>
    </row>
    <row r="91" spans="2:9" ht="16.5" thickBot="1">
      <c r="B91" s="29"/>
      <c r="C91" s="40"/>
      <c r="D91" s="63"/>
      <c r="E91" s="13"/>
      <c r="F91" s="13"/>
      <c r="G91" s="13"/>
      <c r="H91" s="13"/>
      <c r="I91" s="17"/>
    </row>
    <row r="92" spans="2:9">
      <c r="B92" s="84" t="s">
        <v>68</v>
      </c>
      <c r="C92" s="105"/>
      <c r="D92" s="106"/>
      <c r="E92" s="106"/>
      <c r="F92" s="106"/>
      <c r="G92" s="106"/>
      <c r="H92" s="106"/>
      <c r="I92" s="107"/>
    </row>
    <row r="93" spans="2:9">
      <c r="B93" s="84"/>
      <c r="C93" s="108"/>
      <c r="D93" s="109"/>
      <c r="E93" s="109"/>
      <c r="F93" s="109"/>
      <c r="G93" s="109"/>
      <c r="H93" s="109"/>
      <c r="I93" s="110"/>
    </row>
    <row r="94" spans="2:9">
      <c r="B94" s="84"/>
      <c r="C94" s="108"/>
      <c r="D94" s="109"/>
      <c r="E94" s="109"/>
      <c r="F94" s="109"/>
      <c r="G94" s="109"/>
      <c r="H94" s="109"/>
      <c r="I94" s="110"/>
    </row>
    <row r="95" spans="2:9">
      <c r="B95" s="84"/>
      <c r="C95" s="108"/>
      <c r="D95" s="109"/>
      <c r="E95" s="109"/>
      <c r="F95" s="109"/>
      <c r="G95" s="109"/>
      <c r="H95" s="109"/>
      <c r="I95" s="110"/>
    </row>
    <row r="96" spans="2:9">
      <c r="B96" s="84"/>
      <c r="C96" s="108"/>
      <c r="D96" s="109"/>
      <c r="E96" s="109"/>
      <c r="F96" s="109"/>
      <c r="G96" s="109"/>
      <c r="H96" s="109"/>
      <c r="I96" s="110"/>
    </row>
    <row r="97" spans="2:9">
      <c r="B97" s="84"/>
      <c r="C97" s="108"/>
      <c r="D97" s="109"/>
      <c r="E97" s="109"/>
      <c r="F97" s="109"/>
      <c r="G97" s="109"/>
      <c r="H97" s="109"/>
      <c r="I97" s="110"/>
    </row>
    <row r="98" spans="2:9">
      <c r="B98" s="84"/>
      <c r="C98" s="108"/>
      <c r="D98" s="109"/>
      <c r="E98" s="109"/>
      <c r="F98" s="109"/>
      <c r="G98" s="109"/>
      <c r="H98" s="109"/>
      <c r="I98" s="110"/>
    </row>
    <row r="99" spans="2:9">
      <c r="B99" s="29"/>
      <c r="C99" s="108"/>
      <c r="D99" s="109"/>
      <c r="E99" s="109"/>
      <c r="F99" s="109"/>
      <c r="G99" s="109"/>
      <c r="H99" s="109"/>
      <c r="I99" s="110"/>
    </row>
    <row r="100" spans="2:9" ht="16.5" thickBot="1">
      <c r="B100" s="29"/>
      <c r="C100" s="111"/>
      <c r="D100" s="112"/>
      <c r="E100" s="112"/>
      <c r="F100" s="112"/>
      <c r="G100" s="112"/>
      <c r="H100" s="112"/>
      <c r="I100" s="113"/>
    </row>
    <row r="101" spans="2:9" ht="16.5" thickBot="1">
      <c r="B101" s="75"/>
      <c r="C101" s="76"/>
      <c r="D101" s="76"/>
      <c r="E101" s="76"/>
      <c r="F101" s="76"/>
      <c r="G101" s="76"/>
      <c r="H101" s="76"/>
      <c r="I101" s="77"/>
    </row>
    <row r="102" spans="2:9" ht="16.5" thickTop="1">
      <c r="B102" s="40"/>
      <c r="C102" s="13"/>
      <c r="D102" s="13"/>
      <c r="E102" s="13"/>
      <c r="F102" s="13"/>
      <c r="G102" s="13"/>
      <c r="H102" s="13"/>
      <c r="I102" s="13"/>
    </row>
    <row r="103" spans="2:9">
      <c r="B103" s="40"/>
      <c r="C103" s="13"/>
      <c r="D103" s="13"/>
      <c r="E103" s="13"/>
      <c r="F103" s="13"/>
      <c r="G103" s="13"/>
      <c r="H103" s="13"/>
      <c r="I103" s="13"/>
    </row>
    <row r="104" spans="2:9">
      <c r="B104" s="40"/>
      <c r="C104" s="13"/>
      <c r="D104" s="13"/>
      <c r="E104" s="13"/>
      <c r="F104" s="13"/>
      <c r="G104" s="13"/>
      <c r="H104" s="13"/>
      <c r="I104" s="13"/>
    </row>
    <row r="105" spans="2:9">
      <c r="B105" s="40"/>
      <c r="C105" s="13"/>
      <c r="D105" s="13"/>
      <c r="E105" s="13"/>
      <c r="F105" s="13"/>
      <c r="G105" s="13"/>
      <c r="H105" s="13"/>
      <c r="I105" s="13"/>
    </row>
    <row r="106" spans="2:9">
      <c r="B106" s="40"/>
      <c r="C106" s="13"/>
      <c r="D106" s="13"/>
      <c r="E106" s="13"/>
      <c r="F106" s="13"/>
      <c r="G106" s="13"/>
      <c r="H106" s="13"/>
      <c r="I106" s="13"/>
    </row>
    <row r="107" spans="2:9">
      <c r="B107" s="40"/>
      <c r="C107" s="13"/>
      <c r="D107" s="13"/>
      <c r="E107" s="13"/>
      <c r="F107" s="13"/>
      <c r="G107" s="13"/>
      <c r="H107" s="13"/>
      <c r="I107" s="13"/>
    </row>
    <row r="108" spans="2:9">
      <c r="B108" s="40"/>
      <c r="C108" s="13"/>
      <c r="D108" s="13"/>
      <c r="E108" s="13"/>
      <c r="F108" s="13"/>
      <c r="G108" s="13"/>
      <c r="H108" s="13"/>
      <c r="I108" s="13"/>
    </row>
    <row r="109" spans="2:9">
      <c r="B109" s="40"/>
      <c r="C109" s="13"/>
      <c r="D109" s="13"/>
      <c r="E109" s="13"/>
      <c r="F109" s="13"/>
      <c r="G109" s="13"/>
      <c r="H109" s="13"/>
      <c r="I109" s="13"/>
    </row>
    <row r="110" spans="2:9">
      <c r="B110" s="40"/>
      <c r="C110" s="13"/>
      <c r="D110" s="13"/>
      <c r="E110" s="13"/>
      <c r="F110" s="13"/>
      <c r="G110" s="13"/>
      <c r="H110" s="13"/>
      <c r="I110" s="13"/>
    </row>
    <row r="111" spans="2:9">
      <c r="B111" s="40"/>
      <c r="C111" s="13"/>
      <c r="D111" s="13"/>
      <c r="E111" s="13"/>
      <c r="F111" s="13"/>
      <c r="G111" s="13"/>
      <c r="H111" s="13"/>
      <c r="I111" s="13"/>
    </row>
    <row r="112" spans="2:9">
      <c r="B112" s="40"/>
      <c r="C112" s="13"/>
      <c r="D112" s="13"/>
      <c r="E112" s="13"/>
      <c r="F112" s="13"/>
      <c r="G112" s="13"/>
      <c r="H112" s="13"/>
      <c r="I112" s="13"/>
    </row>
    <row r="113" spans="2:9">
      <c r="B113" s="40"/>
      <c r="C113" s="13"/>
      <c r="D113" s="13"/>
      <c r="E113" s="13"/>
      <c r="F113" s="13"/>
      <c r="G113" s="13"/>
      <c r="H113" s="13"/>
      <c r="I113" s="13"/>
    </row>
    <row r="114" spans="2:9">
      <c r="B114" s="40"/>
      <c r="C114" s="13"/>
      <c r="D114" s="13"/>
      <c r="E114" s="13"/>
      <c r="F114" s="13"/>
      <c r="G114" s="13"/>
      <c r="H114" s="13"/>
      <c r="I114" s="13"/>
    </row>
    <row r="115" spans="2:9">
      <c r="B115" s="40"/>
      <c r="C115" s="13"/>
      <c r="D115" s="13"/>
      <c r="E115" s="13"/>
      <c r="F115" s="13"/>
      <c r="G115" s="13"/>
      <c r="H115" s="13"/>
      <c r="I115" s="13"/>
    </row>
    <row r="116" spans="2:9">
      <c r="B116" s="40"/>
      <c r="C116" s="13"/>
      <c r="D116" s="13"/>
      <c r="E116" s="13"/>
      <c r="F116" s="13"/>
      <c r="G116" s="13"/>
      <c r="H116" s="13"/>
      <c r="I116" s="13"/>
    </row>
    <row r="117" spans="2:9">
      <c r="B117" s="40"/>
      <c r="C117" s="13"/>
      <c r="D117" s="13"/>
      <c r="E117" s="13"/>
      <c r="F117" s="13"/>
      <c r="G117" s="13"/>
      <c r="H117" s="13"/>
      <c r="I117" s="13"/>
    </row>
    <row r="118" spans="2:9" ht="23.25">
      <c r="B118" s="86" t="s">
        <v>61</v>
      </c>
    </row>
    <row r="119" spans="2:9">
      <c r="B119" s="21" t="s">
        <v>57</v>
      </c>
    </row>
    <row r="120" spans="2:9" ht="16.5" thickBot="1"/>
    <row r="121" spans="2:9" ht="48.75" thickTop="1" thickBot="1">
      <c r="B121" s="35" t="s">
        <v>49</v>
      </c>
      <c r="C121" s="115"/>
      <c r="D121" s="115"/>
      <c r="E121" s="45" t="s">
        <v>44</v>
      </c>
      <c r="F121" s="45" t="s">
        <v>63</v>
      </c>
      <c r="G121" s="45" t="s">
        <v>62</v>
      </c>
      <c r="H121" s="45" t="s">
        <v>64</v>
      </c>
      <c r="I121" s="78" t="s">
        <v>46</v>
      </c>
    </row>
    <row r="122" spans="2:9">
      <c r="B122" s="29"/>
      <c r="C122" s="40"/>
      <c r="D122" s="40"/>
      <c r="E122" s="13"/>
      <c r="F122" s="13"/>
      <c r="G122" s="13"/>
      <c r="H122" s="13"/>
      <c r="I122" s="17"/>
    </row>
    <row r="123" spans="2:9" ht="29.25" customHeight="1">
      <c r="B123" s="29">
        <v>1</v>
      </c>
      <c r="C123" s="98" t="s">
        <v>131</v>
      </c>
      <c r="D123" s="98"/>
      <c r="E123" s="83">
        <v>10</v>
      </c>
      <c r="F123" s="1"/>
      <c r="G123" s="11">
        <f t="shared" ref="G123:G131" si="14">IF(F123=$L$19,0,E123)</f>
        <v>10</v>
      </c>
      <c r="H123" s="1"/>
      <c r="I123" s="15">
        <f t="shared" ref="I123:I131" si="15">IF(H123=$L$19,0,E123)</f>
        <v>10</v>
      </c>
    </row>
    <row r="124" spans="2:9" ht="15" customHeight="1">
      <c r="B124" s="29">
        <v>2</v>
      </c>
      <c r="C124" s="98" t="s">
        <v>88</v>
      </c>
      <c r="D124" s="98"/>
      <c r="E124" s="83">
        <v>10</v>
      </c>
      <c r="F124" s="1"/>
      <c r="G124" s="11">
        <f t="shared" si="14"/>
        <v>10</v>
      </c>
      <c r="H124" s="1"/>
      <c r="I124" s="15">
        <f t="shared" si="15"/>
        <v>10</v>
      </c>
    </row>
    <row r="125" spans="2:9" ht="15" customHeight="1">
      <c r="B125" s="29">
        <v>3</v>
      </c>
      <c r="C125" s="98" t="s">
        <v>89</v>
      </c>
      <c r="D125" s="98"/>
      <c r="E125" s="83">
        <v>10</v>
      </c>
      <c r="F125" s="1"/>
      <c r="G125" s="11">
        <f t="shared" si="14"/>
        <v>10</v>
      </c>
      <c r="H125" s="1"/>
      <c r="I125" s="15">
        <f t="shared" si="15"/>
        <v>10</v>
      </c>
    </row>
    <row r="126" spans="2:9" ht="30" customHeight="1">
      <c r="B126" s="29">
        <v>4</v>
      </c>
      <c r="C126" s="98" t="s">
        <v>48</v>
      </c>
      <c r="D126" s="98"/>
      <c r="E126" s="83">
        <v>10</v>
      </c>
      <c r="F126" s="1"/>
      <c r="G126" s="11">
        <f t="shared" si="14"/>
        <v>10</v>
      </c>
      <c r="H126" s="1"/>
      <c r="I126" s="15">
        <f t="shared" si="15"/>
        <v>10</v>
      </c>
    </row>
    <row r="127" spans="2:9">
      <c r="B127" s="29">
        <v>5</v>
      </c>
      <c r="C127" s="98" t="s">
        <v>90</v>
      </c>
      <c r="D127" s="98"/>
      <c r="E127" s="83">
        <v>15</v>
      </c>
      <c r="F127" s="1"/>
      <c r="G127" s="11">
        <f t="shared" si="14"/>
        <v>15</v>
      </c>
      <c r="H127" s="1"/>
      <c r="I127" s="15">
        <f t="shared" si="15"/>
        <v>15</v>
      </c>
    </row>
    <row r="128" spans="2:9" ht="30.75" customHeight="1">
      <c r="B128" s="29">
        <v>6</v>
      </c>
      <c r="C128" s="98" t="s">
        <v>15</v>
      </c>
      <c r="D128" s="98"/>
      <c r="E128" s="83">
        <v>10</v>
      </c>
      <c r="F128" s="1"/>
      <c r="G128" s="11">
        <f t="shared" si="14"/>
        <v>10</v>
      </c>
      <c r="H128" s="1"/>
      <c r="I128" s="15">
        <f t="shared" si="15"/>
        <v>10</v>
      </c>
    </row>
    <row r="129" spans="2:9" ht="30" customHeight="1">
      <c r="B129" s="29">
        <v>7</v>
      </c>
      <c r="C129" s="98" t="s">
        <v>16</v>
      </c>
      <c r="D129" s="98"/>
      <c r="E129" s="83">
        <v>10</v>
      </c>
      <c r="F129" s="1"/>
      <c r="G129" s="11">
        <f t="shared" si="14"/>
        <v>10</v>
      </c>
      <c r="H129" s="1"/>
      <c r="I129" s="15">
        <f t="shared" si="15"/>
        <v>10</v>
      </c>
    </row>
    <row r="130" spans="2:9" ht="30" customHeight="1">
      <c r="B130" s="29">
        <v>8</v>
      </c>
      <c r="C130" s="98" t="s">
        <v>84</v>
      </c>
      <c r="D130" s="102"/>
      <c r="E130" s="83">
        <v>15</v>
      </c>
      <c r="F130" s="1"/>
      <c r="G130" s="11">
        <f t="shared" ref="G130" si="16">IF(F130=$L$19,0,E130)</f>
        <v>15</v>
      </c>
      <c r="H130" s="1"/>
      <c r="I130" s="15">
        <f t="shared" ref="I130" si="17">IF(H130=$L$19,0,E130)</f>
        <v>15</v>
      </c>
    </row>
    <row r="131" spans="2:9" ht="31.5" customHeight="1">
      <c r="B131" s="29">
        <v>9</v>
      </c>
      <c r="C131" s="101" t="s">
        <v>47</v>
      </c>
      <c r="D131" s="101"/>
      <c r="E131" s="83">
        <v>10</v>
      </c>
      <c r="F131" s="1"/>
      <c r="G131" s="11">
        <f t="shared" si="14"/>
        <v>10</v>
      </c>
      <c r="H131" s="1"/>
      <c r="I131" s="15">
        <f t="shared" si="15"/>
        <v>10</v>
      </c>
    </row>
    <row r="132" spans="2:9" ht="16.5" thickBot="1">
      <c r="B132" s="29"/>
      <c r="C132" s="40"/>
      <c r="D132" s="40"/>
      <c r="E132" s="13"/>
      <c r="F132" s="13"/>
      <c r="G132" s="13"/>
      <c r="H132" s="13"/>
      <c r="I132" s="17"/>
    </row>
    <row r="133" spans="2:9" ht="16.5" thickBot="1">
      <c r="B133" s="29"/>
      <c r="C133" s="40"/>
      <c r="D133" s="63" t="s">
        <v>58</v>
      </c>
      <c r="E133" s="14">
        <f>SUM(E123:E132)</f>
        <v>100</v>
      </c>
      <c r="F133" s="13"/>
      <c r="G133" s="14">
        <f>SUM(G123:G132)</f>
        <v>100</v>
      </c>
      <c r="H133" s="13"/>
      <c r="I133" s="18">
        <f>SUM(I123:I132)</f>
        <v>100</v>
      </c>
    </row>
    <row r="134" spans="2:9" ht="16.5" thickBot="1">
      <c r="B134" s="29"/>
      <c r="C134" s="40"/>
      <c r="D134" s="63"/>
      <c r="E134" s="13"/>
      <c r="F134" s="13"/>
      <c r="G134" s="13"/>
      <c r="H134" s="13"/>
      <c r="I134" s="17"/>
    </row>
    <row r="135" spans="2:9">
      <c r="B135" s="84" t="s">
        <v>68</v>
      </c>
      <c r="C135" s="105"/>
      <c r="D135" s="106"/>
      <c r="E135" s="106"/>
      <c r="F135" s="106"/>
      <c r="G135" s="106"/>
      <c r="H135" s="106"/>
      <c r="I135" s="107"/>
    </row>
    <row r="136" spans="2:9">
      <c r="B136" s="29"/>
      <c r="C136" s="108"/>
      <c r="D136" s="109"/>
      <c r="E136" s="109"/>
      <c r="F136" s="109"/>
      <c r="G136" s="109"/>
      <c r="H136" s="109"/>
      <c r="I136" s="110"/>
    </row>
    <row r="137" spans="2:9" ht="16.5" thickBot="1">
      <c r="B137" s="29"/>
      <c r="C137" s="111"/>
      <c r="D137" s="112"/>
      <c r="E137" s="112"/>
      <c r="F137" s="112"/>
      <c r="G137" s="112"/>
      <c r="H137" s="112"/>
      <c r="I137" s="113"/>
    </row>
    <row r="138" spans="2:9" ht="16.5" thickBot="1">
      <c r="B138" s="75"/>
      <c r="C138" s="76"/>
      <c r="D138" s="76"/>
      <c r="E138" s="76"/>
      <c r="F138" s="76"/>
      <c r="G138" s="76"/>
      <c r="H138" s="76"/>
      <c r="I138" s="77"/>
    </row>
    <row r="139" spans="2:9" ht="17.25" thickTop="1" thickBot="1">
      <c r="D139" s="87"/>
    </row>
    <row r="140" spans="2:9" ht="48.75" thickTop="1" thickBot="1">
      <c r="B140" s="35" t="s">
        <v>54</v>
      </c>
      <c r="C140" s="115"/>
      <c r="D140" s="115"/>
      <c r="E140" s="45" t="s">
        <v>44</v>
      </c>
      <c r="F140" s="45" t="s">
        <v>63</v>
      </c>
      <c r="G140" s="45" t="s">
        <v>62</v>
      </c>
      <c r="H140" s="45" t="s">
        <v>64</v>
      </c>
      <c r="I140" s="78" t="s">
        <v>46</v>
      </c>
    </row>
    <row r="141" spans="2:9">
      <c r="B141" s="29"/>
      <c r="C141" s="40"/>
      <c r="D141" s="40"/>
      <c r="E141" s="13"/>
      <c r="F141" s="13"/>
      <c r="G141" s="13"/>
      <c r="H141" s="13"/>
      <c r="I141" s="17"/>
    </row>
    <row r="142" spans="2:9">
      <c r="B142" s="29">
        <v>1</v>
      </c>
      <c r="C142" s="98" t="s">
        <v>131</v>
      </c>
      <c r="D142" s="98"/>
      <c r="E142" s="83">
        <v>10</v>
      </c>
      <c r="F142" s="1"/>
      <c r="G142" s="11">
        <f t="shared" ref="G142:G150" si="18">IF(F142=$L$19,0,E142)</f>
        <v>10</v>
      </c>
      <c r="H142" s="1"/>
      <c r="I142" s="15">
        <f t="shared" ref="I142:I150" si="19">IF(H142=$L$19,0,E142)</f>
        <v>10</v>
      </c>
    </row>
    <row r="143" spans="2:9">
      <c r="B143" s="29">
        <v>2</v>
      </c>
      <c r="C143" s="98" t="s">
        <v>88</v>
      </c>
      <c r="D143" s="98"/>
      <c r="E143" s="83">
        <v>10</v>
      </c>
      <c r="F143" s="1"/>
      <c r="G143" s="11">
        <f t="shared" si="18"/>
        <v>10</v>
      </c>
      <c r="H143" s="1"/>
      <c r="I143" s="15">
        <f t="shared" si="19"/>
        <v>10</v>
      </c>
    </row>
    <row r="144" spans="2:9">
      <c r="B144" s="29">
        <v>3</v>
      </c>
      <c r="C144" s="98" t="s">
        <v>89</v>
      </c>
      <c r="D144" s="98"/>
      <c r="E144" s="83">
        <v>10</v>
      </c>
      <c r="F144" s="1"/>
      <c r="G144" s="11">
        <f t="shared" si="18"/>
        <v>10</v>
      </c>
      <c r="H144" s="1"/>
      <c r="I144" s="15">
        <f t="shared" si="19"/>
        <v>10</v>
      </c>
    </row>
    <row r="145" spans="2:9">
      <c r="B145" s="29">
        <v>4</v>
      </c>
      <c r="C145" s="98" t="s">
        <v>48</v>
      </c>
      <c r="D145" s="98"/>
      <c r="E145" s="83">
        <v>10</v>
      </c>
      <c r="F145" s="1"/>
      <c r="G145" s="11">
        <f t="shared" si="18"/>
        <v>10</v>
      </c>
      <c r="H145" s="1"/>
      <c r="I145" s="15">
        <f t="shared" si="19"/>
        <v>10</v>
      </c>
    </row>
    <row r="146" spans="2:9">
      <c r="B146" s="29">
        <v>5</v>
      </c>
      <c r="C146" s="98" t="s">
        <v>90</v>
      </c>
      <c r="D146" s="98"/>
      <c r="E146" s="83">
        <v>15</v>
      </c>
      <c r="F146" s="1"/>
      <c r="G146" s="11">
        <f t="shared" si="18"/>
        <v>15</v>
      </c>
      <c r="H146" s="1"/>
      <c r="I146" s="15">
        <f t="shared" si="19"/>
        <v>15</v>
      </c>
    </row>
    <row r="147" spans="2:9">
      <c r="B147" s="29">
        <v>6</v>
      </c>
      <c r="C147" s="98" t="s">
        <v>15</v>
      </c>
      <c r="D147" s="98"/>
      <c r="E147" s="83">
        <v>10</v>
      </c>
      <c r="F147" s="1"/>
      <c r="G147" s="11">
        <f t="shared" si="18"/>
        <v>10</v>
      </c>
      <c r="H147" s="1"/>
      <c r="I147" s="15">
        <f t="shared" si="19"/>
        <v>10</v>
      </c>
    </row>
    <row r="148" spans="2:9">
      <c r="B148" s="29">
        <v>7</v>
      </c>
      <c r="C148" s="98" t="s">
        <v>16</v>
      </c>
      <c r="D148" s="98"/>
      <c r="E148" s="83">
        <v>10</v>
      </c>
      <c r="F148" s="1"/>
      <c r="G148" s="11">
        <f t="shared" si="18"/>
        <v>10</v>
      </c>
      <c r="H148" s="1"/>
      <c r="I148" s="15">
        <f t="shared" si="19"/>
        <v>10</v>
      </c>
    </row>
    <row r="149" spans="2:9">
      <c r="B149" s="29">
        <v>8</v>
      </c>
      <c r="C149" s="98" t="s">
        <v>84</v>
      </c>
      <c r="D149" s="102"/>
      <c r="E149" s="83">
        <v>15</v>
      </c>
      <c r="F149" s="1"/>
      <c r="G149" s="11">
        <f t="shared" si="18"/>
        <v>15</v>
      </c>
      <c r="H149" s="1"/>
      <c r="I149" s="15">
        <f t="shared" si="19"/>
        <v>15</v>
      </c>
    </row>
    <row r="150" spans="2:9">
      <c r="B150" s="29">
        <v>9</v>
      </c>
      <c r="C150" s="101" t="s">
        <v>47</v>
      </c>
      <c r="D150" s="101"/>
      <c r="E150" s="83">
        <v>10</v>
      </c>
      <c r="F150" s="1"/>
      <c r="G150" s="11">
        <f t="shared" si="18"/>
        <v>10</v>
      </c>
      <c r="H150" s="1"/>
      <c r="I150" s="15">
        <f t="shared" si="19"/>
        <v>10</v>
      </c>
    </row>
    <row r="151" spans="2:9" ht="16.5" thickBot="1">
      <c r="B151" s="29"/>
      <c r="C151" s="40"/>
      <c r="D151" s="40"/>
      <c r="E151" s="13"/>
      <c r="F151" s="13"/>
      <c r="G151" s="13"/>
      <c r="H151" s="13"/>
      <c r="I151" s="17"/>
    </row>
    <row r="152" spans="2:9" ht="16.5" thickBot="1">
      <c r="B152" s="29"/>
      <c r="C152" s="40"/>
      <c r="D152" s="63" t="s">
        <v>58</v>
      </c>
      <c r="E152" s="14">
        <f>SUM(E142:E151)</f>
        <v>100</v>
      </c>
      <c r="F152" s="13"/>
      <c r="G152" s="14">
        <f>SUM(G142:G151)</f>
        <v>100</v>
      </c>
      <c r="H152" s="13"/>
      <c r="I152" s="18">
        <f>SUM(I142:I151)</f>
        <v>100</v>
      </c>
    </row>
    <row r="153" spans="2:9" ht="16.5" thickBot="1">
      <c r="B153" s="29"/>
      <c r="C153" s="40"/>
      <c r="D153" s="63"/>
      <c r="E153" s="13"/>
      <c r="F153" s="13"/>
      <c r="G153" s="13"/>
      <c r="H153" s="13"/>
      <c r="I153" s="17"/>
    </row>
    <row r="154" spans="2:9">
      <c r="B154" s="84" t="s">
        <v>68</v>
      </c>
      <c r="C154" s="105"/>
      <c r="D154" s="106"/>
      <c r="E154" s="106"/>
      <c r="F154" s="106"/>
      <c r="G154" s="106"/>
      <c r="H154" s="106"/>
      <c r="I154" s="107"/>
    </row>
    <row r="155" spans="2:9">
      <c r="B155" s="29"/>
      <c r="C155" s="108"/>
      <c r="D155" s="109"/>
      <c r="E155" s="109"/>
      <c r="F155" s="109"/>
      <c r="G155" s="109"/>
      <c r="H155" s="109"/>
      <c r="I155" s="110"/>
    </row>
    <row r="156" spans="2:9" ht="16.5" thickBot="1">
      <c r="B156" s="29"/>
      <c r="C156" s="111"/>
      <c r="D156" s="112"/>
      <c r="E156" s="112"/>
      <c r="F156" s="112"/>
      <c r="G156" s="112"/>
      <c r="H156" s="112"/>
      <c r="I156" s="113"/>
    </row>
    <row r="157" spans="2:9" ht="16.5" thickBot="1">
      <c r="B157" s="75"/>
      <c r="C157" s="76"/>
      <c r="D157" s="76"/>
      <c r="E157" s="76"/>
      <c r="F157" s="76"/>
      <c r="G157" s="76"/>
      <c r="H157" s="76"/>
      <c r="I157" s="77"/>
    </row>
    <row r="158" spans="2:9" ht="17.25" thickTop="1" thickBot="1"/>
    <row r="159" spans="2:9" ht="48.75" thickTop="1" thickBot="1">
      <c r="B159" s="35" t="s">
        <v>53</v>
      </c>
      <c r="C159" s="115"/>
      <c r="D159" s="115"/>
      <c r="E159" s="45" t="s">
        <v>44</v>
      </c>
      <c r="F159" s="45" t="s">
        <v>63</v>
      </c>
      <c r="G159" s="45" t="s">
        <v>62</v>
      </c>
      <c r="H159" s="45" t="s">
        <v>64</v>
      </c>
      <c r="I159" s="78" t="s">
        <v>46</v>
      </c>
    </row>
    <row r="160" spans="2:9">
      <c r="B160" s="29"/>
      <c r="C160" s="40"/>
      <c r="D160" s="40"/>
      <c r="E160" s="13"/>
      <c r="F160" s="13"/>
      <c r="G160" s="13"/>
      <c r="H160" s="13"/>
      <c r="I160" s="17"/>
    </row>
    <row r="161" spans="2:9">
      <c r="B161" s="29">
        <v>1</v>
      </c>
      <c r="C161" s="98" t="s">
        <v>131</v>
      </c>
      <c r="D161" s="98"/>
      <c r="E161" s="83">
        <v>10</v>
      </c>
      <c r="F161" s="1"/>
      <c r="G161" s="11">
        <f t="shared" ref="G161:G169" si="20">IF(F161=$L$19,0,E161)</f>
        <v>10</v>
      </c>
      <c r="H161" s="1"/>
      <c r="I161" s="15">
        <f t="shared" ref="I161:I169" si="21">IF(H161=$L$19,0,E161)</f>
        <v>10</v>
      </c>
    </row>
    <row r="162" spans="2:9">
      <c r="B162" s="29">
        <v>2</v>
      </c>
      <c r="C162" s="98" t="s">
        <v>88</v>
      </c>
      <c r="D162" s="98"/>
      <c r="E162" s="83">
        <v>10</v>
      </c>
      <c r="F162" s="1"/>
      <c r="G162" s="11">
        <f t="shared" si="20"/>
        <v>10</v>
      </c>
      <c r="H162" s="1"/>
      <c r="I162" s="15">
        <f t="shared" si="21"/>
        <v>10</v>
      </c>
    </row>
    <row r="163" spans="2:9">
      <c r="B163" s="29">
        <v>3</v>
      </c>
      <c r="C163" s="98" t="s">
        <v>89</v>
      </c>
      <c r="D163" s="98"/>
      <c r="E163" s="83">
        <v>10</v>
      </c>
      <c r="F163" s="1"/>
      <c r="G163" s="11">
        <f t="shared" si="20"/>
        <v>10</v>
      </c>
      <c r="H163" s="1"/>
      <c r="I163" s="15">
        <f t="shared" si="21"/>
        <v>10</v>
      </c>
    </row>
    <row r="164" spans="2:9">
      <c r="B164" s="29">
        <v>4</v>
      </c>
      <c r="C164" s="98" t="s">
        <v>48</v>
      </c>
      <c r="D164" s="98"/>
      <c r="E164" s="83">
        <v>10</v>
      </c>
      <c r="F164" s="1"/>
      <c r="G164" s="11">
        <f t="shared" si="20"/>
        <v>10</v>
      </c>
      <c r="H164" s="1"/>
      <c r="I164" s="15">
        <f t="shared" si="21"/>
        <v>10</v>
      </c>
    </row>
    <row r="165" spans="2:9">
      <c r="B165" s="29">
        <v>5</v>
      </c>
      <c r="C165" s="98" t="s">
        <v>90</v>
      </c>
      <c r="D165" s="98"/>
      <c r="E165" s="83">
        <v>15</v>
      </c>
      <c r="F165" s="1"/>
      <c r="G165" s="11">
        <f t="shared" si="20"/>
        <v>15</v>
      </c>
      <c r="H165" s="1"/>
      <c r="I165" s="15">
        <f t="shared" si="21"/>
        <v>15</v>
      </c>
    </row>
    <row r="166" spans="2:9">
      <c r="B166" s="29">
        <v>6</v>
      </c>
      <c r="C166" s="98" t="s">
        <v>15</v>
      </c>
      <c r="D166" s="98"/>
      <c r="E166" s="83">
        <v>10</v>
      </c>
      <c r="F166" s="1"/>
      <c r="G166" s="11">
        <f t="shared" si="20"/>
        <v>10</v>
      </c>
      <c r="H166" s="1"/>
      <c r="I166" s="15">
        <f t="shared" si="21"/>
        <v>10</v>
      </c>
    </row>
    <row r="167" spans="2:9">
      <c r="B167" s="29">
        <v>7</v>
      </c>
      <c r="C167" s="98" t="s">
        <v>16</v>
      </c>
      <c r="D167" s="98"/>
      <c r="E167" s="83">
        <v>10</v>
      </c>
      <c r="F167" s="1"/>
      <c r="G167" s="11">
        <f t="shared" si="20"/>
        <v>10</v>
      </c>
      <c r="H167" s="1"/>
      <c r="I167" s="15">
        <f t="shared" si="21"/>
        <v>10</v>
      </c>
    </row>
    <row r="168" spans="2:9">
      <c r="B168" s="29">
        <v>8</v>
      </c>
      <c r="C168" s="98" t="s">
        <v>84</v>
      </c>
      <c r="D168" s="102"/>
      <c r="E168" s="83">
        <v>15</v>
      </c>
      <c r="F168" s="1"/>
      <c r="G168" s="11">
        <f t="shared" si="20"/>
        <v>15</v>
      </c>
      <c r="H168" s="1"/>
      <c r="I168" s="15">
        <f t="shared" si="21"/>
        <v>15</v>
      </c>
    </row>
    <row r="169" spans="2:9">
      <c r="B169" s="29">
        <v>9</v>
      </c>
      <c r="C169" s="101" t="s">
        <v>47</v>
      </c>
      <c r="D169" s="101"/>
      <c r="E169" s="83">
        <v>10</v>
      </c>
      <c r="F169" s="1"/>
      <c r="G169" s="11">
        <f t="shared" si="20"/>
        <v>10</v>
      </c>
      <c r="H169" s="1"/>
      <c r="I169" s="15">
        <f t="shared" si="21"/>
        <v>10</v>
      </c>
    </row>
    <row r="170" spans="2:9" ht="16.5" thickBot="1">
      <c r="B170" s="29"/>
      <c r="C170" s="40"/>
      <c r="D170" s="40"/>
      <c r="E170" s="13"/>
      <c r="F170" s="13"/>
      <c r="G170" s="13"/>
      <c r="H170" s="13"/>
      <c r="I170" s="17"/>
    </row>
    <row r="171" spans="2:9" ht="16.5" thickBot="1">
      <c r="B171" s="29"/>
      <c r="C171" s="40"/>
      <c r="D171" s="63" t="s">
        <v>58</v>
      </c>
      <c r="E171" s="14">
        <f>SUM(E161:E170)</f>
        <v>100</v>
      </c>
      <c r="F171" s="13"/>
      <c r="G171" s="14">
        <f>SUM(G161:G170)</f>
        <v>100</v>
      </c>
      <c r="H171" s="13"/>
      <c r="I171" s="18">
        <f>SUM(I161:I170)</f>
        <v>100</v>
      </c>
    </row>
    <row r="172" spans="2:9" ht="16.5" thickBot="1">
      <c r="B172" s="29"/>
      <c r="C172" s="40"/>
      <c r="D172" s="63"/>
      <c r="E172" s="13"/>
      <c r="F172" s="13"/>
      <c r="G172" s="13"/>
      <c r="H172" s="13"/>
      <c r="I172" s="17"/>
    </row>
    <row r="173" spans="2:9">
      <c r="B173" s="84" t="s">
        <v>68</v>
      </c>
      <c r="C173" s="105"/>
      <c r="D173" s="106"/>
      <c r="E173" s="106"/>
      <c r="F173" s="106"/>
      <c r="G173" s="106"/>
      <c r="H173" s="106"/>
      <c r="I173" s="107"/>
    </row>
    <row r="174" spans="2:9">
      <c r="B174" s="29"/>
      <c r="C174" s="108"/>
      <c r="D174" s="109"/>
      <c r="E174" s="109"/>
      <c r="F174" s="109"/>
      <c r="G174" s="109"/>
      <c r="H174" s="109"/>
      <c r="I174" s="110"/>
    </row>
    <row r="175" spans="2:9" ht="16.5" thickBot="1">
      <c r="B175" s="29"/>
      <c r="C175" s="111"/>
      <c r="D175" s="112"/>
      <c r="E175" s="112"/>
      <c r="F175" s="112"/>
      <c r="G175" s="112"/>
      <c r="H175" s="112"/>
      <c r="I175" s="113"/>
    </row>
    <row r="176" spans="2:9" ht="16.5" thickBot="1">
      <c r="B176" s="75"/>
      <c r="C176" s="8"/>
      <c r="D176" s="8"/>
      <c r="E176" s="8"/>
      <c r="F176" s="8"/>
      <c r="G176" s="8"/>
      <c r="H176" s="8"/>
      <c r="I176" s="9"/>
    </row>
    <row r="177" spans="2:9" ht="16.5" thickTop="1">
      <c r="C177" s="2"/>
      <c r="D177" s="2"/>
      <c r="E177" s="3"/>
      <c r="F177" s="3"/>
      <c r="G177" s="3"/>
      <c r="H177" s="3"/>
      <c r="I177" s="3"/>
    </row>
    <row r="178" spans="2:9">
      <c r="C178" s="2"/>
      <c r="D178" s="2"/>
      <c r="E178" s="3"/>
      <c r="F178" s="3"/>
      <c r="G178" s="3"/>
      <c r="H178" s="3"/>
      <c r="I178" s="3"/>
    </row>
    <row r="179" spans="2:9">
      <c r="C179" s="2"/>
      <c r="D179" s="2"/>
      <c r="E179" s="3"/>
      <c r="F179" s="3"/>
      <c r="G179" s="3"/>
      <c r="H179" s="3"/>
      <c r="I179" s="3"/>
    </row>
    <row r="181" spans="2:9" ht="16.5" thickBot="1"/>
    <row r="182" spans="2:9" ht="48.75" thickTop="1" thickBot="1">
      <c r="B182" s="35" t="s">
        <v>55</v>
      </c>
      <c r="C182" s="115"/>
      <c r="D182" s="115"/>
      <c r="E182" s="45" t="s">
        <v>44</v>
      </c>
      <c r="F182" s="45" t="s">
        <v>63</v>
      </c>
      <c r="G182" s="45" t="s">
        <v>62</v>
      </c>
      <c r="H182" s="45" t="s">
        <v>64</v>
      </c>
      <c r="I182" s="78" t="s">
        <v>46</v>
      </c>
    </row>
    <row r="183" spans="2:9">
      <c r="B183" s="29"/>
      <c r="C183" s="40"/>
      <c r="D183" s="40"/>
      <c r="E183" s="13"/>
      <c r="F183" s="13"/>
      <c r="G183" s="13"/>
      <c r="H183" s="13"/>
      <c r="I183" s="17"/>
    </row>
    <row r="184" spans="2:9">
      <c r="B184" s="29">
        <v>1</v>
      </c>
      <c r="C184" s="98" t="s">
        <v>131</v>
      </c>
      <c r="D184" s="98"/>
      <c r="E184" s="83">
        <v>10</v>
      </c>
      <c r="F184" s="1"/>
      <c r="G184" s="11">
        <f t="shared" ref="G184:G192" si="22">IF(F184=$L$19,0,E184)</f>
        <v>10</v>
      </c>
      <c r="H184" s="1"/>
      <c r="I184" s="15">
        <f t="shared" ref="I184:I192" si="23">IF(H184=$L$19,0,E184)</f>
        <v>10</v>
      </c>
    </row>
    <row r="185" spans="2:9">
      <c r="B185" s="29">
        <v>2</v>
      </c>
      <c r="C185" s="98" t="s">
        <v>88</v>
      </c>
      <c r="D185" s="98"/>
      <c r="E185" s="83">
        <v>10</v>
      </c>
      <c r="F185" s="1"/>
      <c r="G185" s="11">
        <f t="shared" si="22"/>
        <v>10</v>
      </c>
      <c r="H185" s="1"/>
      <c r="I185" s="15">
        <f t="shared" si="23"/>
        <v>10</v>
      </c>
    </row>
    <row r="186" spans="2:9">
      <c r="B186" s="29">
        <v>3</v>
      </c>
      <c r="C186" s="98" t="s">
        <v>89</v>
      </c>
      <c r="D186" s="98"/>
      <c r="E186" s="83">
        <v>10</v>
      </c>
      <c r="F186" s="1"/>
      <c r="G186" s="11">
        <f t="shared" si="22"/>
        <v>10</v>
      </c>
      <c r="H186" s="1"/>
      <c r="I186" s="15">
        <f t="shared" si="23"/>
        <v>10</v>
      </c>
    </row>
    <row r="187" spans="2:9">
      <c r="B187" s="29">
        <v>4</v>
      </c>
      <c r="C187" s="98" t="s">
        <v>48</v>
      </c>
      <c r="D187" s="98"/>
      <c r="E187" s="83">
        <v>10</v>
      </c>
      <c r="F187" s="1"/>
      <c r="G187" s="11">
        <f t="shared" si="22"/>
        <v>10</v>
      </c>
      <c r="H187" s="1"/>
      <c r="I187" s="15">
        <f t="shared" si="23"/>
        <v>10</v>
      </c>
    </row>
    <row r="188" spans="2:9">
      <c r="B188" s="29">
        <v>5</v>
      </c>
      <c r="C188" s="98" t="s">
        <v>90</v>
      </c>
      <c r="D188" s="98"/>
      <c r="E188" s="83">
        <v>15</v>
      </c>
      <c r="F188" s="1"/>
      <c r="G188" s="11">
        <f t="shared" si="22"/>
        <v>15</v>
      </c>
      <c r="H188" s="1"/>
      <c r="I188" s="15">
        <f t="shared" si="23"/>
        <v>15</v>
      </c>
    </row>
    <row r="189" spans="2:9">
      <c r="B189" s="29">
        <v>6</v>
      </c>
      <c r="C189" s="98" t="s">
        <v>15</v>
      </c>
      <c r="D189" s="98"/>
      <c r="E189" s="83">
        <v>10</v>
      </c>
      <c r="F189" s="1"/>
      <c r="G189" s="11">
        <f t="shared" si="22"/>
        <v>10</v>
      </c>
      <c r="H189" s="1"/>
      <c r="I189" s="15">
        <f t="shared" si="23"/>
        <v>10</v>
      </c>
    </row>
    <row r="190" spans="2:9">
      <c r="B190" s="29">
        <v>7</v>
      </c>
      <c r="C190" s="98" t="s">
        <v>16</v>
      </c>
      <c r="D190" s="98"/>
      <c r="E190" s="83">
        <v>10</v>
      </c>
      <c r="F190" s="1"/>
      <c r="G190" s="11">
        <f t="shared" si="22"/>
        <v>10</v>
      </c>
      <c r="H190" s="1"/>
      <c r="I190" s="15">
        <f t="shared" si="23"/>
        <v>10</v>
      </c>
    </row>
    <row r="191" spans="2:9">
      <c r="B191" s="29">
        <v>8</v>
      </c>
      <c r="C191" s="98" t="s">
        <v>84</v>
      </c>
      <c r="D191" s="102"/>
      <c r="E191" s="83">
        <v>15</v>
      </c>
      <c r="F191" s="1"/>
      <c r="G191" s="11">
        <f t="shared" si="22"/>
        <v>15</v>
      </c>
      <c r="H191" s="1"/>
      <c r="I191" s="15">
        <f t="shared" si="23"/>
        <v>15</v>
      </c>
    </row>
    <row r="192" spans="2:9">
      <c r="B192" s="29">
        <v>9</v>
      </c>
      <c r="C192" s="101" t="s">
        <v>47</v>
      </c>
      <c r="D192" s="101"/>
      <c r="E192" s="83">
        <v>10</v>
      </c>
      <c r="F192" s="1"/>
      <c r="G192" s="11">
        <f t="shared" si="22"/>
        <v>10</v>
      </c>
      <c r="H192" s="1"/>
      <c r="I192" s="15">
        <f t="shared" si="23"/>
        <v>10</v>
      </c>
    </row>
    <row r="193" spans="2:9" ht="16.5" thickBot="1">
      <c r="B193" s="29"/>
      <c r="C193" s="40"/>
      <c r="D193" s="40"/>
      <c r="E193" s="13"/>
      <c r="F193" s="13"/>
      <c r="G193" s="13"/>
      <c r="H193" s="13"/>
      <c r="I193" s="17"/>
    </row>
    <row r="194" spans="2:9" ht="16.5" thickBot="1">
      <c r="B194" s="29"/>
      <c r="C194" s="40"/>
      <c r="D194" s="63" t="s">
        <v>58</v>
      </c>
      <c r="E194" s="14">
        <f>SUM(E184:E193)</f>
        <v>100</v>
      </c>
      <c r="F194" s="13"/>
      <c r="G194" s="14">
        <f>SUM(G184:G193)</f>
        <v>100</v>
      </c>
      <c r="H194" s="13"/>
      <c r="I194" s="18">
        <f>SUM(I184:I193)</f>
        <v>100</v>
      </c>
    </row>
    <row r="195" spans="2:9" ht="16.5" thickBot="1">
      <c r="B195" s="29"/>
      <c r="C195" s="40"/>
      <c r="D195" s="63"/>
      <c r="E195" s="13"/>
      <c r="F195" s="13"/>
      <c r="G195" s="13"/>
      <c r="H195" s="13"/>
      <c r="I195" s="17"/>
    </row>
    <row r="196" spans="2:9">
      <c r="B196" s="84" t="s">
        <v>68</v>
      </c>
      <c r="C196" s="105"/>
      <c r="D196" s="106"/>
      <c r="E196" s="106"/>
      <c r="F196" s="106"/>
      <c r="G196" s="106"/>
      <c r="H196" s="106"/>
      <c r="I196" s="107"/>
    </row>
    <row r="197" spans="2:9">
      <c r="B197" s="29"/>
      <c r="C197" s="108"/>
      <c r="D197" s="109"/>
      <c r="E197" s="109"/>
      <c r="F197" s="109"/>
      <c r="G197" s="109"/>
      <c r="H197" s="109"/>
      <c r="I197" s="110"/>
    </row>
    <row r="198" spans="2:9" ht="16.5" thickBot="1">
      <c r="B198" s="29"/>
      <c r="C198" s="111"/>
      <c r="D198" s="112"/>
      <c r="E198" s="112"/>
      <c r="F198" s="112"/>
      <c r="G198" s="112"/>
      <c r="H198" s="112"/>
      <c r="I198" s="113"/>
    </row>
    <row r="199" spans="2:9" ht="16.5" thickBot="1">
      <c r="B199" s="75"/>
      <c r="C199" s="76"/>
      <c r="D199" s="76"/>
      <c r="E199" s="76"/>
      <c r="F199" s="76"/>
      <c r="G199" s="76"/>
      <c r="H199" s="76"/>
      <c r="I199" s="77"/>
    </row>
    <row r="200" spans="2:9" ht="17.25" thickTop="1" thickBot="1"/>
    <row r="201" spans="2:9" ht="48.75" thickTop="1" thickBot="1">
      <c r="B201" s="35" t="s">
        <v>56</v>
      </c>
      <c r="C201" s="115"/>
      <c r="D201" s="115"/>
      <c r="E201" s="45" t="s">
        <v>44</v>
      </c>
      <c r="F201" s="45" t="s">
        <v>63</v>
      </c>
      <c r="G201" s="45" t="s">
        <v>62</v>
      </c>
      <c r="H201" s="45" t="s">
        <v>64</v>
      </c>
      <c r="I201" s="78" t="s">
        <v>46</v>
      </c>
    </row>
    <row r="202" spans="2:9">
      <c r="B202" s="29"/>
      <c r="C202" s="40"/>
      <c r="D202" s="40"/>
      <c r="E202" s="13"/>
      <c r="F202" s="13"/>
      <c r="G202" s="13"/>
      <c r="H202" s="13"/>
      <c r="I202" s="17"/>
    </row>
    <row r="203" spans="2:9">
      <c r="B203" s="29">
        <v>1</v>
      </c>
      <c r="C203" s="98" t="s">
        <v>131</v>
      </c>
      <c r="D203" s="98"/>
      <c r="E203" s="83">
        <v>10</v>
      </c>
      <c r="F203" s="1"/>
      <c r="G203" s="11">
        <f t="shared" ref="G203:G211" si="24">IF(F203=$L$19,0,E203)</f>
        <v>10</v>
      </c>
      <c r="H203" s="1"/>
      <c r="I203" s="15">
        <f t="shared" ref="I203:I211" si="25">IF(H203=$L$19,0,E203)</f>
        <v>10</v>
      </c>
    </row>
    <row r="204" spans="2:9">
      <c r="B204" s="29">
        <v>2</v>
      </c>
      <c r="C204" s="98" t="s">
        <v>88</v>
      </c>
      <c r="D204" s="98"/>
      <c r="E204" s="83">
        <v>10</v>
      </c>
      <c r="F204" s="1"/>
      <c r="G204" s="11">
        <f t="shared" si="24"/>
        <v>10</v>
      </c>
      <c r="H204" s="1"/>
      <c r="I204" s="15">
        <f t="shared" si="25"/>
        <v>10</v>
      </c>
    </row>
    <row r="205" spans="2:9">
      <c r="B205" s="29">
        <v>3</v>
      </c>
      <c r="C205" s="98" t="s">
        <v>89</v>
      </c>
      <c r="D205" s="98"/>
      <c r="E205" s="83">
        <v>10</v>
      </c>
      <c r="F205" s="1"/>
      <c r="G205" s="11">
        <f t="shared" si="24"/>
        <v>10</v>
      </c>
      <c r="H205" s="1"/>
      <c r="I205" s="15">
        <f t="shared" si="25"/>
        <v>10</v>
      </c>
    </row>
    <row r="206" spans="2:9">
      <c r="B206" s="29">
        <v>4</v>
      </c>
      <c r="C206" s="98" t="s">
        <v>48</v>
      </c>
      <c r="D206" s="98"/>
      <c r="E206" s="83">
        <v>10</v>
      </c>
      <c r="F206" s="1"/>
      <c r="G206" s="11">
        <f t="shared" si="24"/>
        <v>10</v>
      </c>
      <c r="H206" s="1"/>
      <c r="I206" s="15">
        <f t="shared" si="25"/>
        <v>10</v>
      </c>
    </row>
    <row r="207" spans="2:9">
      <c r="B207" s="29">
        <v>5</v>
      </c>
      <c r="C207" s="98" t="s">
        <v>90</v>
      </c>
      <c r="D207" s="98"/>
      <c r="E207" s="83">
        <v>15</v>
      </c>
      <c r="F207" s="1"/>
      <c r="G207" s="11">
        <f t="shared" si="24"/>
        <v>15</v>
      </c>
      <c r="H207" s="1"/>
      <c r="I207" s="15">
        <f t="shared" si="25"/>
        <v>15</v>
      </c>
    </row>
    <row r="208" spans="2:9">
      <c r="B208" s="29">
        <v>6</v>
      </c>
      <c r="C208" s="98" t="s">
        <v>15</v>
      </c>
      <c r="D208" s="98"/>
      <c r="E208" s="83">
        <v>10</v>
      </c>
      <c r="F208" s="1"/>
      <c r="G208" s="11">
        <f t="shared" si="24"/>
        <v>10</v>
      </c>
      <c r="H208" s="1"/>
      <c r="I208" s="15">
        <f t="shared" si="25"/>
        <v>10</v>
      </c>
    </row>
    <row r="209" spans="2:9">
      <c r="B209" s="29">
        <v>7</v>
      </c>
      <c r="C209" s="98" t="s">
        <v>16</v>
      </c>
      <c r="D209" s="98"/>
      <c r="E209" s="83">
        <v>10</v>
      </c>
      <c r="F209" s="1"/>
      <c r="G209" s="11">
        <f t="shared" si="24"/>
        <v>10</v>
      </c>
      <c r="H209" s="1"/>
      <c r="I209" s="15">
        <f t="shared" si="25"/>
        <v>10</v>
      </c>
    </row>
    <row r="210" spans="2:9">
      <c r="B210" s="29">
        <v>8</v>
      </c>
      <c r="C210" s="98" t="s">
        <v>84</v>
      </c>
      <c r="D210" s="102"/>
      <c r="E210" s="83">
        <v>15</v>
      </c>
      <c r="F210" s="1"/>
      <c r="G210" s="11">
        <f t="shared" si="24"/>
        <v>15</v>
      </c>
      <c r="H210" s="1"/>
      <c r="I210" s="15">
        <f t="shared" si="25"/>
        <v>15</v>
      </c>
    </row>
    <row r="211" spans="2:9">
      <c r="B211" s="29">
        <v>9</v>
      </c>
      <c r="C211" s="101" t="s">
        <v>47</v>
      </c>
      <c r="D211" s="101"/>
      <c r="E211" s="83">
        <v>10</v>
      </c>
      <c r="F211" s="1"/>
      <c r="G211" s="11">
        <f t="shared" si="24"/>
        <v>10</v>
      </c>
      <c r="H211" s="1"/>
      <c r="I211" s="15">
        <f t="shared" si="25"/>
        <v>10</v>
      </c>
    </row>
    <row r="212" spans="2:9" ht="16.5" thickBot="1">
      <c r="B212" s="29"/>
      <c r="C212" s="40"/>
      <c r="D212" s="40"/>
      <c r="E212" s="13"/>
      <c r="F212" s="13"/>
      <c r="G212" s="13"/>
      <c r="H212" s="13"/>
      <c r="I212" s="17"/>
    </row>
    <row r="213" spans="2:9" ht="16.5" thickBot="1">
      <c r="B213" s="29"/>
      <c r="C213" s="40"/>
      <c r="D213" s="63" t="s">
        <v>58</v>
      </c>
      <c r="E213" s="14">
        <f>SUM(E203:E212)</f>
        <v>100</v>
      </c>
      <c r="F213" s="13"/>
      <c r="G213" s="14">
        <f>SUM(G203:G212)</f>
        <v>100</v>
      </c>
      <c r="H213" s="13"/>
      <c r="I213" s="18">
        <f>SUM(I203:I212)</f>
        <v>100</v>
      </c>
    </row>
    <row r="214" spans="2:9" ht="16.5" thickBot="1">
      <c r="B214" s="29"/>
      <c r="C214" s="40"/>
      <c r="D214" s="63"/>
      <c r="E214" s="13"/>
      <c r="F214" s="13"/>
      <c r="G214" s="13"/>
      <c r="H214" s="13"/>
      <c r="I214" s="17"/>
    </row>
    <row r="215" spans="2:9">
      <c r="B215" s="84" t="s">
        <v>68</v>
      </c>
      <c r="C215" s="105"/>
      <c r="D215" s="106"/>
      <c r="E215" s="106"/>
      <c r="F215" s="106"/>
      <c r="G215" s="106"/>
      <c r="H215" s="106"/>
      <c r="I215" s="107"/>
    </row>
    <row r="216" spans="2:9">
      <c r="B216" s="29"/>
      <c r="C216" s="108"/>
      <c r="D216" s="109"/>
      <c r="E216" s="109"/>
      <c r="F216" s="109"/>
      <c r="G216" s="109"/>
      <c r="H216" s="109"/>
      <c r="I216" s="110"/>
    </row>
    <row r="217" spans="2:9" ht="16.5" thickBot="1">
      <c r="B217" s="29"/>
      <c r="C217" s="111"/>
      <c r="D217" s="112"/>
      <c r="E217" s="112"/>
      <c r="F217" s="112"/>
      <c r="G217" s="112"/>
      <c r="H217" s="112"/>
      <c r="I217" s="113"/>
    </row>
    <row r="218" spans="2:9" ht="16.5" thickBot="1">
      <c r="B218" s="75"/>
      <c r="C218" s="76"/>
      <c r="D218" s="76"/>
      <c r="E218" s="76"/>
      <c r="F218" s="76"/>
      <c r="G218" s="76"/>
      <c r="H218" s="76"/>
      <c r="I218" s="77"/>
    </row>
    <row r="219" spans="2:9" ht="17.25" thickTop="1" thickBot="1"/>
    <row r="220" spans="2:9" ht="48.75" thickTop="1" thickBot="1">
      <c r="B220" s="35" t="s">
        <v>149</v>
      </c>
      <c r="C220" s="115"/>
      <c r="D220" s="115"/>
      <c r="E220" s="45" t="s">
        <v>44</v>
      </c>
      <c r="F220" s="45" t="s">
        <v>63</v>
      </c>
      <c r="G220" s="45" t="s">
        <v>62</v>
      </c>
      <c r="H220" s="45" t="s">
        <v>64</v>
      </c>
      <c r="I220" s="78" t="s">
        <v>46</v>
      </c>
    </row>
    <row r="221" spans="2:9">
      <c r="B221" s="29"/>
      <c r="C221" s="40"/>
      <c r="D221" s="40"/>
      <c r="E221" s="13"/>
      <c r="F221" s="13"/>
      <c r="G221" s="13"/>
      <c r="H221" s="13"/>
      <c r="I221" s="17"/>
    </row>
    <row r="222" spans="2:9">
      <c r="B222" s="29">
        <v>1</v>
      </c>
      <c r="C222" s="98" t="s">
        <v>131</v>
      </c>
      <c r="D222" s="98"/>
      <c r="E222" s="83">
        <v>10</v>
      </c>
      <c r="F222" s="1"/>
      <c r="G222" s="11">
        <f t="shared" ref="G222:G230" si="26">IF(F222=$L$19,0,E222)</f>
        <v>10</v>
      </c>
      <c r="H222" s="1"/>
      <c r="I222" s="15">
        <f t="shared" ref="I222:I230" si="27">IF(H222=$L$19,0,E222)</f>
        <v>10</v>
      </c>
    </row>
    <row r="223" spans="2:9">
      <c r="B223" s="29">
        <v>2</v>
      </c>
      <c r="C223" s="98" t="s">
        <v>88</v>
      </c>
      <c r="D223" s="98"/>
      <c r="E223" s="83">
        <v>10</v>
      </c>
      <c r="F223" s="1"/>
      <c r="G223" s="11">
        <f t="shared" si="26"/>
        <v>10</v>
      </c>
      <c r="H223" s="1"/>
      <c r="I223" s="15">
        <f t="shared" si="27"/>
        <v>10</v>
      </c>
    </row>
    <row r="224" spans="2:9">
      <c r="B224" s="29">
        <v>3</v>
      </c>
      <c r="C224" s="98" t="s">
        <v>89</v>
      </c>
      <c r="D224" s="98"/>
      <c r="E224" s="83">
        <v>10</v>
      </c>
      <c r="F224" s="1"/>
      <c r="G224" s="11">
        <f t="shared" si="26"/>
        <v>10</v>
      </c>
      <c r="H224" s="1"/>
      <c r="I224" s="15">
        <f t="shared" si="27"/>
        <v>10</v>
      </c>
    </row>
    <row r="225" spans="2:9">
      <c r="B225" s="29">
        <v>4</v>
      </c>
      <c r="C225" s="98" t="s">
        <v>48</v>
      </c>
      <c r="D225" s="98"/>
      <c r="E225" s="83">
        <v>10</v>
      </c>
      <c r="F225" s="1"/>
      <c r="G225" s="11">
        <f t="shared" si="26"/>
        <v>10</v>
      </c>
      <c r="H225" s="1"/>
      <c r="I225" s="15">
        <f t="shared" si="27"/>
        <v>10</v>
      </c>
    </row>
    <row r="226" spans="2:9">
      <c r="B226" s="29">
        <v>5</v>
      </c>
      <c r="C226" s="98" t="s">
        <v>90</v>
      </c>
      <c r="D226" s="98"/>
      <c r="E226" s="83">
        <v>15</v>
      </c>
      <c r="F226" s="1"/>
      <c r="G226" s="11">
        <f t="shared" si="26"/>
        <v>15</v>
      </c>
      <c r="H226" s="1"/>
      <c r="I226" s="15">
        <f t="shared" si="27"/>
        <v>15</v>
      </c>
    </row>
    <row r="227" spans="2:9">
      <c r="B227" s="29">
        <v>6</v>
      </c>
      <c r="C227" s="98" t="s">
        <v>15</v>
      </c>
      <c r="D227" s="98"/>
      <c r="E227" s="83">
        <v>10</v>
      </c>
      <c r="F227" s="1"/>
      <c r="G227" s="11">
        <f t="shared" si="26"/>
        <v>10</v>
      </c>
      <c r="H227" s="1"/>
      <c r="I227" s="15">
        <f t="shared" si="27"/>
        <v>10</v>
      </c>
    </row>
    <row r="228" spans="2:9">
      <c r="B228" s="29">
        <v>7</v>
      </c>
      <c r="C228" s="98" t="s">
        <v>16</v>
      </c>
      <c r="D228" s="98"/>
      <c r="E228" s="83">
        <v>10</v>
      </c>
      <c r="F228" s="1"/>
      <c r="G228" s="11">
        <f t="shared" si="26"/>
        <v>10</v>
      </c>
      <c r="H228" s="1"/>
      <c r="I228" s="15">
        <f t="shared" si="27"/>
        <v>10</v>
      </c>
    </row>
    <row r="229" spans="2:9">
      <c r="B229" s="29">
        <v>8</v>
      </c>
      <c r="C229" s="98" t="s">
        <v>84</v>
      </c>
      <c r="D229" s="102"/>
      <c r="E229" s="83">
        <v>15</v>
      </c>
      <c r="F229" s="1"/>
      <c r="G229" s="11">
        <f t="shared" si="26"/>
        <v>15</v>
      </c>
      <c r="H229" s="1"/>
      <c r="I229" s="15">
        <f t="shared" si="27"/>
        <v>15</v>
      </c>
    </row>
    <row r="230" spans="2:9">
      <c r="B230" s="29">
        <v>9</v>
      </c>
      <c r="C230" s="101" t="s">
        <v>47</v>
      </c>
      <c r="D230" s="101"/>
      <c r="E230" s="83">
        <v>10</v>
      </c>
      <c r="F230" s="1"/>
      <c r="G230" s="11">
        <f t="shared" si="26"/>
        <v>10</v>
      </c>
      <c r="H230" s="1"/>
      <c r="I230" s="15">
        <f t="shared" si="27"/>
        <v>10</v>
      </c>
    </row>
    <row r="231" spans="2:9" ht="16.5" thickBot="1">
      <c r="B231" s="29"/>
      <c r="C231" s="40"/>
      <c r="D231" s="40"/>
      <c r="E231" s="13"/>
      <c r="F231" s="13"/>
      <c r="G231" s="13"/>
      <c r="H231" s="13"/>
      <c r="I231" s="17"/>
    </row>
    <row r="232" spans="2:9" ht="16.5" thickBot="1">
      <c r="B232" s="29"/>
      <c r="C232" s="40"/>
      <c r="D232" s="63" t="s">
        <v>58</v>
      </c>
      <c r="E232" s="14">
        <f>SUM(E222:E231)</f>
        <v>100</v>
      </c>
      <c r="F232" s="13"/>
      <c r="G232" s="14">
        <f>SUM(G222:G231)</f>
        <v>100</v>
      </c>
      <c r="H232" s="13"/>
      <c r="I232" s="18">
        <f>SUM(I222:I231)</f>
        <v>100</v>
      </c>
    </row>
    <row r="233" spans="2:9" ht="16.5" thickBot="1">
      <c r="B233" s="29"/>
      <c r="C233" s="40"/>
      <c r="D233" s="63"/>
      <c r="E233" s="13"/>
      <c r="F233" s="13"/>
      <c r="G233" s="13"/>
      <c r="H233" s="13"/>
      <c r="I233" s="17"/>
    </row>
    <row r="234" spans="2:9">
      <c r="B234" s="84" t="s">
        <v>68</v>
      </c>
      <c r="C234" s="105"/>
      <c r="D234" s="106"/>
      <c r="E234" s="106"/>
      <c r="F234" s="106"/>
      <c r="G234" s="106"/>
      <c r="H234" s="106"/>
      <c r="I234" s="107"/>
    </row>
    <row r="235" spans="2:9">
      <c r="B235" s="29"/>
      <c r="C235" s="108"/>
      <c r="D235" s="109"/>
      <c r="E235" s="109"/>
      <c r="F235" s="109"/>
      <c r="G235" s="109"/>
      <c r="H235" s="109"/>
      <c r="I235" s="110"/>
    </row>
    <row r="236" spans="2:9" ht="16.5" thickBot="1">
      <c r="B236" s="29"/>
      <c r="C236" s="111"/>
      <c r="D236" s="112"/>
      <c r="E236" s="112"/>
      <c r="F236" s="112"/>
      <c r="G236" s="112"/>
      <c r="H236" s="112"/>
      <c r="I236" s="113"/>
    </row>
    <row r="237" spans="2:9" ht="16.5" thickBot="1">
      <c r="B237" s="75"/>
      <c r="C237" s="76"/>
      <c r="D237" s="76"/>
      <c r="E237" s="76"/>
      <c r="F237" s="76"/>
      <c r="G237" s="76"/>
      <c r="H237" s="76"/>
      <c r="I237" s="77"/>
    </row>
    <row r="238" spans="2:9" ht="16.5" thickTop="1"/>
  </sheetData>
  <sheetProtection sheet="1" objects="1" scenarios="1"/>
  <mergeCells count="141">
    <mergeCell ref="C140:D140"/>
    <mergeCell ref="C159:D159"/>
    <mergeCell ref="C182:D182"/>
    <mergeCell ref="C201:D201"/>
    <mergeCell ref="C227:D227"/>
    <mergeCell ref="C228:D228"/>
    <mergeCell ref="C229:D229"/>
    <mergeCell ref="C203:D203"/>
    <mergeCell ref="C204:D204"/>
    <mergeCell ref="C205:D205"/>
    <mergeCell ref="C206:D206"/>
    <mergeCell ref="C207:D207"/>
    <mergeCell ref="C189:D189"/>
    <mergeCell ref="C190:D190"/>
    <mergeCell ref="C191:D191"/>
    <mergeCell ref="C192:D192"/>
    <mergeCell ref="C196:I198"/>
    <mergeCell ref="C184:D184"/>
    <mergeCell ref="C185:D185"/>
    <mergeCell ref="C186:D186"/>
    <mergeCell ref="C187:D187"/>
    <mergeCell ref="C188:D188"/>
    <mergeCell ref="C166:D166"/>
    <mergeCell ref="C167:D167"/>
    <mergeCell ref="C230:D230"/>
    <mergeCell ref="C234:I236"/>
    <mergeCell ref="C222:D222"/>
    <mergeCell ref="C223:D223"/>
    <mergeCell ref="C224:D224"/>
    <mergeCell ref="C225:D225"/>
    <mergeCell ref="C226:D226"/>
    <mergeCell ref="C208:D208"/>
    <mergeCell ref="C209:D209"/>
    <mergeCell ref="C210:D210"/>
    <mergeCell ref="C211:D211"/>
    <mergeCell ref="C215:I217"/>
    <mergeCell ref="C220:D220"/>
    <mergeCell ref="C168:D168"/>
    <mergeCell ref="C169:D169"/>
    <mergeCell ref="C173:I175"/>
    <mergeCell ref="C161:D161"/>
    <mergeCell ref="C162:D162"/>
    <mergeCell ref="C163:D163"/>
    <mergeCell ref="C164:D164"/>
    <mergeCell ref="C165:D165"/>
    <mergeCell ref="C146:D146"/>
    <mergeCell ref="C147:D147"/>
    <mergeCell ref="C148:D148"/>
    <mergeCell ref="C149:D149"/>
    <mergeCell ref="C150:D150"/>
    <mergeCell ref="C154:I156"/>
    <mergeCell ref="C142:D142"/>
    <mergeCell ref="C143:D143"/>
    <mergeCell ref="C144:D144"/>
    <mergeCell ref="C145:D145"/>
    <mergeCell ref="C19:D19"/>
    <mergeCell ref="C20:D20"/>
    <mergeCell ref="C21:D21"/>
    <mergeCell ref="C22:D22"/>
    <mergeCell ref="C23:D23"/>
    <mergeCell ref="C24:D24"/>
    <mergeCell ref="C25:D25"/>
    <mergeCell ref="C26:D26"/>
    <mergeCell ref="C29:D29"/>
    <mergeCell ref="C27:D27"/>
    <mergeCell ref="C76:D76"/>
    <mergeCell ref="C83:D83"/>
    <mergeCell ref="C87:D87"/>
    <mergeCell ref="C32:D32"/>
    <mergeCell ref="C33:D33"/>
    <mergeCell ref="C34:D34"/>
    <mergeCell ref="C35:D35"/>
    <mergeCell ref="C37:D37"/>
    <mergeCell ref="C31:D31"/>
    <mergeCell ref="C30:D30"/>
    <mergeCell ref="E2:F2"/>
    <mergeCell ref="E7:F7"/>
    <mergeCell ref="E8:F8"/>
    <mergeCell ref="G3:H3"/>
    <mergeCell ref="C11:I11"/>
    <mergeCell ref="C43:D43"/>
    <mergeCell ref="C58:D58"/>
    <mergeCell ref="C45:D45"/>
    <mergeCell ref="C46:D46"/>
    <mergeCell ref="C47:D47"/>
    <mergeCell ref="C48:D48"/>
    <mergeCell ref="C50:D50"/>
    <mergeCell ref="C51:D51"/>
    <mergeCell ref="C52:D52"/>
    <mergeCell ref="C54:D54"/>
    <mergeCell ref="C55:D55"/>
    <mergeCell ref="C56:D56"/>
    <mergeCell ref="C57:D57"/>
    <mergeCell ref="C44:D44"/>
    <mergeCell ref="C38:D38"/>
    <mergeCell ref="C39:D39"/>
    <mergeCell ref="C40:D40"/>
    <mergeCell ref="C41:D41"/>
    <mergeCell ref="C42:D42"/>
    <mergeCell ref="C131:D131"/>
    <mergeCell ref="C135:I137"/>
    <mergeCell ref="C127:D127"/>
    <mergeCell ref="C77:D77"/>
    <mergeCell ref="C78:D78"/>
    <mergeCell ref="C79:D79"/>
    <mergeCell ref="C82:D82"/>
    <mergeCell ref="C84:D84"/>
    <mergeCell ref="C86:D86"/>
    <mergeCell ref="C88:D88"/>
    <mergeCell ref="C123:D123"/>
    <mergeCell ref="C124:D124"/>
    <mergeCell ref="C125:D125"/>
    <mergeCell ref="C126:D126"/>
    <mergeCell ref="C92:I100"/>
    <mergeCell ref="C85:D85"/>
    <mergeCell ref="C130:D130"/>
    <mergeCell ref="C121:D121"/>
    <mergeCell ref="C12:I12"/>
    <mergeCell ref="C13:I13"/>
    <mergeCell ref="C14:I14"/>
    <mergeCell ref="C15:I15"/>
    <mergeCell ref="C128:D128"/>
    <mergeCell ref="C129:D129"/>
    <mergeCell ref="C75:D75"/>
    <mergeCell ref="C59:D59"/>
    <mergeCell ref="C63:D63"/>
    <mergeCell ref="C65:D65"/>
    <mergeCell ref="C66:D66"/>
    <mergeCell ref="C67:D67"/>
    <mergeCell ref="C68:D68"/>
    <mergeCell ref="C60:D60"/>
    <mergeCell ref="C62:D62"/>
    <mergeCell ref="C80:D80"/>
    <mergeCell ref="C81:D81"/>
    <mergeCell ref="C61:D61"/>
    <mergeCell ref="C69:D69"/>
    <mergeCell ref="C71:D71"/>
    <mergeCell ref="C72:D72"/>
    <mergeCell ref="C73:D73"/>
    <mergeCell ref="C74:D74"/>
    <mergeCell ref="C18:D18"/>
  </mergeCells>
  <dataValidations disablePrompts="1" count="1">
    <dataValidation type="list" allowBlank="1" showInputMessage="1" showErrorMessage="1" sqref="H123:H131 F123:F131 H19:H88 F19:F88 H142:H150 F142:F150 H161:H169 F161:F169 H184:H192 F184:F192 H203:H211 F203:F211 H222:H230 F222:F230">
      <formula1>$L$18:$L$20</formula1>
    </dataValidation>
  </dataValidations>
  <pageMargins left="0.7" right="0.7" top="1" bottom="0.75" header="0.3" footer="0.3"/>
  <pageSetup scale="54" fitToHeight="6" orientation="portrait" r:id="rId1"/>
  <headerFooter>
    <oddHeader>&amp;L540.19
09/20/2011
Rev. 02&amp;C&amp;20SUPPLIER PERFORMANCE EVALUATION SYSTEM (SPES)
SUPPLIER RATING FORM ENGINEERED HARDWARE, 
CONSTRUCTION AND SERVICE 
&amp;RDate of Preparation:  &amp;"-,Bold"&amp;D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191"/>
  <sheetViews>
    <sheetView view="pageLayout" zoomScaleNormal="100" workbookViewId="0">
      <selection activeCell="C14" sqref="C14:I14"/>
    </sheetView>
  </sheetViews>
  <sheetFormatPr defaultRowHeight="15.75"/>
  <cols>
    <col min="1" max="1" width="4.7109375" style="20" customWidth="1"/>
    <col min="2" max="2" width="27" style="20" customWidth="1"/>
    <col min="3" max="3" width="23.42578125" style="20" customWidth="1"/>
    <col min="4" max="4" width="25.28515625" style="21" customWidth="1"/>
    <col min="5" max="5" width="11.28515625" style="20" customWidth="1"/>
    <col min="6" max="7" width="18.28515625" style="22" bestFit="1" customWidth="1"/>
    <col min="8" max="8" width="8.85546875" style="22" bestFit="1" customWidth="1"/>
    <col min="9" max="9" width="14" style="22" bestFit="1" customWidth="1"/>
    <col min="10" max="10" width="4.7109375" style="20" customWidth="1"/>
    <col min="11" max="11" width="3.85546875" style="20" customWidth="1"/>
    <col min="12" max="12" width="5.28515625" style="20" hidden="1" customWidth="1"/>
    <col min="13" max="16384" width="9.140625" style="20"/>
  </cols>
  <sheetData>
    <row r="1" spans="2:12" ht="16.5" thickBot="1"/>
    <row r="2" spans="2:12" ht="17.25" thickTop="1" thickBot="1">
      <c r="B2" s="23" t="s">
        <v>29</v>
      </c>
      <c r="C2" s="64"/>
      <c r="D2" s="24" t="s">
        <v>30</v>
      </c>
      <c r="E2" s="120"/>
      <c r="F2" s="120"/>
      <c r="G2" s="25"/>
      <c r="H2" s="26" t="s">
        <v>146</v>
      </c>
      <c r="I2" s="27" t="s">
        <v>74</v>
      </c>
      <c r="J2" s="28"/>
      <c r="K2" s="28"/>
      <c r="L2" s="28"/>
    </row>
    <row r="3" spans="2:12" ht="16.5" thickBot="1">
      <c r="B3" s="29" t="s">
        <v>31</v>
      </c>
      <c r="C3" s="65"/>
      <c r="D3" s="28"/>
      <c r="E3" s="28"/>
      <c r="F3" s="30"/>
      <c r="G3" s="118" t="s">
        <v>147</v>
      </c>
      <c r="H3" s="118"/>
      <c r="I3" s="66"/>
      <c r="J3" s="28"/>
      <c r="K3" s="28"/>
      <c r="L3" s="28"/>
    </row>
    <row r="4" spans="2:12" ht="16.5" thickBot="1">
      <c r="B4" s="31"/>
      <c r="C4" s="32"/>
      <c r="D4" s="32"/>
      <c r="E4" s="32"/>
      <c r="F4" s="33"/>
      <c r="G4" s="33"/>
      <c r="H4" s="33"/>
      <c r="I4" s="34"/>
    </row>
    <row r="5" spans="2:12" ht="16.5" thickTop="1">
      <c r="B5" s="35" t="s">
        <v>52</v>
      </c>
      <c r="C5" s="36"/>
      <c r="D5" s="36"/>
      <c r="E5" s="36"/>
      <c r="F5" s="25"/>
      <c r="G5" s="25"/>
      <c r="H5" s="25"/>
      <c r="I5" s="37"/>
    </row>
    <row r="6" spans="2:12">
      <c r="B6" s="29"/>
      <c r="C6" s="28"/>
      <c r="D6" s="28"/>
      <c r="E6" s="28"/>
      <c r="F6" s="30"/>
      <c r="G6" s="30"/>
      <c r="H6" s="30"/>
      <c r="I6" s="38"/>
    </row>
    <row r="7" spans="2:12" ht="16.5" thickBot="1">
      <c r="B7" s="39" t="s">
        <v>32</v>
      </c>
      <c r="C7" s="67"/>
      <c r="D7" s="40" t="s">
        <v>33</v>
      </c>
      <c r="E7" s="121"/>
      <c r="F7" s="121"/>
      <c r="G7" s="30"/>
      <c r="H7" s="30"/>
      <c r="I7" s="38"/>
    </row>
    <row r="8" spans="2:12" ht="16.5" thickBot="1">
      <c r="B8" s="39" t="s">
        <v>34</v>
      </c>
      <c r="C8" s="65"/>
      <c r="D8" s="40" t="s">
        <v>35</v>
      </c>
      <c r="E8" s="122"/>
      <c r="F8" s="122"/>
      <c r="G8" s="30"/>
      <c r="H8" s="30"/>
      <c r="I8" s="38"/>
    </row>
    <row r="9" spans="2:12" ht="16.5" thickBot="1">
      <c r="B9" s="39" t="s">
        <v>36</v>
      </c>
      <c r="C9" s="65"/>
      <c r="D9" s="40"/>
      <c r="E9" s="28"/>
      <c r="F9" s="30"/>
      <c r="G9" s="30"/>
      <c r="H9" s="30"/>
      <c r="I9" s="38"/>
    </row>
    <row r="10" spans="2:12" ht="16.5" thickBot="1">
      <c r="B10" s="31"/>
      <c r="C10" s="32"/>
      <c r="D10" s="41"/>
      <c r="E10" s="32"/>
      <c r="F10" s="33"/>
      <c r="G10" s="33"/>
      <c r="H10" s="33"/>
      <c r="I10" s="34"/>
    </row>
    <row r="11" spans="2:12" ht="30" customHeight="1" thickTop="1">
      <c r="B11" s="42" t="s">
        <v>59</v>
      </c>
      <c r="C11" s="119" t="s">
        <v>142</v>
      </c>
      <c r="D11" s="119"/>
      <c r="E11" s="119"/>
      <c r="F11" s="119"/>
      <c r="G11" s="119"/>
      <c r="H11" s="119"/>
      <c r="I11" s="119"/>
    </row>
    <row r="12" spans="2:12" ht="30" customHeight="1">
      <c r="C12" s="98" t="s">
        <v>135</v>
      </c>
      <c r="D12" s="98"/>
      <c r="E12" s="98"/>
      <c r="F12" s="98"/>
      <c r="G12" s="98"/>
      <c r="H12" s="98"/>
      <c r="I12" s="98"/>
    </row>
    <row r="13" spans="2:12" ht="15.75" customHeight="1">
      <c r="C13" s="98" t="s">
        <v>132</v>
      </c>
      <c r="D13" s="98"/>
      <c r="E13" s="98"/>
      <c r="F13" s="98"/>
      <c r="G13" s="98"/>
      <c r="H13" s="98"/>
      <c r="I13" s="98"/>
    </row>
    <row r="14" spans="2:12" ht="31.5" customHeight="1">
      <c r="C14" s="98" t="s">
        <v>133</v>
      </c>
      <c r="D14" s="98"/>
      <c r="E14" s="98"/>
      <c r="F14" s="98"/>
      <c r="G14" s="98"/>
      <c r="H14" s="98"/>
      <c r="I14" s="98"/>
    </row>
    <row r="15" spans="2:12" ht="15.75" customHeight="1">
      <c r="C15" s="98" t="s">
        <v>134</v>
      </c>
      <c r="D15" s="98"/>
      <c r="E15" s="98"/>
      <c r="F15" s="98"/>
      <c r="G15" s="98"/>
      <c r="H15" s="98"/>
      <c r="I15" s="98"/>
    </row>
    <row r="16" spans="2:12" ht="26.25">
      <c r="B16" s="43" t="s">
        <v>60</v>
      </c>
      <c r="C16" s="28" t="s">
        <v>150</v>
      </c>
      <c r="D16" s="40"/>
    </row>
    <row r="17" spans="2:12" ht="16.5" thickBot="1">
      <c r="B17" s="28"/>
      <c r="C17" s="28"/>
      <c r="D17" s="40"/>
    </row>
    <row r="18" spans="2:12" ht="32.25" thickTop="1">
      <c r="B18" s="44" t="s">
        <v>77</v>
      </c>
      <c r="C18" s="45" t="s">
        <v>65</v>
      </c>
      <c r="D18" s="45" t="s">
        <v>66</v>
      </c>
      <c r="E18" s="36"/>
      <c r="F18" s="25"/>
      <c r="G18" s="25"/>
      <c r="H18" s="25"/>
      <c r="I18" s="37"/>
      <c r="L18" s="20" t="s">
        <v>40</v>
      </c>
    </row>
    <row r="19" spans="2:12" ht="15" customHeight="1">
      <c r="B19" s="39">
        <v>1</v>
      </c>
      <c r="C19" s="70"/>
      <c r="D19" s="70"/>
      <c r="E19" s="28"/>
      <c r="F19" s="30"/>
      <c r="G19" s="30"/>
      <c r="H19" s="30"/>
      <c r="I19" s="38"/>
      <c r="L19" s="20" t="s">
        <v>41</v>
      </c>
    </row>
    <row r="20" spans="2:12" ht="15" customHeight="1">
      <c r="B20" s="39">
        <v>2</v>
      </c>
      <c r="C20" s="70"/>
      <c r="D20" s="70"/>
      <c r="E20" s="28"/>
      <c r="F20" s="30"/>
      <c r="G20" s="30"/>
      <c r="H20" s="30"/>
      <c r="I20" s="38"/>
      <c r="L20" s="20" t="s">
        <v>42</v>
      </c>
    </row>
    <row r="21" spans="2:12" ht="15" customHeight="1">
      <c r="B21" s="39">
        <v>3</v>
      </c>
      <c r="C21" s="70"/>
      <c r="D21" s="70"/>
      <c r="E21" s="28"/>
      <c r="F21" s="30"/>
      <c r="G21" s="30"/>
      <c r="H21" s="30"/>
      <c r="I21" s="38"/>
    </row>
    <row r="22" spans="2:12" ht="15" customHeight="1">
      <c r="B22" s="39">
        <v>4</v>
      </c>
      <c r="C22" s="70"/>
      <c r="D22" s="70"/>
      <c r="E22" s="28"/>
      <c r="F22" s="30"/>
      <c r="G22" s="30"/>
      <c r="H22" s="30"/>
      <c r="I22" s="38"/>
    </row>
    <row r="23" spans="2:12" ht="15" customHeight="1">
      <c r="B23" s="39">
        <v>5</v>
      </c>
      <c r="C23" s="70"/>
      <c r="D23" s="70"/>
      <c r="E23" s="28"/>
      <c r="F23" s="30"/>
      <c r="G23" s="30"/>
      <c r="H23" s="30"/>
      <c r="I23" s="38"/>
    </row>
    <row r="24" spans="2:12" ht="15" customHeight="1">
      <c r="B24" s="39">
        <v>6</v>
      </c>
      <c r="C24" s="70"/>
      <c r="D24" s="70"/>
      <c r="E24" s="28"/>
      <c r="F24" s="30"/>
      <c r="G24" s="30"/>
      <c r="H24" s="30"/>
      <c r="I24" s="38"/>
    </row>
    <row r="25" spans="2:12" ht="15" customHeight="1">
      <c r="B25" s="39">
        <v>7</v>
      </c>
      <c r="C25" s="70"/>
      <c r="D25" s="70"/>
      <c r="E25" s="28"/>
      <c r="F25" s="30"/>
      <c r="G25" s="30"/>
      <c r="H25" s="30"/>
      <c r="I25" s="38"/>
    </row>
    <row r="26" spans="2:12" ht="15" customHeight="1">
      <c r="B26" s="39">
        <v>8</v>
      </c>
      <c r="C26" s="70"/>
      <c r="D26" s="70"/>
      <c r="E26" s="28"/>
      <c r="F26" s="30"/>
      <c r="G26" s="30"/>
      <c r="H26" s="30"/>
      <c r="I26" s="38"/>
    </row>
    <row r="27" spans="2:12" ht="15" customHeight="1">
      <c r="B27" s="39">
        <v>9</v>
      </c>
      <c r="C27" s="70"/>
      <c r="D27" s="70"/>
      <c r="E27" s="28"/>
      <c r="F27" s="30"/>
      <c r="G27" s="30"/>
      <c r="H27" s="30"/>
      <c r="I27" s="38"/>
    </row>
    <row r="28" spans="2:12" ht="15" customHeight="1">
      <c r="B28" s="39">
        <v>10</v>
      </c>
      <c r="C28" s="70"/>
      <c r="D28" s="70"/>
      <c r="E28" s="28"/>
      <c r="F28" s="30"/>
      <c r="G28" s="30"/>
      <c r="H28" s="30"/>
      <c r="I28" s="38"/>
    </row>
    <row r="29" spans="2:12" ht="15" customHeight="1">
      <c r="B29" s="39" t="s">
        <v>67</v>
      </c>
      <c r="C29" s="11" t="e">
        <f>AVERAGE(C19:C28)</f>
        <v>#DIV/0!</v>
      </c>
      <c r="D29" s="46" t="e">
        <f>AVERAGE(D19:D28)</f>
        <v>#DIV/0!</v>
      </c>
      <c r="E29" s="28"/>
      <c r="F29" s="30"/>
      <c r="G29" s="30"/>
      <c r="H29" s="30"/>
      <c r="I29" s="38"/>
    </row>
    <row r="30" spans="2:12" ht="15" customHeight="1" thickBot="1">
      <c r="B30" s="31"/>
      <c r="C30" s="47"/>
      <c r="D30" s="47"/>
      <c r="E30" s="32"/>
      <c r="F30" s="33"/>
      <c r="G30" s="33"/>
      <c r="H30" s="33"/>
      <c r="I30" s="34"/>
    </row>
    <row r="31" spans="2:12" ht="19.5" thickTop="1">
      <c r="B31" s="48" t="s">
        <v>69</v>
      </c>
      <c r="C31" s="36"/>
      <c r="D31" s="49"/>
      <c r="E31" s="36"/>
      <c r="F31" s="25"/>
      <c r="G31" s="25"/>
      <c r="H31" s="25"/>
      <c r="I31" s="37"/>
    </row>
    <row r="32" spans="2:12" ht="47.25">
      <c r="B32" s="50"/>
      <c r="C32" s="28"/>
      <c r="D32" s="40"/>
      <c r="E32" s="13" t="s">
        <v>44</v>
      </c>
      <c r="F32" s="13" t="s">
        <v>27</v>
      </c>
      <c r="G32" s="13" t="s">
        <v>45</v>
      </c>
      <c r="H32" s="13" t="s">
        <v>28</v>
      </c>
      <c r="I32" s="17" t="s">
        <v>46</v>
      </c>
    </row>
    <row r="33" spans="2:9" ht="29.25" customHeight="1">
      <c r="B33" s="39">
        <v>1</v>
      </c>
      <c r="C33" s="98" t="s">
        <v>91</v>
      </c>
      <c r="D33" s="98"/>
      <c r="E33" s="68">
        <v>100</v>
      </c>
      <c r="F33" s="19"/>
      <c r="G33" s="51">
        <f t="shared" ref="G33:G42" si="0">IF(F33=$L$19,0,E33)</f>
        <v>100</v>
      </c>
      <c r="H33" s="51"/>
      <c r="I33" s="52">
        <f t="shared" ref="I33:I42" si="1">IF(H33=$L$19,0,E33)</f>
        <v>100</v>
      </c>
    </row>
    <row r="34" spans="2:9" ht="31.5" customHeight="1">
      <c r="B34" s="39">
        <v>2</v>
      </c>
      <c r="C34" s="98" t="s">
        <v>92</v>
      </c>
      <c r="D34" s="98"/>
      <c r="E34" s="68">
        <v>70</v>
      </c>
      <c r="F34" s="19"/>
      <c r="G34" s="51">
        <f t="shared" si="0"/>
        <v>70</v>
      </c>
      <c r="H34" s="19"/>
      <c r="I34" s="52">
        <f t="shared" si="1"/>
        <v>70</v>
      </c>
    </row>
    <row r="35" spans="2:9" ht="15" customHeight="1">
      <c r="B35" s="39">
        <v>3</v>
      </c>
      <c r="C35" s="98" t="s">
        <v>136</v>
      </c>
      <c r="D35" s="98"/>
      <c r="E35" s="68">
        <v>100</v>
      </c>
      <c r="F35" s="19"/>
      <c r="G35" s="51">
        <f t="shared" si="0"/>
        <v>100</v>
      </c>
      <c r="H35" s="19"/>
      <c r="I35" s="52">
        <f t="shared" si="1"/>
        <v>100</v>
      </c>
    </row>
    <row r="36" spans="2:9" ht="15" customHeight="1">
      <c r="B36" s="39">
        <v>4</v>
      </c>
      <c r="C36" s="98" t="s">
        <v>93</v>
      </c>
      <c r="D36" s="98"/>
      <c r="E36" s="68">
        <v>100</v>
      </c>
      <c r="F36" s="19"/>
      <c r="G36" s="51">
        <f t="shared" si="0"/>
        <v>100</v>
      </c>
      <c r="H36" s="19"/>
      <c r="I36" s="52">
        <f t="shared" si="1"/>
        <v>100</v>
      </c>
    </row>
    <row r="37" spans="2:9" ht="30.75" customHeight="1">
      <c r="B37" s="39">
        <v>5</v>
      </c>
      <c r="C37" s="98" t="s">
        <v>94</v>
      </c>
      <c r="D37" s="98"/>
      <c r="E37" s="68">
        <v>100</v>
      </c>
      <c r="F37" s="19"/>
      <c r="G37" s="51">
        <f t="shared" si="0"/>
        <v>100</v>
      </c>
      <c r="H37" s="19"/>
      <c r="I37" s="52">
        <f t="shared" si="1"/>
        <v>100</v>
      </c>
    </row>
    <row r="38" spans="2:9" ht="30.75" customHeight="1">
      <c r="B38" s="39">
        <v>6</v>
      </c>
      <c r="C38" s="98" t="s">
        <v>95</v>
      </c>
      <c r="D38" s="102"/>
      <c r="E38" s="68">
        <v>180</v>
      </c>
      <c r="F38" s="19"/>
      <c r="G38" s="51">
        <f t="shared" ref="G38:G39" si="2">IF(F38=$L$19,0,E38)</f>
        <v>180</v>
      </c>
      <c r="H38" s="19"/>
      <c r="I38" s="52">
        <f t="shared" ref="I38:I39" si="3">IF(H38=$L$19,0,E38)</f>
        <v>180</v>
      </c>
    </row>
    <row r="39" spans="2:9">
      <c r="B39" s="39">
        <v>7</v>
      </c>
      <c r="C39" s="98" t="s">
        <v>78</v>
      </c>
      <c r="D39" s="102"/>
      <c r="E39" s="68">
        <v>100</v>
      </c>
      <c r="F39" s="19"/>
      <c r="G39" s="51">
        <f t="shared" si="2"/>
        <v>100</v>
      </c>
      <c r="H39" s="19"/>
      <c r="I39" s="52">
        <f t="shared" si="3"/>
        <v>100</v>
      </c>
    </row>
    <row r="40" spans="2:9" ht="30.75" customHeight="1">
      <c r="B40" s="39">
        <v>8</v>
      </c>
      <c r="C40" s="98" t="s">
        <v>96</v>
      </c>
      <c r="D40" s="102"/>
      <c r="E40" s="68">
        <v>80</v>
      </c>
      <c r="F40" s="19"/>
      <c r="G40" s="51">
        <f t="shared" ref="G40" si="4">IF(F40=$L$19,0,E40)</f>
        <v>80</v>
      </c>
      <c r="H40" s="19"/>
      <c r="I40" s="52">
        <f t="shared" ref="I40" si="5">IF(H40=$L$19,0,E40)</f>
        <v>80</v>
      </c>
    </row>
    <row r="41" spans="2:9" ht="28.5" customHeight="1">
      <c r="B41" s="39">
        <v>9</v>
      </c>
      <c r="C41" s="98" t="s">
        <v>97</v>
      </c>
      <c r="D41" s="102"/>
      <c r="E41" s="68">
        <v>70</v>
      </c>
      <c r="F41" s="19"/>
      <c r="G41" s="51">
        <f t="shared" si="0"/>
        <v>70</v>
      </c>
      <c r="H41" s="19"/>
      <c r="I41" s="52">
        <f t="shared" si="1"/>
        <v>70</v>
      </c>
    </row>
    <row r="42" spans="2:9" ht="30.75" customHeight="1">
      <c r="B42" s="39">
        <v>10</v>
      </c>
      <c r="C42" s="98" t="s">
        <v>98</v>
      </c>
      <c r="D42" s="98"/>
      <c r="E42" s="68">
        <v>100</v>
      </c>
      <c r="F42" s="19"/>
      <c r="G42" s="51">
        <f t="shared" si="0"/>
        <v>100</v>
      </c>
      <c r="H42" s="19"/>
      <c r="I42" s="52">
        <f t="shared" si="1"/>
        <v>100</v>
      </c>
    </row>
    <row r="43" spans="2:9">
      <c r="B43" s="39"/>
      <c r="C43" s="28"/>
      <c r="D43" s="40"/>
      <c r="E43" s="28"/>
      <c r="F43" s="30"/>
      <c r="G43" s="30"/>
      <c r="H43" s="30"/>
      <c r="I43" s="38"/>
    </row>
    <row r="44" spans="2:9">
      <c r="B44" s="39"/>
      <c r="C44" s="137" t="s">
        <v>50</v>
      </c>
      <c r="D44" s="137"/>
      <c r="E44" s="51">
        <f>SUM(E19:E43)</f>
        <v>1000</v>
      </c>
      <c r="F44" s="51"/>
      <c r="G44" s="51">
        <f>SUM(G19:G43)</f>
        <v>1000</v>
      </c>
      <c r="H44" s="51"/>
      <c r="I44" s="53">
        <f>SUM(I19:I43)</f>
        <v>1000</v>
      </c>
    </row>
    <row r="45" spans="2:9" ht="31.5">
      <c r="B45" s="39"/>
      <c r="C45" s="13" t="s">
        <v>72</v>
      </c>
      <c r="D45" s="69">
        <v>0.3</v>
      </c>
      <c r="E45" s="30"/>
      <c r="F45" s="30"/>
      <c r="G45" s="30"/>
      <c r="H45" s="30"/>
      <c r="I45" s="38"/>
    </row>
    <row r="46" spans="2:9">
      <c r="B46" s="39"/>
      <c r="C46" s="28"/>
      <c r="D46" s="63"/>
      <c r="E46" s="30"/>
      <c r="F46" s="30"/>
      <c r="G46" s="30"/>
      <c r="H46" s="30"/>
      <c r="I46" s="38"/>
    </row>
    <row r="47" spans="2:9">
      <c r="B47" s="39"/>
      <c r="C47" s="137" t="s">
        <v>71</v>
      </c>
      <c r="D47" s="137"/>
      <c r="E47" s="51">
        <v>1000</v>
      </c>
      <c r="F47" s="51"/>
      <c r="G47" s="51" t="e">
        <f>+C29</f>
        <v>#DIV/0!</v>
      </c>
      <c r="H47" s="51"/>
      <c r="I47" s="53" t="e">
        <f>+D29</f>
        <v>#DIV/0!</v>
      </c>
    </row>
    <row r="48" spans="2:9" ht="31.5">
      <c r="B48" s="39"/>
      <c r="C48" s="13" t="s">
        <v>73</v>
      </c>
      <c r="D48" s="69">
        <v>0.7</v>
      </c>
      <c r="E48" s="30"/>
      <c r="F48" s="30"/>
      <c r="G48" s="30"/>
      <c r="H48" s="30"/>
      <c r="I48" s="38"/>
    </row>
    <row r="49" spans="2:9" ht="16.5" thickBot="1">
      <c r="B49" s="39"/>
      <c r="C49" s="28"/>
      <c r="D49" s="63"/>
      <c r="E49" s="30"/>
      <c r="F49" s="30"/>
      <c r="G49" s="30"/>
      <c r="H49" s="30"/>
      <c r="I49" s="38"/>
    </row>
    <row r="50" spans="2:9" ht="16.5" thickBot="1">
      <c r="B50" s="39"/>
      <c r="C50" s="28"/>
      <c r="D50" s="61" t="s">
        <v>70</v>
      </c>
      <c r="E50" s="51">
        <f>+(E44*$D$45)+(E47*$D$48)</f>
        <v>1000</v>
      </c>
      <c r="F50" s="54"/>
      <c r="G50" s="51" t="e">
        <f>+(G44*$D$45)+(G47*$D$48)</f>
        <v>#DIV/0!</v>
      </c>
      <c r="H50" s="54"/>
      <c r="I50" s="55" t="e">
        <f>+(I44*$D$45)+(I47*$D$48)</f>
        <v>#DIV/0!</v>
      </c>
    </row>
    <row r="51" spans="2:9" ht="16.5" thickBot="1">
      <c r="B51" s="31"/>
      <c r="C51" s="32"/>
      <c r="D51" s="56"/>
      <c r="E51" s="32"/>
      <c r="F51" s="33"/>
      <c r="G51" s="32"/>
      <c r="H51" s="33"/>
      <c r="I51" s="57"/>
    </row>
    <row r="52" spans="2:9" ht="16.5" thickTop="1">
      <c r="B52" s="58" t="s">
        <v>68</v>
      </c>
      <c r="C52" s="123"/>
      <c r="D52" s="124"/>
      <c r="E52" s="124"/>
      <c r="F52" s="124"/>
      <c r="G52" s="124"/>
      <c r="H52" s="124"/>
      <c r="I52" s="125"/>
    </row>
    <row r="53" spans="2:9">
      <c r="B53" s="58"/>
      <c r="C53" s="126"/>
      <c r="D53" s="127"/>
      <c r="E53" s="127"/>
      <c r="F53" s="127"/>
      <c r="G53" s="127"/>
      <c r="H53" s="127"/>
      <c r="I53" s="128"/>
    </row>
    <row r="54" spans="2:9">
      <c r="B54" s="58"/>
      <c r="C54" s="126"/>
      <c r="D54" s="127"/>
      <c r="E54" s="127"/>
      <c r="F54" s="127"/>
      <c r="G54" s="127"/>
      <c r="H54" s="127"/>
      <c r="I54" s="128"/>
    </row>
    <row r="55" spans="2:9">
      <c r="B55" s="58"/>
      <c r="C55" s="129"/>
      <c r="D55" s="130"/>
      <c r="E55" s="130"/>
      <c r="F55" s="130"/>
      <c r="G55" s="130"/>
      <c r="H55" s="130"/>
      <c r="I55" s="128"/>
    </row>
    <row r="56" spans="2:9">
      <c r="B56" s="58"/>
      <c r="C56" s="129"/>
      <c r="D56" s="130"/>
      <c r="E56" s="130"/>
      <c r="F56" s="130"/>
      <c r="G56" s="130"/>
      <c r="H56" s="130"/>
      <c r="I56" s="128"/>
    </row>
    <row r="57" spans="2:9">
      <c r="B57" s="58"/>
      <c r="C57" s="129"/>
      <c r="D57" s="130"/>
      <c r="E57" s="130"/>
      <c r="F57" s="130"/>
      <c r="G57" s="130"/>
      <c r="H57" s="130"/>
      <c r="I57" s="128"/>
    </row>
    <row r="58" spans="2:9">
      <c r="B58" s="58"/>
      <c r="C58" s="131"/>
      <c r="D58" s="132"/>
      <c r="E58" s="132"/>
      <c r="F58" s="132"/>
      <c r="G58" s="132"/>
      <c r="H58" s="132"/>
      <c r="I58" s="133"/>
    </row>
    <row r="59" spans="2:9">
      <c r="B59" s="58"/>
      <c r="C59" s="62"/>
      <c r="D59" s="62"/>
      <c r="E59" s="62"/>
      <c r="F59" s="62"/>
      <c r="G59" s="62"/>
      <c r="H59" s="62"/>
      <c r="I59" s="62"/>
    </row>
    <row r="60" spans="2:9" ht="26.25">
      <c r="B60" s="59" t="s">
        <v>61</v>
      </c>
    </row>
    <row r="61" spans="2:9" ht="16.5" thickBot="1">
      <c r="B61" s="20" t="s">
        <v>57</v>
      </c>
    </row>
    <row r="62" spans="2:9" ht="17.25" thickTop="1" thickBot="1">
      <c r="B62" s="23" t="s">
        <v>49</v>
      </c>
      <c r="C62" s="134"/>
      <c r="D62" s="134"/>
      <c r="E62" s="36"/>
      <c r="F62" s="25"/>
      <c r="G62" s="25"/>
      <c r="H62" s="25"/>
      <c r="I62" s="37"/>
    </row>
    <row r="63" spans="2:9">
      <c r="B63" s="39"/>
      <c r="C63" s="28"/>
      <c r="D63" s="40"/>
      <c r="E63" s="28"/>
      <c r="F63" s="30"/>
      <c r="G63" s="30"/>
      <c r="H63" s="30"/>
      <c r="I63" s="38"/>
    </row>
    <row r="64" spans="2:9" ht="47.25">
      <c r="B64" s="50" t="s">
        <v>77</v>
      </c>
      <c r="C64" s="13" t="s">
        <v>75</v>
      </c>
      <c r="D64" s="13" t="s">
        <v>76</v>
      </c>
      <c r="E64" s="13"/>
      <c r="F64" s="13"/>
      <c r="G64" s="13"/>
      <c r="H64" s="13"/>
      <c r="I64" s="17"/>
    </row>
    <row r="65" spans="2:9">
      <c r="B65" s="39">
        <v>1</v>
      </c>
      <c r="C65" s="1"/>
      <c r="D65" s="1"/>
      <c r="E65" s="28"/>
      <c r="F65" s="30"/>
      <c r="G65" s="30"/>
      <c r="H65" s="30"/>
      <c r="I65" s="38"/>
    </row>
    <row r="66" spans="2:9" ht="15" customHeight="1">
      <c r="B66" s="39">
        <v>2</v>
      </c>
      <c r="C66" s="1"/>
      <c r="D66" s="1"/>
      <c r="E66" s="28"/>
      <c r="F66" s="30"/>
      <c r="G66" s="30"/>
      <c r="H66" s="30"/>
      <c r="I66" s="38"/>
    </row>
    <row r="67" spans="2:9" ht="15" customHeight="1">
      <c r="B67" s="39">
        <v>3</v>
      </c>
      <c r="C67" s="1"/>
      <c r="D67" s="1"/>
      <c r="E67" s="28"/>
      <c r="F67" s="30"/>
      <c r="G67" s="30"/>
      <c r="H67" s="30"/>
      <c r="I67" s="38"/>
    </row>
    <row r="68" spans="2:9" ht="15" customHeight="1">
      <c r="B68" s="39">
        <v>4</v>
      </c>
      <c r="C68" s="1"/>
      <c r="D68" s="1"/>
      <c r="E68" s="28"/>
      <c r="F68" s="30"/>
      <c r="G68" s="30"/>
      <c r="H68" s="30"/>
      <c r="I68" s="38"/>
    </row>
    <row r="69" spans="2:9" ht="15" customHeight="1">
      <c r="B69" s="39">
        <v>5</v>
      </c>
      <c r="C69" s="1"/>
      <c r="D69" s="1"/>
      <c r="E69" s="28"/>
      <c r="F69" s="30"/>
      <c r="G69" s="30"/>
      <c r="H69" s="30"/>
      <c r="I69" s="38"/>
    </row>
    <row r="70" spans="2:9" ht="15" customHeight="1">
      <c r="B70" s="39">
        <v>6</v>
      </c>
      <c r="C70" s="1"/>
      <c r="D70" s="1"/>
      <c r="E70" s="28"/>
      <c r="F70" s="30"/>
      <c r="G70" s="30"/>
      <c r="H70" s="30"/>
      <c r="I70" s="38"/>
    </row>
    <row r="71" spans="2:9" ht="15" customHeight="1">
      <c r="B71" s="39">
        <v>7</v>
      </c>
      <c r="C71" s="1"/>
      <c r="D71" s="1"/>
      <c r="E71" s="28"/>
      <c r="F71" s="30"/>
      <c r="G71" s="30"/>
      <c r="H71" s="30"/>
      <c r="I71" s="38"/>
    </row>
    <row r="72" spans="2:9" ht="15" customHeight="1">
      <c r="B72" s="39">
        <v>8</v>
      </c>
      <c r="C72" s="1"/>
      <c r="D72" s="1"/>
      <c r="E72" s="28"/>
      <c r="F72" s="30"/>
      <c r="G72" s="30"/>
      <c r="H72" s="30"/>
      <c r="I72" s="38"/>
    </row>
    <row r="73" spans="2:9" ht="15" customHeight="1">
      <c r="B73" s="39">
        <v>9</v>
      </c>
      <c r="C73" s="1"/>
      <c r="D73" s="1"/>
      <c r="E73" s="28"/>
      <c r="F73" s="30"/>
      <c r="G73" s="30"/>
      <c r="H73" s="30"/>
      <c r="I73" s="38"/>
    </row>
    <row r="74" spans="2:9">
      <c r="B74" s="39">
        <v>10</v>
      </c>
      <c r="C74" s="1"/>
      <c r="D74" s="1"/>
      <c r="E74" s="28"/>
      <c r="F74" s="30"/>
      <c r="G74" s="30"/>
      <c r="H74" s="30"/>
      <c r="I74" s="38"/>
    </row>
    <row r="75" spans="2:9">
      <c r="B75" s="60" t="s">
        <v>67</v>
      </c>
      <c r="C75" s="11" t="e">
        <f>AVERAGE(C65:C74)</f>
        <v>#DIV/0!</v>
      </c>
      <c r="D75" s="46" t="e">
        <f>AVERAGE(D65:D74)</f>
        <v>#DIV/0!</v>
      </c>
      <c r="E75" s="28"/>
      <c r="F75" s="30"/>
      <c r="G75" s="30"/>
      <c r="H75" s="30"/>
      <c r="I75" s="38"/>
    </row>
    <row r="76" spans="2:9">
      <c r="B76" s="39"/>
      <c r="C76" s="28"/>
      <c r="D76" s="40"/>
      <c r="E76" s="28"/>
      <c r="F76" s="30"/>
      <c r="G76" s="30"/>
      <c r="H76" s="30"/>
      <c r="I76" s="38"/>
    </row>
    <row r="77" spans="2:9">
      <c r="B77" s="50" t="s">
        <v>68</v>
      </c>
      <c r="C77" s="135"/>
      <c r="D77" s="135"/>
      <c r="E77" s="135"/>
      <c r="F77" s="135"/>
      <c r="G77" s="135"/>
      <c r="H77" s="135"/>
      <c r="I77" s="136"/>
    </row>
    <row r="78" spans="2:9">
      <c r="B78" s="39"/>
      <c r="C78" s="135"/>
      <c r="D78" s="135"/>
      <c r="E78" s="135"/>
      <c r="F78" s="135"/>
      <c r="G78" s="135"/>
      <c r="H78" s="135"/>
      <c r="I78" s="136"/>
    </row>
    <row r="79" spans="2:9">
      <c r="B79" s="39"/>
      <c r="C79" s="135"/>
      <c r="D79" s="135"/>
      <c r="E79" s="135"/>
      <c r="F79" s="135"/>
      <c r="G79" s="135"/>
      <c r="H79" s="135"/>
      <c r="I79" s="136"/>
    </row>
    <row r="80" spans="2:9">
      <c r="B80" s="39"/>
      <c r="C80" s="135"/>
      <c r="D80" s="135"/>
      <c r="E80" s="135"/>
      <c r="F80" s="135"/>
      <c r="G80" s="135"/>
      <c r="H80" s="135"/>
      <c r="I80" s="136"/>
    </row>
    <row r="81" spans="2:9">
      <c r="B81" s="39"/>
      <c r="C81" s="135"/>
      <c r="D81" s="135"/>
      <c r="E81" s="135"/>
      <c r="F81" s="135"/>
      <c r="G81" s="135"/>
      <c r="H81" s="135"/>
      <c r="I81" s="136"/>
    </row>
    <row r="82" spans="2:9" ht="16.5" thickBot="1">
      <c r="B82" s="31"/>
      <c r="C82" s="32"/>
      <c r="D82" s="41"/>
      <c r="E82" s="32"/>
      <c r="F82" s="33"/>
      <c r="G82" s="33"/>
      <c r="H82" s="33"/>
      <c r="I82" s="34"/>
    </row>
    <row r="83" spans="2:9" ht="17.25" thickTop="1" thickBot="1">
      <c r="B83" s="23" t="s">
        <v>54</v>
      </c>
      <c r="C83" s="134"/>
      <c r="D83" s="134"/>
      <c r="E83" s="36"/>
      <c r="F83" s="25"/>
      <c r="G83" s="25"/>
      <c r="H83" s="25"/>
      <c r="I83" s="37"/>
    </row>
    <row r="84" spans="2:9">
      <c r="B84" s="39"/>
      <c r="C84" s="28"/>
      <c r="D84" s="40"/>
      <c r="E84" s="28"/>
      <c r="F84" s="30"/>
      <c r="G84" s="30"/>
      <c r="H84" s="30"/>
      <c r="I84" s="38"/>
    </row>
    <row r="85" spans="2:9" ht="47.25">
      <c r="B85" s="50" t="s">
        <v>77</v>
      </c>
      <c r="C85" s="13" t="s">
        <v>75</v>
      </c>
      <c r="D85" s="13" t="s">
        <v>76</v>
      </c>
      <c r="E85" s="13"/>
      <c r="F85" s="13"/>
      <c r="G85" s="13"/>
      <c r="H85" s="13"/>
      <c r="I85" s="17"/>
    </row>
    <row r="86" spans="2:9">
      <c r="B86" s="39">
        <v>1</v>
      </c>
      <c r="C86" s="1"/>
      <c r="D86" s="1"/>
      <c r="E86" s="28"/>
      <c r="F86" s="30"/>
      <c r="G86" s="30"/>
      <c r="H86" s="30"/>
      <c r="I86" s="38"/>
    </row>
    <row r="87" spans="2:9">
      <c r="B87" s="39">
        <v>2</v>
      </c>
      <c r="C87" s="1"/>
      <c r="D87" s="1"/>
      <c r="E87" s="28"/>
      <c r="F87" s="30"/>
      <c r="G87" s="30"/>
      <c r="H87" s="30"/>
      <c r="I87" s="38"/>
    </row>
    <row r="88" spans="2:9">
      <c r="B88" s="39">
        <v>3</v>
      </c>
      <c r="C88" s="1"/>
      <c r="D88" s="1"/>
      <c r="E88" s="28"/>
      <c r="F88" s="30"/>
      <c r="G88" s="30"/>
      <c r="H88" s="30"/>
      <c r="I88" s="38"/>
    </row>
    <row r="89" spans="2:9">
      <c r="B89" s="39">
        <v>4</v>
      </c>
      <c r="C89" s="1"/>
      <c r="D89" s="1"/>
      <c r="E89" s="28"/>
      <c r="F89" s="30"/>
      <c r="G89" s="30"/>
      <c r="H89" s="30"/>
      <c r="I89" s="38"/>
    </row>
    <row r="90" spans="2:9">
      <c r="B90" s="39">
        <v>5</v>
      </c>
      <c r="C90" s="1"/>
      <c r="D90" s="1"/>
      <c r="E90" s="28"/>
      <c r="F90" s="30"/>
      <c r="G90" s="30"/>
      <c r="H90" s="30"/>
      <c r="I90" s="38"/>
    </row>
    <row r="91" spans="2:9">
      <c r="B91" s="39">
        <v>6</v>
      </c>
      <c r="C91" s="1"/>
      <c r="D91" s="1"/>
      <c r="E91" s="28"/>
      <c r="F91" s="30"/>
      <c r="G91" s="30"/>
      <c r="H91" s="30"/>
      <c r="I91" s="38"/>
    </row>
    <row r="92" spans="2:9">
      <c r="B92" s="39">
        <v>7</v>
      </c>
      <c r="C92" s="1"/>
      <c r="D92" s="1"/>
      <c r="E92" s="28"/>
      <c r="F92" s="30"/>
      <c r="G92" s="30"/>
      <c r="H92" s="30"/>
      <c r="I92" s="38"/>
    </row>
    <row r="93" spans="2:9">
      <c r="B93" s="39">
        <v>8</v>
      </c>
      <c r="C93" s="1"/>
      <c r="D93" s="1"/>
      <c r="E93" s="28"/>
      <c r="F93" s="30"/>
      <c r="G93" s="30"/>
      <c r="H93" s="30"/>
      <c r="I93" s="38"/>
    </row>
    <row r="94" spans="2:9">
      <c r="B94" s="39">
        <v>9</v>
      </c>
      <c r="C94" s="1"/>
      <c r="D94" s="1"/>
      <c r="E94" s="28"/>
      <c r="F94" s="30"/>
      <c r="G94" s="30"/>
      <c r="H94" s="30"/>
      <c r="I94" s="38"/>
    </row>
    <row r="95" spans="2:9">
      <c r="B95" s="39">
        <v>10</v>
      </c>
      <c r="C95" s="1"/>
      <c r="D95" s="1"/>
      <c r="E95" s="28"/>
      <c r="F95" s="30"/>
      <c r="G95" s="30"/>
      <c r="H95" s="30"/>
      <c r="I95" s="38"/>
    </row>
    <row r="96" spans="2:9">
      <c r="B96" s="60" t="s">
        <v>67</v>
      </c>
      <c r="C96" s="11" t="e">
        <f>AVERAGE(C86:C95)</f>
        <v>#DIV/0!</v>
      </c>
      <c r="D96" s="46" t="e">
        <f>AVERAGE(D86:D95)</f>
        <v>#DIV/0!</v>
      </c>
      <c r="E96" s="28"/>
      <c r="F96" s="30"/>
      <c r="G96" s="30"/>
      <c r="H96" s="30"/>
      <c r="I96" s="38"/>
    </row>
    <row r="97" spans="2:9">
      <c r="B97" s="39"/>
      <c r="C97" s="28"/>
      <c r="D97" s="40"/>
      <c r="E97" s="28"/>
      <c r="F97" s="30"/>
      <c r="G97" s="30"/>
      <c r="H97" s="30"/>
      <c r="I97" s="38"/>
    </row>
    <row r="98" spans="2:9">
      <c r="B98" s="50" t="s">
        <v>68</v>
      </c>
      <c r="C98" s="135"/>
      <c r="D98" s="135"/>
      <c r="E98" s="135"/>
      <c r="F98" s="135"/>
      <c r="G98" s="135"/>
      <c r="H98" s="135"/>
      <c r="I98" s="136"/>
    </row>
    <row r="99" spans="2:9">
      <c r="B99" s="39"/>
      <c r="C99" s="135"/>
      <c r="D99" s="135"/>
      <c r="E99" s="135"/>
      <c r="F99" s="135"/>
      <c r="G99" s="135"/>
      <c r="H99" s="135"/>
      <c r="I99" s="136"/>
    </row>
    <row r="100" spans="2:9">
      <c r="B100" s="39"/>
      <c r="C100" s="135"/>
      <c r="D100" s="135"/>
      <c r="E100" s="135"/>
      <c r="F100" s="135"/>
      <c r="G100" s="135"/>
      <c r="H100" s="135"/>
      <c r="I100" s="136"/>
    </row>
    <row r="101" spans="2:9">
      <c r="B101" s="39"/>
      <c r="C101" s="135"/>
      <c r="D101" s="135"/>
      <c r="E101" s="135"/>
      <c r="F101" s="135"/>
      <c r="G101" s="135"/>
      <c r="H101" s="135"/>
      <c r="I101" s="136"/>
    </row>
    <row r="102" spans="2:9">
      <c r="B102" s="39"/>
      <c r="C102" s="135"/>
      <c r="D102" s="135"/>
      <c r="E102" s="135"/>
      <c r="F102" s="135"/>
      <c r="G102" s="135"/>
      <c r="H102" s="135"/>
      <c r="I102" s="136"/>
    </row>
    <row r="103" spans="2:9" ht="16.5" thickBot="1">
      <c r="B103" s="31"/>
      <c r="C103" s="32"/>
      <c r="D103" s="41"/>
      <c r="E103" s="32"/>
      <c r="F103" s="33"/>
      <c r="G103" s="33"/>
      <c r="H103" s="33"/>
      <c r="I103" s="34"/>
    </row>
    <row r="104" spans="2:9" ht="17.25" thickTop="1" thickBot="1">
      <c r="B104" s="23" t="s">
        <v>53</v>
      </c>
      <c r="C104" s="134"/>
      <c r="D104" s="134"/>
      <c r="E104" s="36"/>
      <c r="F104" s="25"/>
      <c r="G104" s="25"/>
      <c r="H104" s="25"/>
      <c r="I104" s="37"/>
    </row>
    <row r="105" spans="2:9">
      <c r="B105" s="39"/>
      <c r="C105" s="28"/>
      <c r="D105" s="40"/>
      <c r="E105" s="28"/>
      <c r="F105" s="30"/>
      <c r="G105" s="30"/>
      <c r="H105" s="30"/>
      <c r="I105" s="38"/>
    </row>
    <row r="106" spans="2:9" ht="47.25">
      <c r="B106" s="50" t="s">
        <v>77</v>
      </c>
      <c r="C106" s="13" t="s">
        <v>75</v>
      </c>
      <c r="D106" s="13" t="s">
        <v>76</v>
      </c>
      <c r="E106" s="13"/>
      <c r="F106" s="13"/>
      <c r="G106" s="13"/>
      <c r="H106" s="13"/>
      <c r="I106" s="17"/>
    </row>
    <row r="107" spans="2:9">
      <c r="B107" s="39">
        <v>1</v>
      </c>
      <c r="C107" s="1"/>
      <c r="D107" s="1"/>
      <c r="E107" s="28"/>
      <c r="F107" s="30"/>
      <c r="G107" s="30"/>
      <c r="H107" s="30"/>
      <c r="I107" s="38"/>
    </row>
    <row r="108" spans="2:9">
      <c r="B108" s="39">
        <v>2</v>
      </c>
      <c r="C108" s="1"/>
      <c r="D108" s="1"/>
      <c r="E108" s="28"/>
      <c r="F108" s="30"/>
      <c r="G108" s="30"/>
      <c r="H108" s="30"/>
      <c r="I108" s="38"/>
    </row>
    <row r="109" spans="2:9">
      <c r="B109" s="39">
        <v>3</v>
      </c>
      <c r="C109" s="1"/>
      <c r="D109" s="1"/>
      <c r="E109" s="28"/>
      <c r="F109" s="30"/>
      <c r="G109" s="30"/>
      <c r="H109" s="30"/>
      <c r="I109" s="38"/>
    </row>
    <row r="110" spans="2:9">
      <c r="B110" s="39">
        <v>4</v>
      </c>
      <c r="C110" s="1"/>
      <c r="D110" s="1"/>
      <c r="E110" s="28"/>
      <c r="F110" s="30"/>
      <c r="G110" s="30"/>
      <c r="H110" s="30"/>
      <c r="I110" s="38"/>
    </row>
    <row r="111" spans="2:9">
      <c r="B111" s="39">
        <v>5</v>
      </c>
      <c r="C111" s="1"/>
      <c r="D111" s="1"/>
      <c r="E111" s="28"/>
      <c r="F111" s="30"/>
      <c r="G111" s="30"/>
      <c r="H111" s="30"/>
      <c r="I111" s="38"/>
    </row>
    <row r="112" spans="2:9">
      <c r="B112" s="39">
        <v>6</v>
      </c>
      <c r="C112" s="1"/>
      <c r="D112" s="1"/>
      <c r="E112" s="28"/>
      <c r="F112" s="30"/>
      <c r="G112" s="30"/>
      <c r="H112" s="30"/>
      <c r="I112" s="38"/>
    </row>
    <row r="113" spans="2:9">
      <c r="B113" s="39">
        <v>7</v>
      </c>
      <c r="C113" s="1"/>
      <c r="D113" s="1"/>
      <c r="E113" s="28"/>
      <c r="F113" s="30"/>
      <c r="G113" s="30"/>
      <c r="H113" s="30"/>
      <c r="I113" s="38"/>
    </row>
    <row r="114" spans="2:9">
      <c r="B114" s="39">
        <v>8</v>
      </c>
      <c r="C114" s="1"/>
      <c r="D114" s="1"/>
      <c r="E114" s="28"/>
      <c r="F114" s="30"/>
      <c r="G114" s="30"/>
      <c r="H114" s="30"/>
      <c r="I114" s="38"/>
    </row>
    <row r="115" spans="2:9">
      <c r="B115" s="39">
        <v>9</v>
      </c>
      <c r="C115" s="1"/>
      <c r="D115" s="1"/>
      <c r="E115" s="28"/>
      <c r="F115" s="30"/>
      <c r="G115" s="30"/>
      <c r="H115" s="30"/>
      <c r="I115" s="38"/>
    </row>
    <row r="116" spans="2:9">
      <c r="B116" s="39">
        <v>10</v>
      </c>
      <c r="C116" s="1"/>
      <c r="D116" s="1"/>
      <c r="E116" s="28"/>
      <c r="F116" s="30"/>
      <c r="G116" s="30"/>
      <c r="H116" s="30"/>
      <c r="I116" s="38"/>
    </row>
    <row r="117" spans="2:9">
      <c r="B117" s="60" t="s">
        <v>67</v>
      </c>
      <c r="C117" s="11" t="e">
        <f>AVERAGE(C107:C116)</f>
        <v>#DIV/0!</v>
      </c>
      <c r="D117" s="46" t="e">
        <f>AVERAGE(D107:D116)</f>
        <v>#DIV/0!</v>
      </c>
      <c r="E117" s="28"/>
      <c r="F117" s="30"/>
      <c r="G117" s="30"/>
      <c r="H117" s="30"/>
      <c r="I117" s="38"/>
    </row>
    <row r="118" spans="2:9">
      <c r="B118" s="39"/>
      <c r="C118" s="28"/>
      <c r="D118" s="40"/>
      <c r="E118" s="28"/>
      <c r="F118" s="30"/>
      <c r="G118" s="30"/>
      <c r="H118" s="30"/>
      <c r="I118" s="38"/>
    </row>
    <row r="119" spans="2:9">
      <c r="B119" s="50" t="s">
        <v>68</v>
      </c>
      <c r="C119" s="135"/>
      <c r="D119" s="135"/>
      <c r="E119" s="135"/>
      <c r="F119" s="135"/>
      <c r="G119" s="135"/>
      <c r="H119" s="135"/>
      <c r="I119" s="136"/>
    </row>
    <row r="120" spans="2:9">
      <c r="B120" s="39"/>
      <c r="C120" s="135"/>
      <c r="D120" s="135"/>
      <c r="E120" s="135"/>
      <c r="F120" s="135"/>
      <c r="G120" s="135"/>
      <c r="H120" s="135"/>
      <c r="I120" s="136"/>
    </row>
    <row r="121" spans="2:9">
      <c r="B121" s="39"/>
      <c r="C121" s="135"/>
      <c r="D121" s="135"/>
      <c r="E121" s="135"/>
      <c r="F121" s="135"/>
      <c r="G121" s="135"/>
      <c r="H121" s="135"/>
      <c r="I121" s="136"/>
    </row>
    <row r="122" spans="2:9">
      <c r="B122" s="39"/>
      <c r="C122" s="135"/>
      <c r="D122" s="135"/>
      <c r="E122" s="135"/>
      <c r="F122" s="135"/>
      <c r="G122" s="135"/>
      <c r="H122" s="135"/>
      <c r="I122" s="136"/>
    </row>
    <row r="123" spans="2:9">
      <c r="B123" s="39"/>
      <c r="C123" s="135"/>
      <c r="D123" s="135"/>
      <c r="E123" s="135"/>
      <c r="F123" s="135"/>
      <c r="G123" s="135"/>
      <c r="H123" s="135"/>
      <c r="I123" s="136"/>
    </row>
    <row r="124" spans="2:9" ht="16.5" thickBot="1">
      <c r="B124" s="31"/>
      <c r="C124" s="88"/>
      <c r="D124" s="89"/>
      <c r="E124" s="88"/>
      <c r="F124" s="90"/>
      <c r="G124" s="90"/>
      <c r="H124" s="90"/>
      <c r="I124" s="91"/>
    </row>
    <row r="125" spans="2:9" ht="16.5" thickTop="1">
      <c r="B125" s="28"/>
      <c r="C125" s="92"/>
      <c r="D125" s="93"/>
      <c r="E125" s="92"/>
      <c r="F125" s="94"/>
      <c r="G125" s="94"/>
      <c r="H125" s="94"/>
      <c r="I125" s="94"/>
    </row>
    <row r="126" spans="2:9" ht="16.5" thickBot="1">
      <c r="B126" s="28"/>
      <c r="C126" s="28"/>
      <c r="D126" s="40"/>
      <c r="E126" s="28"/>
      <c r="F126" s="30"/>
      <c r="G126" s="30"/>
      <c r="H126" s="30"/>
      <c r="I126" s="30"/>
    </row>
    <row r="127" spans="2:9" ht="16.5" thickTop="1">
      <c r="B127" s="23"/>
      <c r="C127" s="36"/>
      <c r="D127" s="49"/>
      <c r="E127" s="36"/>
      <c r="F127" s="25"/>
      <c r="G127" s="25"/>
      <c r="H127" s="25"/>
      <c r="I127" s="37"/>
    </row>
    <row r="128" spans="2:9" ht="16.5" thickBot="1">
      <c r="B128" s="39" t="s">
        <v>55</v>
      </c>
      <c r="C128" s="138"/>
      <c r="D128" s="138"/>
      <c r="E128" s="28"/>
      <c r="F128" s="30"/>
      <c r="G128" s="30"/>
      <c r="H128" s="30"/>
      <c r="I128" s="38"/>
    </row>
    <row r="129" spans="2:9">
      <c r="B129" s="39"/>
      <c r="C129" s="28"/>
      <c r="D129" s="40"/>
      <c r="E129" s="28"/>
      <c r="F129" s="30"/>
      <c r="G129" s="30"/>
      <c r="H129" s="30"/>
      <c r="I129" s="38"/>
    </row>
    <row r="130" spans="2:9" ht="47.25">
      <c r="B130" s="50" t="s">
        <v>77</v>
      </c>
      <c r="C130" s="13" t="s">
        <v>75</v>
      </c>
      <c r="D130" s="13" t="s">
        <v>76</v>
      </c>
      <c r="E130" s="13"/>
      <c r="F130" s="13"/>
      <c r="G130" s="13"/>
      <c r="H130" s="13"/>
      <c r="I130" s="17"/>
    </row>
    <row r="131" spans="2:9">
      <c r="B131" s="39">
        <v>1</v>
      </c>
      <c r="C131" s="1"/>
      <c r="D131" s="1"/>
      <c r="E131" s="28"/>
      <c r="F131" s="30"/>
      <c r="G131" s="30"/>
      <c r="H131" s="30"/>
      <c r="I131" s="38"/>
    </row>
    <row r="132" spans="2:9">
      <c r="B132" s="39">
        <v>2</v>
      </c>
      <c r="C132" s="1"/>
      <c r="D132" s="1"/>
      <c r="E132" s="28"/>
      <c r="F132" s="30"/>
      <c r="G132" s="30"/>
      <c r="H132" s="30"/>
      <c r="I132" s="38"/>
    </row>
    <row r="133" spans="2:9">
      <c r="B133" s="39">
        <v>3</v>
      </c>
      <c r="C133" s="1"/>
      <c r="D133" s="1"/>
      <c r="E133" s="28"/>
      <c r="F133" s="30"/>
      <c r="G133" s="30"/>
      <c r="H133" s="30"/>
      <c r="I133" s="38"/>
    </row>
    <row r="134" spans="2:9">
      <c r="B134" s="39">
        <v>4</v>
      </c>
      <c r="C134" s="1"/>
      <c r="D134" s="1"/>
      <c r="E134" s="28"/>
      <c r="F134" s="30"/>
      <c r="G134" s="30"/>
      <c r="H134" s="30"/>
      <c r="I134" s="38"/>
    </row>
    <row r="135" spans="2:9">
      <c r="B135" s="39">
        <v>5</v>
      </c>
      <c r="C135" s="1"/>
      <c r="D135" s="1"/>
      <c r="E135" s="28"/>
      <c r="F135" s="30"/>
      <c r="G135" s="30"/>
      <c r="H135" s="30"/>
      <c r="I135" s="38"/>
    </row>
    <row r="136" spans="2:9">
      <c r="B136" s="39">
        <v>6</v>
      </c>
      <c r="C136" s="1"/>
      <c r="D136" s="1"/>
      <c r="E136" s="28"/>
      <c r="F136" s="30"/>
      <c r="G136" s="30"/>
      <c r="H136" s="30"/>
      <c r="I136" s="38"/>
    </row>
    <row r="137" spans="2:9">
      <c r="B137" s="39">
        <v>7</v>
      </c>
      <c r="C137" s="1"/>
      <c r="D137" s="1"/>
      <c r="E137" s="28"/>
      <c r="F137" s="30"/>
      <c r="G137" s="30"/>
      <c r="H137" s="30"/>
      <c r="I137" s="38"/>
    </row>
    <row r="138" spans="2:9">
      <c r="B138" s="39">
        <v>8</v>
      </c>
      <c r="C138" s="1"/>
      <c r="D138" s="1"/>
      <c r="E138" s="28"/>
      <c r="F138" s="30"/>
      <c r="G138" s="30"/>
      <c r="H138" s="30"/>
      <c r="I138" s="38"/>
    </row>
    <row r="139" spans="2:9">
      <c r="B139" s="39">
        <v>9</v>
      </c>
      <c r="C139" s="1"/>
      <c r="D139" s="1"/>
      <c r="E139" s="28"/>
      <c r="F139" s="30"/>
      <c r="G139" s="30"/>
      <c r="H139" s="30"/>
      <c r="I139" s="38"/>
    </row>
    <row r="140" spans="2:9">
      <c r="B140" s="39">
        <v>10</v>
      </c>
      <c r="C140" s="1"/>
      <c r="D140" s="1"/>
      <c r="E140" s="28"/>
      <c r="F140" s="30"/>
      <c r="G140" s="30"/>
      <c r="H140" s="30"/>
      <c r="I140" s="38"/>
    </row>
    <row r="141" spans="2:9">
      <c r="B141" s="60" t="s">
        <v>67</v>
      </c>
      <c r="C141" s="11" t="e">
        <f>AVERAGE(C131:C140)</f>
        <v>#DIV/0!</v>
      </c>
      <c r="D141" s="46" t="e">
        <f>AVERAGE(D131:D140)</f>
        <v>#DIV/0!</v>
      </c>
      <c r="E141" s="28"/>
      <c r="F141" s="30"/>
      <c r="G141" s="30"/>
      <c r="H141" s="30"/>
      <c r="I141" s="38"/>
    </row>
    <row r="142" spans="2:9">
      <c r="B142" s="39"/>
      <c r="C142" s="28"/>
      <c r="D142" s="40"/>
      <c r="E142" s="28"/>
      <c r="F142" s="30"/>
      <c r="G142" s="30"/>
      <c r="H142" s="30"/>
      <c r="I142" s="38"/>
    </row>
    <row r="143" spans="2:9">
      <c r="B143" s="50" t="s">
        <v>68</v>
      </c>
      <c r="C143" s="135"/>
      <c r="D143" s="135"/>
      <c r="E143" s="135"/>
      <c r="F143" s="135"/>
      <c r="G143" s="135"/>
      <c r="H143" s="135"/>
      <c r="I143" s="136"/>
    </row>
    <row r="144" spans="2:9">
      <c r="B144" s="39"/>
      <c r="C144" s="135"/>
      <c r="D144" s="135"/>
      <c r="E144" s="135"/>
      <c r="F144" s="135"/>
      <c r="G144" s="135"/>
      <c r="H144" s="135"/>
      <c r="I144" s="136"/>
    </row>
    <row r="145" spans="2:9">
      <c r="B145" s="39"/>
      <c r="C145" s="135"/>
      <c r="D145" s="135"/>
      <c r="E145" s="135"/>
      <c r="F145" s="135"/>
      <c r="G145" s="135"/>
      <c r="H145" s="135"/>
      <c r="I145" s="136"/>
    </row>
    <row r="146" spans="2:9">
      <c r="B146" s="39"/>
      <c r="C146" s="135"/>
      <c r="D146" s="135"/>
      <c r="E146" s="135"/>
      <c r="F146" s="135"/>
      <c r="G146" s="135"/>
      <c r="H146" s="135"/>
      <c r="I146" s="136"/>
    </row>
    <row r="147" spans="2:9">
      <c r="B147" s="39"/>
      <c r="C147" s="135"/>
      <c r="D147" s="135"/>
      <c r="E147" s="135"/>
      <c r="F147" s="135"/>
      <c r="G147" s="135"/>
      <c r="H147" s="135"/>
      <c r="I147" s="136"/>
    </row>
    <row r="148" spans="2:9" ht="16.5" thickBot="1">
      <c r="B148" s="31"/>
      <c r="C148" s="32"/>
      <c r="D148" s="41"/>
      <c r="E148" s="32"/>
      <c r="F148" s="33"/>
      <c r="G148" s="33"/>
      <c r="H148" s="33"/>
      <c r="I148" s="34"/>
    </row>
    <row r="149" spans="2:9" ht="17.25" thickTop="1" thickBot="1">
      <c r="B149" s="23" t="s">
        <v>56</v>
      </c>
      <c r="C149" s="134"/>
      <c r="D149" s="134"/>
      <c r="E149" s="36"/>
      <c r="F149" s="25"/>
      <c r="G149" s="25"/>
      <c r="H149" s="25"/>
      <c r="I149" s="37"/>
    </row>
    <row r="150" spans="2:9">
      <c r="B150" s="39"/>
      <c r="C150" s="28"/>
      <c r="D150" s="40"/>
      <c r="E150" s="28"/>
      <c r="F150" s="30"/>
      <c r="G150" s="30"/>
      <c r="H150" s="30"/>
      <c r="I150" s="38"/>
    </row>
    <row r="151" spans="2:9" ht="47.25">
      <c r="B151" s="50" t="s">
        <v>77</v>
      </c>
      <c r="C151" s="13" t="s">
        <v>75</v>
      </c>
      <c r="D151" s="13" t="s">
        <v>76</v>
      </c>
      <c r="E151" s="13"/>
      <c r="F151" s="13"/>
      <c r="G151" s="13"/>
      <c r="H151" s="13"/>
      <c r="I151" s="17"/>
    </row>
    <row r="152" spans="2:9">
      <c r="B152" s="39">
        <v>1</v>
      </c>
      <c r="C152" s="1"/>
      <c r="D152" s="1"/>
      <c r="E152" s="28"/>
      <c r="F152" s="30"/>
      <c r="G152" s="30"/>
      <c r="H152" s="30"/>
      <c r="I152" s="38"/>
    </row>
    <row r="153" spans="2:9">
      <c r="B153" s="39">
        <v>2</v>
      </c>
      <c r="C153" s="1"/>
      <c r="D153" s="1"/>
      <c r="E153" s="28"/>
      <c r="F153" s="30"/>
      <c r="G153" s="30"/>
      <c r="H153" s="30"/>
      <c r="I153" s="38"/>
    </row>
    <row r="154" spans="2:9">
      <c r="B154" s="39">
        <v>3</v>
      </c>
      <c r="C154" s="1"/>
      <c r="D154" s="1"/>
      <c r="E154" s="28"/>
      <c r="F154" s="30"/>
      <c r="G154" s="30"/>
      <c r="H154" s="30"/>
      <c r="I154" s="38"/>
    </row>
    <row r="155" spans="2:9">
      <c r="B155" s="39">
        <v>4</v>
      </c>
      <c r="C155" s="1"/>
      <c r="D155" s="1"/>
      <c r="E155" s="28"/>
      <c r="F155" s="30"/>
      <c r="G155" s="30"/>
      <c r="H155" s="30"/>
      <c r="I155" s="38"/>
    </row>
    <row r="156" spans="2:9">
      <c r="B156" s="39">
        <v>5</v>
      </c>
      <c r="C156" s="1"/>
      <c r="D156" s="1"/>
      <c r="E156" s="28"/>
      <c r="F156" s="30"/>
      <c r="G156" s="30"/>
      <c r="H156" s="30"/>
      <c r="I156" s="38"/>
    </row>
    <row r="157" spans="2:9">
      <c r="B157" s="39">
        <v>6</v>
      </c>
      <c r="C157" s="1"/>
      <c r="D157" s="1"/>
      <c r="E157" s="28"/>
      <c r="F157" s="30"/>
      <c r="G157" s="30"/>
      <c r="H157" s="30"/>
      <c r="I157" s="38"/>
    </row>
    <row r="158" spans="2:9">
      <c r="B158" s="39">
        <v>7</v>
      </c>
      <c r="C158" s="1"/>
      <c r="D158" s="1"/>
      <c r="E158" s="28"/>
      <c r="F158" s="30"/>
      <c r="G158" s="30"/>
      <c r="H158" s="30"/>
      <c r="I158" s="38"/>
    </row>
    <row r="159" spans="2:9">
      <c r="B159" s="39">
        <v>8</v>
      </c>
      <c r="C159" s="1"/>
      <c r="D159" s="1"/>
      <c r="E159" s="28"/>
      <c r="F159" s="30"/>
      <c r="G159" s="30"/>
      <c r="H159" s="30"/>
      <c r="I159" s="38"/>
    </row>
    <row r="160" spans="2:9">
      <c r="B160" s="39">
        <v>9</v>
      </c>
      <c r="C160" s="1"/>
      <c r="D160" s="1"/>
      <c r="E160" s="28"/>
      <c r="F160" s="30"/>
      <c r="G160" s="30"/>
      <c r="H160" s="30"/>
      <c r="I160" s="38"/>
    </row>
    <row r="161" spans="2:9">
      <c r="B161" s="39">
        <v>10</v>
      </c>
      <c r="C161" s="1"/>
      <c r="D161" s="1"/>
      <c r="E161" s="28"/>
      <c r="F161" s="30"/>
      <c r="G161" s="30"/>
      <c r="H161" s="30"/>
      <c r="I161" s="38"/>
    </row>
    <row r="162" spans="2:9">
      <c r="B162" s="60" t="s">
        <v>67</v>
      </c>
      <c r="C162" s="11" t="e">
        <f>AVERAGE(C152:C161)</f>
        <v>#DIV/0!</v>
      </c>
      <c r="D162" s="46" t="e">
        <f>AVERAGE(D152:D161)</f>
        <v>#DIV/0!</v>
      </c>
      <c r="E162" s="28"/>
      <c r="F162" s="30"/>
      <c r="G162" s="30"/>
      <c r="H162" s="30"/>
      <c r="I162" s="38"/>
    </row>
    <row r="163" spans="2:9">
      <c r="B163" s="39"/>
      <c r="C163" s="28"/>
      <c r="D163" s="40"/>
      <c r="E163" s="28"/>
      <c r="F163" s="30"/>
      <c r="G163" s="30"/>
      <c r="H163" s="30"/>
      <c r="I163" s="38"/>
    </row>
    <row r="164" spans="2:9">
      <c r="B164" s="50" t="s">
        <v>68</v>
      </c>
      <c r="C164" s="135"/>
      <c r="D164" s="135"/>
      <c r="E164" s="135"/>
      <c r="F164" s="135"/>
      <c r="G164" s="135"/>
      <c r="H164" s="135"/>
      <c r="I164" s="136"/>
    </row>
    <row r="165" spans="2:9">
      <c r="B165" s="39"/>
      <c r="C165" s="135"/>
      <c r="D165" s="135"/>
      <c r="E165" s="135"/>
      <c r="F165" s="135"/>
      <c r="G165" s="135"/>
      <c r="H165" s="135"/>
      <c r="I165" s="136"/>
    </row>
    <row r="166" spans="2:9">
      <c r="B166" s="39"/>
      <c r="C166" s="135"/>
      <c r="D166" s="135"/>
      <c r="E166" s="135"/>
      <c r="F166" s="135"/>
      <c r="G166" s="135"/>
      <c r="H166" s="135"/>
      <c r="I166" s="136"/>
    </row>
    <row r="167" spans="2:9">
      <c r="B167" s="39"/>
      <c r="C167" s="135"/>
      <c r="D167" s="135"/>
      <c r="E167" s="135"/>
      <c r="F167" s="135"/>
      <c r="G167" s="135"/>
      <c r="H167" s="135"/>
      <c r="I167" s="136"/>
    </row>
    <row r="168" spans="2:9">
      <c r="B168" s="39"/>
      <c r="C168" s="135"/>
      <c r="D168" s="135"/>
      <c r="E168" s="135"/>
      <c r="F168" s="135"/>
      <c r="G168" s="135"/>
      <c r="H168" s="135"/>
      <c r="I168" s="136"/>
    </row>
    <row r="169" spans="2:9" ht="16.5" thickBot="1">
      <c r="B169" s="31"/>
      <c r="C169" s="32"/>
      <c r="D169" s="41"/>
      <c r="E169" s="32"/>
      <c r="F169" s="33"/>
      <c r="G169" s="33"/>
      <c r="H169" s="33"/>
      <c r="I169" s="34"/>
    </row>
    <row r="170" spans="2:9" ht="17.25" thickTop="1" thickBot="1">
      <c r="B170" s="23" t="s">
        <v>149</v>
      </c>
      <c r="C170" s="134"/>
      <c r="D170" s="134"/>
      <c r="E170" s="36"/>
      <c r="F170" s="25"/>
      <c r="G170" s="25"/>
      <c r="H170" s="25"/>
      <c r="I170" s="37"/>
    </row>
    <row r="171" spans="2:9">
      <c r="B171" s="39"/>
      <c r="C171" s="28"/>
      <c r="D171" s="40"/>
      <c r="E171" s="28"/>
      <c r="F171" s="30"/>
      <c r="G171" s="30"/>
      <c r="H171" s="30"/>
      <c r="I171" s="38"/>
    </row>
    <row r="172" spans="2:9" ht="47.25">
      <c r="B172" s="50" t="s">
        <v>77</v>
      </c>
      <c r="C172" s="13" t="s">
        <v>75</v>
      </c>
      <c r="D172" s="13" t="s">
        <v>76</v>
      </c>
      <c r="E172" s="13"/>
      <c r="F172" s="13"/>
      <c r="G172" s="13"/>
      <c r="H172" s="13"/>
      <c r="I172" s="17"/>
    </row>
    <row r="173" spans="2:9">
      <c r="B173" s="39">
        <v>1</v>
      </c>
      <c r="C173" s="1"/>
      <c r="D173" s="1"/>
      <c r="E173" s="28"/>
      <c r="F173" s="30"/>
      <c r="G173" s="30"/>
      <c r="H173" s="30"/>
      <c r="I173" s="38"/>
    </row>
    <row r="174" spans="2:9">
      <c r="B174" s="39">
        <v>2</v>
      </c>
      <c r="C174" s="1"/>
      <c r="D174" s="1"/>
      <c r="E174" s="28"/>
      <c r="F174" s="30"/>
      <c r="G174" s="30"/>
      <c r="H174" s="30"/>
      <c r="I174" s="38"/>
    </row>
    <row r="175" spans="2:9">
      <c r="B175" s="39">
        <v>3</v>
      </c>
      <c r="C175" s="1"/>
      <c r="D175" s="1"/>
      <c r="E175" s="28"/>
      <c r="F175" s="30"/>
      <c r="G175" s="30"/>
      <c r="H175" s="30"/>
      <c r="I175" s="38"/>
    </row>
    <row r="176" spans="2:9">
      <c r="B176" s="39">
        <v>4</v>
      </c>
      <c r="C176" s="1"/>
      <c r="D176" s="1"/>
      <c r="E176" s="28"/>
      <c r="F176" s="30"/>
      <c r="G176" s="30"/>
      <c r="H176" s="30"/>
      <c r="I176" s="38"/>
    </row>
    <row r="177" spans="2:9">
      <c r="B177" s="39">
        <v>5</v>
      </c>
      <c r="C177" s="1"/>
      <c r="D177" s="1"/>
      <c r="E177" s="28"/>
      <c r="F177" s="30"/>
      <c r="G177" s="30"/>
      <c r="H177" s="30"/>
      <c r="I177" s="38"/>
    </row>
    <row r="178" spans="2:9">
      <c r="B178" s="39">
        <v>6</v>
      </c>
      <c r="C178" s="1"/>
      <c r="D178" s="1"/>
      <c r="E178" s="28"/>
      <c r="F178" s="30"/>
      <c r="G178" s="30"/>
      <c r="H178" s="30"/>
      <c r="I178" s="38"/>
    </row>
    <row r="179" spans="2:9">
      <c r="B179" s="39">
        <v>7</v>
      </c>
      <c r="C179" s="1"/>
      <c r="D179" s="1"/>
      <c r="E179" s="28"/>
      <c r="F179" s="30"/>
      <c r="G179" s="30"/>
      <c r="H179" s="30"/>
      <c r="I179" s="38"/>
    </row>
    <row r="180" spans="2:9">
      <c r="B180" s="39">
        <v>8</v>
      </c>
      <c r="C180" s="1"/>
      <c r="D180" s="1"/>
      <c r="E180" s="28"/>
      <c r="F180" s="30"/>
      <c r="G180" s="30"/>
      <c r="H180" s="30"/>
      <c r="I180" s="38"/>
    </row>
    <row r="181" spans="2:9">
      <c r="B181" s="39">
        <v>9</v>
      </c>
      <c r="C181" s="1"/>
      <c r="D181" s="1"/>
      <c r="E181" s="28"/>
      <c r="F181" s="30"/>
      <c r="G181" s="30"/>
      <c r="H181" s="30"/>
      <c r="I181" s="38"/>
    </row>
    <row r="182" spans="2:9">
      <c r="B182" s="39">
        <v>10</v>
      </c>
      <c r="C182" s="1"/>
      <c r="D182" s="1"/>
      <c r="E182" s="28"/>
      <c r="F182" s="30"/>
      <c r="G182" s="30"/>
      <c r="H182" s="30"/>
      <c r="I182" s="38"/>
    </row>
    <row r="183" spans="2:9">
      <c r="B183" s="60" t="s">
        <v>67</v>
      </c>
      <c r="C183" s="11" t="e">
        <f>AVERAGE(C173:C182)</f>
        <v>#DIV/0!</v>
      </c>
      <c r="D183" s="46" t="e">
        <f>AVERAGE(D173:D182)</f>
        <v>#DIV/0!</v>
      </c>
      <c r="E183" s="28"/>
      <c r="F183" s="30"/>
      <c r="G183" s="30"/>
      <c r="H183" s="30"/>
      <c r="I183" s="38"/>
    </row>
    <row r="184" spans="2:9">
      <c r="B184" s="39"/>
      <c r="C184" s="28"/>
      <c r="D184" s="40"/>
      <c r="E184" s="28"/>
      <c r="F184" s="30"/>
      <c r="G184" s="30"/>
      <c r="H184" s="30"/>
      <c r="I184" s="38"/>
    </row>
    <row r="185" spans="2:9">
      <c r="B185" s="50" t="s">
        <v>68</v>
      </c>
      <c r="C185" s="135"/>
      <c r="D185" s="135"/>
      <c r="E185" s="135"/>
      <c r="F185" s="135"/>
      <c r="G185" s="135"/>
      <c r="H185" s="135"/>
      <c r="I185" s="136"/>
    </row>
    <row r="186" spans="2:9">
      <c r="B186" s="39"/>
      <c r="C186" s="135"/>
      <c r="D186" s="135"/>
      <c r="E186" s="135"/>
      <c r="F186" s="135"/>
      <c r="G186" s="135"/>
      <c r="H186" s="135"/>
      <c r="I186" s="136"/>
    </row>
    <row r="187" spans="2:9">
      <c r="B187" s="39"/>
      <c r="C187" s="135"/>
      <c r="D187" s="135"/>
      <c r="E187" s="135"/>
      <c r="F187" s="135"/>
      <c r="G187" s="135"/>
      <c r="H187" s="135"/>
      <c r="I187" s="136"/>
    </row>
    <row r="188" spans="2:9">
      <c r="B188" s="39"/>
      <c r="C188" s="135"/>
      <c r="D188" s="135"/>
      <c r="E188" s="135"/>
      <c r="F188" s="135"/>
      <c r="G188" s="135"/>
      <c r="H188" s="135"/>
      <c r="I188" s="136"/>
    </row>
    <row r="189" spans="2:9">
      <c r="B189" s="39"/>
      <c r="C189" s="135"/>
      <c r="D189" s="135"/>
      <c r="E189" s="135"/>
      <c r="F189" s="135"/>
      <c r="G189" s="135"/>
      <c r="H189" s="135"/>
      <c r="I189" s="136"/>
    </row>
    <row r="190" spans="2:9" ht="16.5" thickBot="1">
      <c r="B190" s="31"/>
      <c r="C190" s="88"/>
      <c r="D190" s="89"/>
      <c r="E190" s="88"/>
      <c r="F190" s="90"/>
      <c r="G190" s="90"/>
      <c r="H190" s="90"/>
      <c r="I190" s="91"/>
    </row>
    <row r="191" spans="2:9" ht="16.5" thickTop="1">
      <c r="C191" s="95"/>
      <c r="D191" s="96"/>
      <c r="E191" s="95"/>
      <c r="F191" s="97"/>
      <c r="G191" s="97"/>
      <c r="H191" s="97"/>
      <c r="I191" s="97"/>
    </row>
  </sheetData>
  <sheetProtection sheet="1" objects="1" scenarios="1"/>
  <mergeCells count="34">
    <mergeCell ref="C170:D170"/>
    <mergeCell ref="C185:I189"/>
    <mergeCell ref="C128:D128"/>
    <mergeCell ref="C143:I147"/>
    <mergeCell ref="C149:D149"/>
    <mergeCell ref="C164:I168"/>
    <mergeCell ref="C38:D38"/>
    <mergeCell ref="C39:D39"/>
    <mergeCell ref="C40:D40"/>
    <mergeCell ref="C44:D44"/>
    <mergeCell ref="C47:D47"/>
    <mergeCell ref="C42:D42"/>
    <mergeCell ref="C41:D41"/>
    <mergeCell ref="C52:I58"/>
    <mergeCell ref="C62:D62"/>
    <mergeCell ref="C83:D83"/>
    <mergeCell ref="C104:D104"/>
    <mergeCell ref="C119:I123"/>
    <mergeCell ref="C77:I81"/>
    <mergeCell ref="C98:I102"/>
    <mergeCell ref="C14:I14"/>
    <mergeCell ref="C15:I15"/>
    <mergeCell ref="E2:F2"/>
    <mergeCell ref="E7:F7"/>
    <mergeCell ref="E8:F8"/>
    <mergeCell ref="G3:H3"/>
    <mergeCell ref="C11:I11"/>
    <mergeCell ref="C12:I12"/>
    <mergeCell ref="C13:I13"/>
    <mergeCell ref="C33:D33"/>
    <mergeCell ref="C34:D34"/>
    <mergeCell ref="C35:D35"/>
    <mergeCell ref="C36:D36"/>
    <mergeCell ref="C37:D37"/>
  </mergeCells>
  <dataValidations disablePrompts="1" count="1">
    <dataValidation type="list" allowBlank="1" showInputMessage="1" showErrorMessage="1" sqref="F66:F73 H66:H73 F87:F94 H87:H94 F108:F115 H108:H115 F132:F139 H132:H139 F153:F160 H153:H160 F33:F42 H33:H42 F19:F31 H19:H31 F174:F181 H174:H181">
      <formula1>$L$18:$L$20</formula1>
    </dataValidation>
  </dataValidations>
  <pageMargins left="0.7" right="0.7" top="0.98947916666666669" bottom="0.75" header="0.3" footer="0.3"/>
  <pageSetup scale="59" fitToHeight="14" orientation="portrait" r:id="rId1"/>
  <headerFooter>
    <oddHeader>&amp;L540.19
09/20/2011
Rev. 02&amp;C&amp;20FINAL SUPPLIER PERFORMANCE EVALUATION SYSTEM (SPES)
SUPPLIER RATING FORM ENGINEERED HARDWARE, 
CONSTRUCTION AND SERVICE 
&amp;RDate of Preparation:  &amp;"-,Bold"&amp;D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540.19a</vt:lpstr>
      <vt:lpstr>540.19b</vt:lpstr>
      <vt:lpstr>'540.19a'!Print_Area</vt:lpstr>
      <vt:lpstr>'540.19b'!Print_Area</vt:lpstr>
    </vt:vector>
  </TitlesOfParts>
  <Company>INL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Performance Evaluation System (SPES) Supplier Rating Form Engineered Hardware, Construction And Service</dc:title>
  <dc:creator>INL</dc:creator>
  <cp:lastModifiedBy>CUSHDA</cp:lastModifiedBy>
  <cp:lastPrinted>2011-06-16T13:36:55Z</cp:lastPrinted>
  <dcterms:created xsi:type="dcterms:W3CDTF">2011-04-25T15:28:49Z</dcterms:created>
  <dcterms:modified xsi:type="dcterms:W3CDTF">2012-03-30T13:41:32Z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 No.">
    <vt:lpwstr>540.19</vt:lpwstr>
  </property>
</Properties>
</file>