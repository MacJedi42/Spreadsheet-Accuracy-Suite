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Merchant Model" state="visible" r:id="rId3"/>
  </sheets>
  <definedNames/>
  <calcPr/>
</workbook>
</file>

<file path=xl/sharedStrings.xml><?xml version="1.0" encoding="utf-8"?>
<sst xmlns="http://schemas.openxmlformats.org/spreadsheetml/2006/main" count="44" uniqueCount="40">
  <si>
    <t>Merchant Profit Per Voucher</t>
  </si>
  <si>
    <t>By Yipit.com</t>
  </si>
  <si>
    <t>Drivers</t>
  </si>
  <si>
    <t>Gross Profit / Voucher</t>
  </si>
  <si>
    <t>Deal Assumptions</t>
  </si>
  <si>
    <t>Existing Customers</t>
  </si>
  <si>
    <t>Deal Value</t>
  </si>
  <si>
    <t>Revenue from Groupon</t>
  </si>
  <si>
    <t>Deal Discount</t>
  </si>
  <si>
    <t>Revenue from Overage</t>
  </si>
  <si>
    <t>Deal Price</t>
  </si>
  <si>
    <t>Revenue from Existing Customers</t>
  </si>
  <si>
    <t>Overage %</t>
  </si>
  <si>
    <t>Less: COGS</t>
  </si>
  <si>
    <t>Commission %</t>
  </si>
  <si>
    <t>Less: Cannibalized Revenue</t>
  </si>
  <si>
    <t>Cost of Goods Sold %</t>
  </si>
  <si>
    <t>GP from Existing Customers</t>
  </si>
  <si>
    <t>Credit Card Fee %</t>
  </si>
  <si>
    <t>GP from Breakage</t>
  </si>
  <si>
    <t>Buyer Mix Assumptions</t>
  </si>
  <si>
    <t>Unredeemed (Breakage) %</t>
  </si>
  <si>
    <t>New Customers</t>
  </si>
  <si>
    <t>Current Customer %</t>
  </si>
  <si>
    <t>New Customer %</t>
  </si>
  <si>
    <t>Revenue from New Customers</t>
  </si>
  <si>
    <t>Repeat Visitor Assumptions</t>
  </si>
  <si>
    <t>Conversion to Repeat %</t>
  </si>
  <si>
    <t>GP from New Customers</t>
  </si>
  <si>
    <t>Repeat Visits</t>
  </si>
  <si>
    <t>Vouchers per Customer</t>
  </si>
  <si>
    <t>Follow On Visits</t>
  </si>
  <si>
    <t>Current Customers Already Going</t>
  </si>
  <si>
    <t>Revenue from Repeat Customers</t>
  </si>
  <si>
    <t>GP from Follow On Visits</t>
  </si>
  <si>
    <t>Merchant Profit / Voucher</t>
  </si>
  <si>
    <t>Notes</t>
  </si>
  <si>
    <t>1. Conversion to Repeat % is a function of non-existing customers who redeemed voucher, i.e., net of Breakage, Existing Customers, and quotient of vouchers per customer</t>
  </si>
  <si>
    <t>2. Other inputs based on a survey of Yipit's survey 100 small businesses, and industry research.</t>
  </si>
  <si>
    <t>3. A research report by ThinkEquity LLC estimates 27% of customers spend more than voucher amount. This model assumes additional spend to be 100% of purchase price of voucher.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</si>
</sst>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;&quot;$&quot;(#,##0.0)"/>
    <numFmt numFmtId="165" formatCode="0.0%"/>
    <numFmt numFmtId="166" formatCode="#,##0.0;(#,##0.0)"/>
    <numFmt numFmtId="167" formatCode="&quot;$&quot;#,##0.0;&quot;$&quot;(#,##0.0)"/>
    <numFmt numFmtId="168" formatCode="0.0;(0.0)"/>
    <numFmt numFmtId="169" formatCode="&quot;$&quot;#,##0.0;&quot;$&quot;(#,##0.0)"/>
    <numFmt numFmtId="170" formatCode="0;(0)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1F497D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1F497D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3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Border="1" fillId="0" xfId="0" numFmtId="164" borderId="1" applyFont="1" fontId="2" applyNumberFormat="1"/>
    <xf applyBorder="1" applyAlignment="1" fillId="0" xfId="0" numFmtId="0" borderId="2" fontId="0">
      <alignment vertical="bottom" horizontal="general" wrapText="1"/>
    </xf>
    <xf fillId="0" xfId="0" numFmtId="165" borderId="0" applyFont="1" fontId="3" applyNumberFormat="1"/>
    <xf fillId="0" xfId="0" numFmtId="0" borderId="0" applyFont="1" fontId="4"/>
    <xf applyAlignment="1" fillId="0" xfId="0" numFmtId="0" borderId="0" fontId="0">
      <alignment vertical="bottom" horizontal="center" wrapText="1"/>
    </xf>
    <xf fillId="0" xfId="0" numFmtId="9" borderId="0" applyFont="1" fontId="5" applyNumberFormat="1"/>
    <xf applyAlignment="1" fillId="0" xfId="0" numFmtId="0" borderId="0" applyFont="1" fontId="6">
      <alignment vertical="bottom" horizontal="general" wrapText="1"/>
    </xf>
    <xf fillId="0" xfId="0" numFmtId="0" borderId="0" applyFont="1" fontId="7"/>
    <xf applyBorder="1" fillId="0" xfId="0" numFmtId="0" borderId="3" applyFont="1" fontId="8"/>
    <xf fillId="0" xfId="0" numFmtId="166" borderId="0" applyFont="1" fontId="9" applyNumberFormat="1"/>
    <xf applyBorder="1" fillId="0" xfId="0" numFmtId="0" borderId="4" applyFont="1" fontId="10"/>
    <xf applyAlignment="1" fillId="0" xfId="0" numFmtId="0" borderId="0" applyFont="1" fontId="11">
      <alignment vertical="bottom" horizontal="center"/>
    </xf>
    <xf fillId="0" xfId="0" numFmtId="167" borderId="0" applyFont="1" fontId="12" applyNumberFormat="1"/>
    <xf fillId="0" xfId="0" numFmtId="168" borderId="0" applyFont="1" fontId="13" applyNumberFormat="1"/>
    <xf applyBorder="1" fillId="0" xfId="0" numFmtId="0" borderId="5" applyFont="1" fontId="14"/>
    <xf applyBorder="1" applyAlignment="1" fillId="0" xfId="0" numFmtId="0" borderId="6" fontId="0">
      <alignment vertical="bottom" horizontal="general" wrapText="1"/>
    </xf>
    <xf applyBorder="1" applyAlignment="1" fillId="0" xfId="0" numFmtId="0" borderId="7" fontId="0">
      <alignment vertical="bottom" horizontal="general" wrapText="1"/>
    </xf>
    <xf applyBorder="1" fillId="0" xfId="0" numFmtId="0" borderId="8" applyFont="1" fontId="15"/>
    <xf fillId="0" xfId="0" numFmtId="5" borderId="0" applyFont="1" fontId="16" applyNumberFormat="1"/>
    <xf applyBorder="1" fillId="0" xfId="0" numFmtId="0" borderId="9" applyFont="1" fontId="17"/>
    <xf applyAlignment="1" fillId="0" xfId="0" numFmtId="0" borderId="0" applyFont="1" fontId="18">
      <alignment vertical="bottom" horizontal="left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bottom" horizontal="general" wrapText="1"/>
    </xf>
    <xf applyBorder="1" applyAlignment="1" fillId="0" xfId="0" numFmtId="0" borderId="10" fontId="0">
      <alignment vertical="bottom" horizontal="general" wrapText="1"/>
    </xf>
    <xf fillId="0" xfId="0" numFmtId="169" borderId="0" applyFont="1" fontId="21" applyNumberFormat="1"/>
    <xf fillId="0" xfId="0" numFmtId="9" borderId="0" applyFont="1" fontId="22" applyNumberFormat="1"/>
    <xf fillId="0" xfId="0" numFmtId="0" borderId="0" applyFont="1" fontId="23"/>
    <xf fillId="0" xfId="0" numFmtId="170" borderId="0" applyFont="1" fontId="24" applyNumberFormat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28.14"/>
    <col min="2" customWidth="1" max="2" width="4.86"/>
    <col min="3" customWidth="1" max="3" width="1.86"/>
    <col min="4" customWidth="1" max="4" width="29.29"/>
    <col min="5" customWidth="1" max="5" width="5.57"/>
  </cols>
  <sheetData>
    <row customHeight="1" r="1" ht="19.5">
      <c t="s" s="23" r="A1">
        <v>0</v>
      </c>
      <c s="6" r="B1"/>
      <c s="6" r="C1"/>
      <c s="6" r="D1"/>
      <c s="6" r="E1"/>
    </row>
    <row r="2">
      <c t="s" s="6" r="A2">
        <v>1</v>
      </c>
      <c s="6" r="B2"/>
      <c s="6" r="C2"/>
      <c s="6" r="D2"/>
      <c s="6" r="E2"/>
    </row>
    <row r="4">
      <c t="s" s="5" r="A4">
        <v>2</v>
      </c>
      <c t="s" s="5" r="D4">
        <v>3</v>
      </c>
    </row>
    <row r="5">
      <c t="s" s="28" r="A5">
        <v>4</v>
      </c>
      <c t="s" s="28" r="D5">
        <v>5</v>
      </c>
    </row>
    <row r="6">
      <c t="s" s="9" r="A6">
        <v>6</v>
      </c>
      <c s="20" r="B6">
        <v>50</v>
      </c>
      <c t="s" s="9" r="D6">
        <v>7</v>
      </c>
      <c s="26" r="E6">
        <f>(+B16*((1-B10)-B12))*B8</f>
        <v>2.875</v>
      </c>
    </row>
    <row r="7">
      <c t="s" s="9" r="A7">
        <v>8</v>
      </c>
      <c s="7" r="B7">
        <f>+(B6-B8)/B6</f>
        <v>0.5</v>
      </c>
      <c t="s" s="9" r="D7">
        <v>9</v>
      </c>
      <c s="11" r="E7">
        <f>(+B6*B9)*B16</f>
        <v>1.35</v>
      </c>
    </row>
    <row r="8">
      <c t="s" s="9" r="A8">
        <v>10</v>
      </c>
      <c s="20" r="B8">
        <v>25</v>
      </c>
      <c t="s" s="9" r="D8">
        <v>11</v>
      </c>
      <c s="11" r="E8">
        <f>SUM(E6:E7)</f>
        <v>4.225</v>
      </c>
    </row>
    <row r="9">
      <c t="s" s="9" r="A9">
        <v>12</v>
      </c>
      <c s="27" r="B9">
        <v>0.135</v>
      </c>
      <c t="s" s="9" r="D9">
        <v>13</v>
      </c>
      <c s="11" r="E9">
        <f>((+B6*(1+B9))*B16)*B11</f>
        <v>4.54</v>
      </c>
    </row>
    <row r="10">
      <c t="s" s="9" r="A10">
        <v>14</v>
      </c>
      <c s="27" r="B10">
        <v>0.4</v>
      </c>
      <c t="s" s="9" r="D10">
        <v>15</v>
      </c>
      <c s="11" r="E10">
        <f>((+B16*B23)*B6)*(B7+((1-B7)*B10))</f>
        <v>1.75</v>
      </c>
    </row>
    <row r="11">
      <c t="s" s="9" r="A11">
        <v>16</v>
      </c>
      <c s="27" r="B11">
        <v>0.4</v>
      </c>
      <c t="s" s="5" r="D11">
        <v>17</v>
      </c>
      <c s="14" r="E11">
        <f>(E8-E9)-E10</f>
        <v>-2.065</v>
      </c>
    </row>
    <row r="12">
      <c t="s" s="9" r="A12">
        <v>18</v>
      </c>
      <c s="4" r="B12">
        <v>0.025</v>
      </c>
    </row>
    <row r="13">
      <c t="s" s="5" r="D13">
        <v>19</v>
      </c>
      <c s="14" r="E13">
        <f>((+B8*(1-B10))*B15)*(1-B12)</f>
        <v>2.925</v>
      </c>
    </row>
    <row r="14">
      <c t="s" s="28" r="A14">
        <v>20</v>
      </c>
    </row>
    <row r="15">
      <c t="s" s="9" r="A15">
        <v>21</v>
      </c>
      <c s="27" r="B15">
        <v>0.2</v>
      </c>
      <c t="s" s="28" r="D15">
        <v>22</v>
      </c>
    </row>
    <row r="16">
      <c t="s" s="9" r="A16">
        <v>23</v>
      </c>
      <c s="27" r="B16">
        <v>0.2</v>
      </c>
      <c t="s" s="9" r="D16">
        <v>7</v>
      </c>
      <c s="26" r="E16">
        <f>(+B17*((1-B10)-B12))*B8</f>
        <v>8.625</v>
      </c>
    </row>
    <row r="17">
      <c t="s" s="9" r="A17">
        <v>24</v>
      </c>
      <c s="7" r="B17">
        <f>(1-B15)-B16</f>
        <v>0.6</v>
      </c>
      <c t="s" s="9" r="D17">
        <v>9</v>
      </c>
      <c s="11" r="E17">
        <f>(+B6*B9)*B17</f>
        <v>4.05</v>
      </c>
    </row>
    <row r="18">
      <c t="s" s="9" r="D18">
        <v>25</v>
      </c>
      <c s="11" r="E18">
        <f>SUM(E16:E17)</f>
        <v>12.675</v>
      </c>
    </row>
    <row r="19">
      <c t="s" s="28" r="A19">
        <v>26</v>
      </c>
      <c t="s" s="9" r="D19">
        <v>13</v>
      </c>
      <c s="11" r="E19">
        <f>((+(1+B9)*B6)*B17)*B11</f>
        <v>13.62</v>
      </c>
    </row>
    <row r="20">
      <c t="s" s="9" r="A20">
        <v>27</v>
      </c>
      <c s="27" r="B20">
        <v>0.19</v>
      </c>
      <c t="s" s="5" r="D20">
        <v>28</v>
      </c>
      <c s="14" r="E20">
        <f>+E18-E19</f>
        <v>-0.945000000000002</v>
      </c>
    </row>
    <row r="21">
      <c t="s" s="9" r="A21">
        <v>29</v>
      </c>
      <c s="29" r="B21">
        <v>3</v>
      </c>
    </row>
    <row r="22">
      <c t="s" s="9" r="A22">
        <v>30</v>
      </c>
      <c s="15" r="B22">
        <v>1.5</v>
      </c>
      <c t="s" s="28" r="D22">
        <v>31</v>
      </c>
    </row>
    <row r="23">
      <c t="s" s="9" r="A23">
        <v>32</v>
      </c>
      <c s="27" r="B23">
        <v>0.25</v>
      </c>
      <c t="s" s="9" r="D23">
        <v>33</v>
      </c>
      <c s="26" r="E23">
        <f>(((((1/B22)*B17)*B20)*B21)*B6)*(1+B9)</f>
        <v>12.939</v>
      </c>
    </row>
    <row r="24">
      <c t="s" s="9" r="D24">
        <v>13</v>
      </c>
      <c s="11" r="E24">
        <f>+E23*B11</f>
        <v>5.1756</v>
      </c>
    </row>
    <row r="25">
      <c t="s" s="5" r="D25">
        <v>34</v>
      </c>
      <c s="14" r="E25">
        <f>+E23-E24</f>
        <v>7.7634</v>
      </c>
    </row>
    <row r="26">
      <c s="17" r="E26"/>
      <c s="17" r="F26"/>
      <c s="17" r="G26"/>
    </row>
    <row r="27">
      <c t="s" s="16" r="D27">
        <v>35</v>
      </c>
      <c s="2" r="E27">
        <f>((+E25+E13)+E20)+E11</f>
        <v>7.6784</v>
      </c>
      <c s="18" r="F27"/>
      <c s="25" r="G27"/>
    </row>
    <row r="28">
      <c s="3" r="E28"/>
      <c s="3" r="F28"/>
      <c s="3" r="G28"/>
    </row>
    <row r="30">
      <c t="s" s="8" r="A30">
        <v>36</v>
      </c>
    </row>
    <row customHeight="1" r="31" ht="30.75">
      <c t="s" s="24" r="A31">
        <v>37</v>
      </c>
      <c s="24" r="B31"/>
      <c s="24" r="C31"/>
      <c s="24" r="D31"/>
      <c s="24" r="E31"/>
    </row>
    <row r="32">
      <c t="s" s="24" r="A32">
        <v>38</v>
      </c>
      <c s="24" r="B32"/>
      <c s="24" r="C32"/>
      <c s="24" r="D32"/>
      <c s="24" r="E32"/>
    </row>
    <row r="33">
      <c t="s" s="24" r="A33">
        <v>39</v>
      </c>
      <c s="24" r="B33"/>
      <c s="24" r="C33"/>
      <c s="24" r="D33"/>
      <c s="24" r="E33"/>
    </row>
  </sheetData>
  <mergeCells count="5">
    <mergeCell ref="A1:E1"/>
    <mergeCell ref="A2:E2"/>
    <mergeCell ref="A31:E31"/>
    <mergeCell ref="A32:E32"/>
    <mergeCell ref="A33:E33"/>
  </mergeCells>
</worksheet>
</file>