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7280" windowHeight="11820"/>
  </bookViews>
  <sheets>
    <sheet name="OBF" sheetId="1" r:id="rId1"/>
  </sheets>
  <externalReferences>
    <externalReference r:id="rId2"/>
    <externalReference r:id="rId3"/>
  </externalReferences>
  <definedNames>
    <definedName name="_Fill" localSheetId="0" hidden="1">#REF!</definedName>
    <definedName name="_Fill" hidden="1">#REF!</definedName>
    <definedName name="_Order1" hidden="1">255</definedName>
    <definedName name="_Order2" hidden="1">255</definedName>
    <definedName name="MATCHINST" localSheetId="0">#REF!</definedName>
    <definedName name="MATCHINST">#REF!</definedName>
    <definedName name="_xlnm.Print_Area" localSheetId="0">OBF!$A$2:$H$2</definedName>
    <definedName name="solver_adj2" localSheetId="0" hidden="1">#REF!</definedName>
    <definedName name="solver_adj2" hidden="1">#REF!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0" hidden="1">[2]Infrastructure!#REF!</definedName>
    <definedName name="solver_opt" hidden="1">[1]Infrastructure!#REF!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Z_175A74B9_04D8_4168_BE0E_B9F6D216804E_.wvu.Cols" localSheetId="0" hidden="1">#REF!</definedName>
    <definedName name="Z_175A74B9_04D8_4168_BE0E_B9F6D216804E_.wvu.Cols" hidden="1">#REF!</definedName>
    <definedName name="Z_175A74B9_04D8_4168_BE0E_B9F6D216804E_.wvu.PrintTitles" localSheetId="0" hidden="1">[2]Infrastructure!$B:$K,[2]Infrastructure!$3:$3</definedName>
    <definedName name="Z_175A74B9_04D8_4168_BE0E_B9F6D216804E_.wvu.PrintTitles" hidden="1">[1]Infrastructure!$B:$K,[1]Infrastructure!$3:$3</definedName>
    <definedName name="Z_3B4A1CD3_71A7_41D8_BB20_2C00DD672F4C_.wvu.Cols" localSheetId="0" hidden="1">#REF!</definedName>
    <definedName name="Z_3B4A1CD3_71A7_41D8_BB20_2C00DD672F4C_.wvu.Cols" hidden="1">#REF!</definedName>
    <definedName name="Z_3B4A1CD3_71A7_41D8_BB20_2C00DD672F4C_.wvu.PrintTitles" localSheetId="0" hidden="1">[2]Infrastructure!$B:$K,[2]Infrastructure!$3:$3</definedName>
    <definedName name="Z_3B4A1CD3_71A7_41D8_BB20_2C00DD672F4C_.wvu.PrintTitles" hidden="1">[1]Infrastructure!$B:$K,[1]Infrastructure!$3:$3</definedName>
    <definedName name="Z_5F15871F_1F9D_454B_B820_06244E250857_.wvu.Cols" localSheetId="0" hidden="1">#REF!</definedName>
    <definedName name="Z_5F15871F_1F9D_454B_B820_06244E250857_.wvu.Cols" hidden="1">#REF!</definedName>
    <definedName name="Z_5F15871F_1F9D_454B_B820_06244E250857_.wvu.PrintTitles" localSheetId="0" hidden="1">[2]Infrastructure!$B:$K,[2]Infrastructure!$3:$3</definedName>
    <definedName name="Z_5F15871F_1F9D_454B_B820_06244E250857_.wvu.PrintTitles" hidden="1">[1]Infrastructure!$B:$K,[1]Infrastructure!$3:$3</definedName>
    <definedName name="Z_82D93351_CB79_47D8_8AE8_2B10EACDB89E_.wvu.Cols" localSheetId="0" hidden="1">#REF!</definedName>
    <definedName name="Z_82D93351_CB79_47D8_8AE8_2B10EACDB89E_.wvu.Cols" hidden="1">#REF!</definedName>
    <definedName name="Z_82D93351_CB79_47D8_8AE8_2B10EACDB89E_.wvu.PrintTitles" localSheetId="0" hidden="1">[2]Infrastructure!$B:$K,[2]Infrastructure!$3:$3</definedName>
    <definedName name="Z_82D93351_CB79_47D8_8AE8_2B10EACDB89E_.wvu.PrintTitles" hidden="1">[1]Infrastructure!$B:$K,[1]Infrastructure!$3:$3</definedName>
  </definedNames>
  <calcPr calcId="145621"/>
</workbook>
</file>

<file path=xl/calcChain.xml><?xml version="1.0" encoding="utf-8"?>
<calcChain xmlns="http://schemas.openxmlformats.org/spreadsheetml/2006/main">
  <c r="A50" i="1" l="1"/>
  <c r="A92" i="1" s="1"/>
  <c r="B50" i="1"/>
  <c r="A51" i="1"/>
  <c r="B51" i="1"/>
  <c r="D51" i="1"/>
  <c r="H51" i="1"/>
  <c r="L51" i="1"/>
  <c r="A52" i="1"/>
  <c r="B52" i="1"/>
  <c r="A53" i="1"/>
  <c r="B53" i="1"/>
  <c r="F53" i="1"/>
  <c r="J53" i="1"/>
  <c r="A54" i="1"/>
  <c r="A96" i="1" s="1"/>
  <c r="A138" i="1" s="1"/>
  <c r="A180" i="1" s="1"/>
  <c r="A222" i="1" s="1"/>
  <c r="B54" i="1"/>
  <c r="K54" i="1"/>
  <c r="A55" i="1"/>
  <c r="B55" i="1"/>
  <c r="D55" i="1"/>
  <c r="H55" i="1"/>
  <c r="L55" i="1"/>
  <c r="A56" i="1"/>
  <c r="B56" i="1"/>
  <c r="E56" i="1"/>
  <c r="M56" i="1"/>
  <c r="A57" i="1"/>
  <c r="B57" i="1"/>
  <c r="B99" i="1" s="1"/>
  <c r="B141" i="1" s="1"/>
  <c r="B183" i="1" s="1"/>
  <c r="B225" i="1" s="1"/>
  <c r="F57" i="1"/>
  <c r="H57" i="1"/>
  <c r="J57" i="1"/>
  <c r="L57" i="1"/>
  <c r="A58" i="1"/>
  <c r="A100" i="1" s="1"/>
  <c r="B58" i="1"/>
  <c r="A59" i="1"/>
  <c r="B59" i="1"/>
  <c r="D59" i="1"/>
  <c r="F59" i="1"/>
  <c r="H59" i="1"/>
  <c r="J59" i="1"/>
  <c r="L59" i="1"/>
  <c r="A60" i="1"/>
  <c r="A102" i="1" s="1"/>
  <c r="A144" i="1" s="1"/>
  <c r="A186" i="1" s="1"/>
  <c r="A228" i="1" s="1"/>
  <c r="B60" i="1"/>
  <c r="G60" i="1"/>
  <c r="K60" i="1"/>
  <c r="A61" i="1"/>
  <c r="B61" i="1"/>
  <c r="D61" i="1"/>
  <c r="F61" i="1"/>
  <c r="H61" i="1"/>
  <c r="J61" i="1"/>
  <c r="L61" i="1"/>
  <c r="A62" i="1"/>
  <c r="A104" i="1" s="1"/>
  <c r="B62" i="1"/>
  <c r="A63" i="1"/>
  <c r="B63" i="1"/>
  <c r="D63" i="1"/>
  <c r="F63" i="1"/>
  <c r="H63" i="1"/>
  <c r="J63" i="1"/>
  <c r="L63" i="1"/>
  <c r="A64" i="1"/>
  <c r="A106" i="1" s="1"/>
  <c r="A148" i="1" s="1"/>
  <c r="B64" i="1"/>
  <c r="G64" i="1"/>
  <c r="K64" i="1"/>
  <c r="A65" i="1"/>
  <c r="B65" i="1"/>
  <c r="D65" i="1"/>
  <c r="F65" i="1"/>
  <c r="H65" i="1"/>
  <c r="J65" i="1"/>
  <c r="L65" i="1"/>
  <c r="A66" i="1"/>
  <c r="A108" i="1" s="1"/>
  <c r="A150" i="1" s="1"/>
  <c r="B66" i="1"/>
  <c r="A67" i="1"/>
  <c r="B67" i="1"/>
  <c r="D67" i="1"/>
  <c r="F67" i="1"/>
  <c r="H67" i="1"/>
  <c r="J67" i="1"/>
  <c r="L67" i="1"/>
  <c r="A68" i="1"/>
  <c r="A110" i="1" s="1"/>
  <c r="B68" i="1"/>
  <c r="G68" i="1"/>
  <c r="K68" i="1"/>
  <c r="A69" i="1"/>
  <c r="B69" i="1"/>
  <c r="D69" i="1"/>
  <c r="F69" i="1"/>
  <c r="H69" i="1"/>
  <c r="J69" i="1"/>
  <c r="L69" i="1"/>
  <c r="A70" i="1"/>
  <c r="A112" i="1" s="1"/>
  <c r="B70" i="1"/>
  <c r="A71" i="1"/>
  <c r="B71" i="1"/>
  <c r="D71" i="1"/>
  <c r="F71" i="1"/>
  <c r="H71" i="1"/>
  <c r="J71" i="1"/>
  <c r="L71" i="1"/>
  <c r="A72" i="1"/>
  <c r="A114" i="1" s="1"/>
  <c r="B72" i="1"/>
  <c r="G72" i="1"/>
  <c r="K72" i="1"/>
  <c r="A73" i="1"/>
  <c r="B73" i="1"/>
  <c r="D73" i="1"/>
  <c r="F73" i="1"/>
  <c r="H73" i="1"/>
  <c r="J73" i="1"/>
  <c r="L73" i="1"/>
  <c r="A74" i="1"/>
  <c r="A116" i="1" s="1"/>
  <c r="B74" i="1"/>
  <c r="A75" i="1"/>
  <c r="B75" i="1"/>
  <c r="D75" i="1"/>
  <c r="F75" i="1"/>
  <c r="H75" i="1"/>
  <c r="J75" i="1"/>
  <c r="L75" i="1"/>
  <c r="A76" i="1"/>
  <c r="A118" i="1" s="1"/>
  <c r="B76" i="1"/>
  <c r="A77" i="1"/>
  <c r="B77" i="1"/>
  <c r="D77" i="1"/>
  <c r="F77" i="1"/>
  <c r="H77" i="1"/>
  <c r="J77" i="1"/>
  <c r="L77" i="1"/>
  <c r="A78" i="1"/>
  <c r="A120" i="1" s="1"/>
  <c r="A162" i="1" s="1"/>
  <c r="B78" i="1"/>
  <c r="E78" i="1"/>
  <c r="I78" i="1"/>
  <c r="M78" i="1"/>
  <c r="A79" i="1"/>
  <c r="B79" i="1"/>
  <c r="B121" i="1" s="1"/>
  <c r="B163" i="1" s="1"/>
  <c r="B205" i="1" s="1"/>
  <c r="B247" i="1" s="1"/>
  <c r="D79" i="1"/>
  <c r="F79" i="1"/>
  <c r="H79" i="1"/>
  <c r="J79" i="1"/>
  <c r="L79" i="1"/>
  <c r="A80" i="1"/>
  <c r="A122" i="1" s="1"/>
  <c r="A164" i="1" s="1"/>
  <c r="B80" i="1"/>
  <c r="A81" i="1"/>
  <c r="B81" i="1"/>
  <c r="D81" i="1"/>
  <c r="F81" i="1"/>
  <c r="H81" i="1"/>
  <c r="J81" i="1"/>
  <c r="L81" i="1"/>
  <c r="A82" i="1"/>
  <c r="A124" i="1" s="1"/>
  <c r="A166" i="1" s="1"/>
  <c r="B82" i="1"/>
  <c r="E82" i="1"/>
  <c r="I82" i="1"/>
  <c r="M82" i="1"/>
  <c r="A83" i="1"/>
  <c r="B83" i="1"/>
  <c r="B125" i="1" s="1"/>
  <c r="B167" i="1" s="1"/>
  <c r="B209" i="1" s="1"/>
  <c r="B251" i="1" s="1"/>
  <c r="D83" i="1"/>
  <c r="F83" i="1"/>
  <c r="H83" i="1"/>
  <c r="J83" i="1"/>
  <c r="L83" i="1"/>
  <c r="A84" i="1"/>
  <c r="A126" i="1" s="1"/>
  <c r="A168" i="1" s="1"/>
  <c r="B84" i="1"/>
  <c r="A85" i="1"/>
  <c r="B85" i="1"/>
  <c r="D85" i="1"/>
  <c r="F85" i="1"/>
  <c r="H85" i="1"/>
  <c r="J85" i="1"/>
  <c r="L85" i="1"/>
  <c r="A86" i="1"/>
  <c r="A128" i="1" s="1"/>
  <c r="A170" i="1" s="1"/>
  <c r="B86" i="1"/>
  <c r="E86" i="1"/>
  <c r="I86" i="1"/>
  <c r="M86" i="1"/>
  <c r="A87" i="1"/>
  <c r="B87" i="1"/>
  <c r="B129" i="1" s="1"/>
  <c r="B171" i="1" s="1"/>
  <c r="B213" i="1" s="1"/>
  <c r="B255" i="1" s="1"/>
  <c r="D87" i="1"/>
  <c r="F87" i="1"/>
  <c r="H87" i="1"/>
  <c r="J87" i="1"/>
  <c r="L87" i="1"/>
  <c r="B92" i="1"/>
  <c r="B134" i="1" s="1"/>
  <c r="B176" i="1" s="1"/>
  <c r="D92" i="1"/>
  <c r="E92" i="1"/>
  <c r="F92" i="1"/>
  <c r="G92" i="1"/>
  <c r="H92" i="1"/>
  <c r="H50" i="1" s="1"/>
  <c r="I92" i="1"/>
  <c r="J92" i="1"/>
  <c r="J50" i="1" s="1"/>
  <c r="K92" i="1"/>
  <c r="L92" i="1"/>
  <c r="L50" i="1" s="1"/>
  <c r="M92" i="1"/>
  <c r="A93" i="1"/>
  <c r="B93" i="1"/>
  <c r="B135" i="1" s="1"/>
  <c r="B177" i="1" s="1"/>
  <c r="D93" i="1"/>
  <c r="E93" i="1"/>
  <c r="F93" i="1"/>
  <c r="G93" i="1"/>
  <c r="G51" i="1" s="1"/>
  <c r="H93" i="1"/>
  <c r="I93" i="1"/>
  <c r="I51" i="1" s="1"/>
  <c r="J93" i="1"/>
  <c r="J51" i="1" s="1"/>
  <c r="K93" i="1"/>
  <c r="K51" i="1" s="1"/>
  <c r="L93" i="1"/>
  <c r="M93" i="1"/>
  <c r="M51" i="1" s="1"/>
  <c r="A94" i="1"/>
  <c r="B94" i="1"/>
  <c r="B136" i="1" s="1"/>
  <c r="B178" i="1" s="1"/>
  <c r="D94" i="1"/>
  <c r="E94" i="1"/>
  <c r="E52" i="1" s="1"/>
  <c r="F94" i="1"/>
  <c r="G94" i="1"/>
  <c r="G52" i="1" s="1"/>
  <c r="H94" i="1"/>
  <c r="H52" i="1" s="1"/>
  <c r="I94" i="1"/>
  <c r="I52" i="1" s="1"/>
  <c r="J94" i="1"/>
  <c r="J52" i="1" s="1"/>
  <c r="K94" i="1"/>
  <c r="K52" i="1" s="1"/>
  <c r="L94" i="1"/>
  <c r="L52" i="1" s="1"/>
  <c r="M94" i="1"/>
  <c r="M52" i="1" s="1"/>
  <c r="A95" i="1"/>
  <c r="B95" i="1"/>
  <c r="B137" i="1" s="1"/>
  <c r="B179" i="1" s="1"/>
  <c r="D95" i="1"/>
  <c r="E95" i="1"/>
  <c r="F95" i="1"/>
  <c r="G95" i="1"/>
  <c r="G53" i="1" s="1"/>
  <c r="H95" i="1"/>
  <c r="H53" i="1" s="1"/>
  <c r="I95" i="1"/>
  <c r="I53" i="1" s="1"/>
  <c r="J95" i="1"/>
  <c r="K95" i="1"/>
  <c r="K53" i="1" s="1"/>
  <c r="L95" i="1"/>
  <c r="L53" i="1" s="1"/>
  <c r="M95" i="1"/>
  <c r="M53" i="1" s="1"/>
  <c r="B96" i="1"/>
  <c r="B138" i="1" s="1"/>
  <c r="B180" i="1" s="1"/>
  <c r="D96" i="1"/>
  <c r="E96" i="1"/>
  <c r="F96" i="1"/>
  <c r="G96" i="1"/>
  <c r="G54" i="1" s="1"/>
  <c r="H96" i="1"/>
  <c r="H54" i="1" s="1"/>
  <c r="I96" i="1"/>
  <c r="I54" i="1" s="1"/>
  <c r="J96" i="1"/>
  <c r="J54" i="1" s="1"/>
  <c r="K96" i="1"/>
  <c r="L96" i="1"/>
  <c r="L54" i="1" s="1"/>
  <c r="M96" i="1"/>
  <c r="M54" i="1" s="1"/>
  <c r="A97" i="1"/>
  <c r="B97" i="1"/>
  <c r="B139" i="1" s="1"/>
  <c r="B181" i="1" s="1"/>
  <c r="D97" i="1"/>
  <c r="E97" i="1"/>
  <c r="F97" i="1"/>
  <c r="G97" i="1"/>
  <c r="G55" i="1" s="1"/>
  <c r="H97" i="1"/>
  <c r="I97" i="1"/>
  <c r="I55" i="1" s="1"/>
  <c r="J97" i="1"/>
  <c r="J55" i="1" s="1"/>
  <c r="K97" i="1"/>
  <c r="K55" i="1" s="1"/>
  <c r="L97" i="1"/>
  <c r="M97" i="1"/>
  <c r="M55" i="1" s="1"/>
  <c r="A98" i="1"/>
  <c r="B98" i="1"/>
  <c r="B140" i="1" s="1"/>
  <c r="B182" i="1" s="1"/>
  <c r="D98" i="1"/>
  <c r="E98" i="1"/>
  <c r="F98" i="1"/>
  <c r="G98" i="1"/>
  <c r="G56" i="1" s="1"/>
  <c r="H98" i="1"/>
  <c r="H56" i="1" s="1"/>
  <c r="I98" i="1"/>
  <c r="I56" i="1" s="1"/>
  <c r="J98" i="1"/>
  <c r="J56" i="1" s="1"/>
  <c r="K98" i="1"/>
  <c r="K56" i="1" s="1"/>
  <c r="L98" i="1"/>
  <c r="L56" i="1" s="1"/>
  <c r="M98" i="1"/>
  <c r="A99" i="1"/>
  <c r="D99" i="1"/>
  <c r="E99" i="1"/>
  <c r="F99" i="1"/>
  <c r="G99" i="1"/>
  <c r="G57" i="1" s="1"/>
  <c r="H99" i="1"/>
  <c r="I99" i="1"/>
  <c r="I57" i="1" s="1"/>
  <c r="J99" i="1"/>
  <c r="K99" i="1"/>
  <c r="K57" i="1" s="1"/>
  <c r="L99" i="1"/>
  <c r="M99" i="1"/>
  <c r="M57" i="1" s="1"/>
  <c r="B100" i="1"/>
  <c r="B142" i="1" s="1"/>
  <c r="B184" i="1" s="1"/>
  <c r="D100" i="1"/>
  <c r="D58" i="1" s="1"/>
  <c r="E100" i="1"/>
  <c r="E58" i="1" s="1"/>
  <c r="F100" i="1"/>
  <c r="G100" i="1"/>
  <c r="G58" i="1" s="1"/>
  <c r="H100" i="1"/>
  <c r="H58" i="1" s="1"/>
  <c r="I100" i="1"/>
  <c r="I58" i="1" s="1"/>
  <c r="J100" i="1"/>
  <c r="J58" i="1" s="1"/>
  <c r="K100" i="1"/>
  <c r="K58" i="1" s="1"/>
  <c r="L100" i="1"/>
  <c r="L58" i="1" s="1"/>
  <c r="M100" i="1"/>
  <c r="M58" i="1" s="1"/>
  <c r="A101" i="1"/>
  <c r="B101" i="1"/>
  <c r="B143" i="1" s="1"/>
  <c r="B185" i="1" s="1"/>
  <c r="D101" i="1"/>
  <c r="E101" i="1"/>
  <c r="F101" i="1"/>
  <c r="G101" i="1"/>
  <c r="G59" i="1" s="1"/>
  <c r="H101" i="1"/>
  <c r="I101" i="1"/>
  <c r="I59" i="1" s="1"/>
  <c r="J101" i="1"/>
  <c r="K101" i="1"/>
  <c r="K59" i="1" s="1"/>
  <c r="L101" i="1"/>
  <c r="M101" i="1"/>
  <c r="M59" i="1" s="1"/>
  <c r="B102" i="1"/>
  <c r="B144" i="1" s="1"/>
  <c r="B186" i="1" s="1"/>
  <c r="D102" i="1"/>
  <c r="D60" i="1" s="1"/>
  <c r="E102" i="1"/>
  <c r="E60" i="1" s="1"/>
  <c r="F102" i="1"/>
  <c r="G102" i="1"/>
  <c r="H102" i="1"/>
  <c r="H60" i="1" s="1"/>
  <c r="I102" i="1"/>
  <c r="I60" i="1" s="1"/>
  <c r="J102" i="1"/>
  <c r="J60" i="1" s="1"/>
  <c r="K102" i="1"/>
  <c r="L102" i="1"/>
  <c r="L60" i="1" s="1"/>
  <c r="M102" i="1"/>
  <c r="M60" i="1" s="1"/>
  <c r="A103" i="1"/>
  <c r="B103" i="1"/>
  <c r="B145" i="1" s="1"/>
  <c r="D103" i="1"/>
  <c r="E61" i="1" s="1"/>
  <c r="E103" i="1"/>
  <c r="F103" i="1"/>
  <c r="G103" i="1"/>
  <c r="G61" i="1" s="1"/>
  <c r="H103" i="1"/>
  <c r="I103" i="1"/>
  <c r="I61" i="1" s="1"/>
  <c r="J103" i="1"/>
  <c r="K103" i="1"/>
  <c r="K61" i="1" s="1"/>
  <c r="L103" i="1"/>
  <c r="M103" i="1"/>
  <c r="M61" i="1" s="1"/>
  <c r="B104" i="1"/>
  <c r="B146" i="1" s="1"/>
  <c r="B188" i="1" s="1"/>
  <c r="B230" i="1" s="1"/>
  <c r="D104" i="1"/>
  <c r="D62" i="1" s="1"/>
  <c r="E104" i="1"/>
  <c r="E62" i="1" s="1"/>
  <c r="F104" i="1"/>
  <c r="G104" i="1"/>
  <c r="G62" i="1" s="1"/>
  <c r="H104" i="1"/>
  <c r="H62" i="1" s="1"/>
  <c r="I104" i="1"/>
  <c r="I62" i="1" s="1"/>
  <c r="J104" i="1"/>
  <c r="J62" i="1" s="1"/>
  <c r="K104" i="1"/>
  <c r="K62" i="1" s="1"/>
  <c r="L104" i="1"/>
  <c r="L62" i="1" s="1"/>
  <c r="M104" i="1"/>
  <c r="M62" i="1" s="1"/>
  <c r="A105" i="1"/>
  <c r="B105" i="1"/>
  <c r="B147" i="1" s="1"/>
  <c r="B189" i="1" s="1"/>
  <c r="B231" i="1" s="1"/>
  <c r="D105" i="1"/>
  <c r="E105" i="1"/>
  <c r="F105" i="1"/>
  <c r="G105" i="1"/>
  <c r="G63" i="1" s="1"/>
  <c r="H105" i="1"/>
  <c r="I105" i="1"/>
  <c r="I63" i="1" s="1"/>
  <c r="J105" i="1"/>
  <c r="K105" i="1"/>
  <c r="K63" i="1" s="1"/>
  <c r="L105" i="1"/>
  <c r="M105" i="1"/>
  <c r="M63" i="1" s="1"/>
  <c r="B106" i="1"/>
  <c r="D106" i="1"/>
  <c r="D64" i="1" s="1"/>
  <c r="E106" i="1"/>
  <c r="E64" i="1" s="1"/>
  <c r="F106" i="1"/>
  <c r="G106" i="1"/>
  <c r="H106" i="1"/>
  <c r="H64" i="1" s="1"/>
  <c r="I106" i="1"/>
  <c r="I64" i="1" s="1"/>
  <c r="J106" i="1"/>
  <c r="J64" i="1" s="1"/>
  <c r="K106" i="1"/>
  <c r="L106" i="1"/>
  <c r="L64" i="1" s="1"/>
  <c r="M106" i="1"/>
  <c r="M64" i="1" s="1"/>
  <c r="A107" i="1"/>
  <c r="B107" i="1"/>
  <c r="D107" i="1"/>
  <c r="E65" i="1" s="1"/>
  <c r="E107" i="1"/>
  <c r="F107" i="1"/>
  <c r="G107" i="1"/>
  <c r="G65" i="1" s="1"/>
  <c r="H107" i="1"/>
  <c r="I107" i="1"/>
  <c r="I65" i="1" s="1"/>
  <c r="J107" i="1"/>
  <c r="K107" i="1"/>
  <c r="K65" i="1" s="1"/>
  <c r="L107" i="1"/>
  <c r="M107" i="1"/>
  <c r="M65" i="1" s="1"/>
  <c r="B108" i="1"/>
  <c r="B150" i="1" s="1"/>
  <c r="B192" i="1" s="1"/>
  <c r="B234" i="1" s="1"/>
  <c r="D108" i="1"/>
  <c r="D66" i="1" s="1"/>
  <c r="E108" i="1"/>
  <c r="E66" i="1" s="1"/>
  <c r="F108" i="1"/>
  <c r="G108" i="1"/>
  <c r="G66" i="1" s="1"/>
  <c r="H108" i="1"/>
  <c r="H66" i="1" s="1"/>
  <c r="I108" i="1"/>
  <c r="I66" i="1" s="1"/>
  <c r="J108" i="1"/>
  <c r="J66" i="1" s="1"/>
  <c r="K108" i="1"/>
  <c r="K66" i="1" s="1"/>
  <c r="L108" i="1"/>
  <c r="L66" i="1" s="1"/>
  <c r="M108" i="1"/>
  <c r="M66" i="1" s="1"/>
  <c r="A109" i="1"/>
  <c r="B109" i="1"/>
  <c r="B151" i="1" s="1"/>
  <c r="B193" i="1" s="1"/>
  <c r="B235" i="1" s="1"/>
  <c r="D109" i="1"/>
  <c r="E109" i="1"/>
  <c r="F109" i="1"/>
  <c r="G109" i="1"/>
  <c r="G67" i="1" s="1"/>
  <c r="H109" i="1"/>
  <c r="I109" i="1"/>
  <c r="I67" i="1" s="1"/>
  <c r="J109" i="1"/>
  <c r="K109" i="1"/>
  <c r="K67" i="1" s="1"/>
  <c r="L109" i="1"/>
  <c r="M109" i="1"/>
  <c r="M67" i="1" s="1"/>
  <c r="B110" i="1"/>
  <c r="B152" i="1" s="1"/>
  <c r="D110" i="1"/>
  <c r="D68" i="1" s="1"/>
  <c r="E110" i="1"/>
  <c r="E68" i="1" s="1"/>
  <c r="F110" i="1"/>
  <c r="G110" i="1"/>
  <c r="H110" i="1"/>
  <c r="H68" i="1" s="1"/>
  <c r="I110" i="1"/>
  <c r="I68" i="1" s="1"/>
  <c r="J110" i="1"/>
  <c r="J68" i="1" s="1"/>
  <c r="K110" i="1"/>
  <c r="L110" i="1"/>
  <c r="L68" i="1" s="1"/>
  <c r="M110" i="1"/>
  <c r="M68" i="1" s="1"/>
  <c r="A111" i="1"/>
  <c r="B111" i="1"/>
  <c r="B153" i="1" s="1"/>
  <c r="D111" i="1"/>
  <c r="E69" i="1" s="1"/>
  <c r="E111" i="1"/>
  <c r="F111" i="1"/>
  <c r="G111" i="1"/>
  <c r="G69" i="1" s="1"/>
  <c r="H111" i="1"/>
  <c r="I111" i="1"/>
  <c r="I69" i="1" s="1"/>
  <c r="J111" i="1"/>
  <c r="K111" i="1"/>
  <c r="K69" i="1" s="1"/>
  <c r="L111" i="1"/>
  <c r="M111" i="1"/>
  <c r="M69" i="1" s="1"/>
  <c r="B112" i="1"/>
  <c r="B154" i="1" s="1"/>
  <c r="B196" i="1" s="1"/>
  <c r="B238" i="1" s="1"/>
  <c r="D112" i="1"/>
  <c r="D70" i="1" s="1"/>
  <c r="E112" i="1"/>
  <c r="E70" i="1" s="1"/>
  <c r="F112" i="1"/>
  <c r="G112" i="1"/>
  <c r="G70" i="1" s="1"/>
  <c r="H112" i="1"/>
  <c r="H70" i="1" s="1"/>
  <c r="I112" i="1"/>
  <c r="I70" i="1" s="1"/>
  <c r="J112" i="1"/>
  <c r="J70" i="1" s="1"/>
  <c r="K112" i="1"/>
  <c r="K70" i="1" s="1"/>
  <c r="L112" i="1"/>
  <c r="L70" i="1" s="1"/>
  <c r="M112" i="1"/>
  <c r="M70" i="1" s="1"/>
  <c r="A113" i="1"/>
  <c r="B113" i="1"/>
  <c r="B155" i="1" s="1"/>
  <c r="B197" i="1" s="1"/>
  <c r="B239" i="1" s="1"/>
  <c r="D113" i="1"/>
  <c r="E113" i="1"/>
  <c r="F113" i="1"/>
  <c r="G113" i="1"/>
  <c r="G71" i="1" s="1"/>
  <c r="H113" i="1"/>
  <c r="I113" i="1"/>
  <c r="I71" i="1" s="1"/>
  <c r="J113" i="1"/>
  <c r="K113" i="1"/>
  <c r="K71" i="1" s="1"/>
  <c r="L113" i="1"/>
  <c r="M113" i="1"/>
  <c r="M71" i="1" s="1"/>
  <c r="B114" i="1"/>
  <c r="B156" i="1" s="1"/>
  <c r="D114" i="1"/>
  <c r="D72" i="1" s="1"/>
  <c r="E114" i="1"/>
  <c r="E72" i="1" s="1"/>
  <c r="F114" i="1"/>
  <c r="G114" i="1"/>
  <c r="H114" i="1"/>
  <c r="H72" i="1" s="1"/>
  <c r="I114" i="1"/>
  <c r="I72" i="1" s="1"/>
  <c r="J114" i="1"/>
  <c r="J72" i="1" s="1"/>
  <c r="K114" i="1"/>
  <c r="L114" i="1"/>
  <c r="L72" i="1" s="1"/>
  <c r="M114" i="1"/>
  <c r="M72" i="1" s="1"/>
  <c r="A115" i="1"/>
  <c r="B115" i="1"/>
  <c r="B157" i="1" s="1"/>
  <c r="D115" i="1"/>
  <c r="E73" i="1" s="1"/>
  <c r="E115" i="1"/>
  <c r="F115" i="1"/>
  <c r="G115" i="1"/>
  <c r="G73" i="1" s="1"/>
  <c r="H115" i="1"/>
  <c r="I115" i="1"/>
  <c r="I73" i="1" s="1"/>
  <c r="J115" i="1"/>
  <c r="K115" i="1"/>
  <c r="K73" i="1" s="1"/>
  <c r="L115" i="1"/>
  <c r="M115" i="1"/>
  <c r="M73" i="1" s="1"/>
  <c r="B116" i="1"/>
  <c r="B158" i="1" s="1"/>
  <c r="B200" i="1" s="1"/>
  <c r="B242" i="1" s="1"/>
  <c r="D116" i="1"/>
  <c r="D74" i="1" s="1"/>
  <c r="E116" i="1"/>
  <c r="E74" i="1" s="1"/>
  <c r="F116" i="1"/>
  <c r="G116" i="1"/>
  <c r="G74" i="1" s="1"/>
  <c r="H116" i="1"/>
  <c r="H74" i="1" s="1"/>
  <c r="I116" i="1"/>
  <c r="I74" i="1" s="1"/>
  <c r="J116" i="1"/>
  <c r="J74" i="1" s="1"/>
  <c r="K116" i="1"/>
  <c r="K74" i="1" s="1"/>
  <c r="L116" i="1"/>
  <c r="L74" i="1" s="1"/>
  <c r="M116" i="1"/>
  <c r="M74" i="1" s="1"/>
  <c r="A117" i="1"/>
  <c r="B117" i="1"/>
  <c r="B159" i="1" s="1"/>
  <c r="B201" i="1" s="1"/>
  <c r="B243" i="1" s="1"/>
  <c r="D117" i="1"/>
  <c r="E117" i="1"/>
  <c r="F117" i="1"/>
  <c r="G117" i="1"/>
  <c r="G75" i="1" s="1"/>
  <c r="H117" i="1"/>
  <c r="I117" i="1"/>
  <c r="I75" i="1" s="1"/>
  <c r="J117" i="1"/>
  <c r="K117" i="1"/>
  <c r="K75" i="1" s="1"/>
  <c r="L117" i="1"/>
  <c r="M117" i="1"/>
  <c r="M75" i="1" s="1"/>
  <c r="B118" i="1"/>
  <c r="B160" i="1" s="1"/>
  <c r="D118" i="1"/>
  <c r="D76" i="1" s="1"/>
  <c r="E118" i="1"/>
  <c r="E76" i="1" s="1"/>
  <c r="G118" i="1"/>
  <c r="G76" i="1" s="1"/>
  <c r="H118" i="1"/>
  <c r="H76" i="1" s="1"/>
  <c r="I118" i="1"/>
  <c r="I76" i="1" s="1"/>
  <c r="J118" i="1"/>
  <c r="J76" i="1" s="1"/>
  <c r="K118" i="1"/>
  <c r="K76" i="1" s="1"/>
  <c r="L118" i="1"/>
  <c r="L76" i="1" s="1"/>
  <c r="M118" i="1"/>
  <c r="M76" i="1" s="1"/>
  <c r="A119" i="1"/>
  <c r="B119" i="1"/>
  <c r="B161" i="1" s="1"/>
  <c r="B203" i="1" s="1"/>
  <c r="B245" i="1" s="1"/>
  <c r="D119" i="1"/>
  <c r="F119" i="1"/>
  <c r="G119" i="1"/>
  <c r="G77" i="1" s="1"/>
  <c r="H119" i="1"/>
  <c r="I119" i="1"/>
  <c r="I77" i="1" s="1"/>
  <c r="J119" i="1"/>
  <c r="K119" i="1"/>
  <c r="K77" i="1" s="1"/>
  <c r="L119" i="1"/>
  <c r="M119" i="1"/>
  <c r="M77" i="1" s="1"/>
  <c r="B120" i="1"/>
  <c r="D120" i="1"/>
  <c r="D78" i="1" s="1"/>
  <c r="E120" i="1"/>
  <c r="F120" i="1"/>
  <c r="G120" i="1"/>
  <c r="G78" i="1" s="1"/>
  <c r="H120" i="1"/>
  <c r="H78" i="1" s="1"/>
  <c r="I120" i="1"/>
  <c r="J120" i="1"/>
  <c r="J78" i="1" s="1"/>
  <c r="K120" i="1"/>
  <c r="K78" i="1" s="1"/>
  <c r="L120" i="1"/>
  <c r="L78" i="1" s="1"/>
  <c r="M120" i="1"/>
  <c r="A121" i="1"/>
  <c r="D121" i="1"/>
  <c r="E79" i="1" s="1"/>
  <c r="E121" i="1"/>
  <c r="F121" i="1"/>
  <c r="G121" i="1"/>
  <c r="G79" i="1" s="1"/>
  <c r="H121" i="1"/>
  <c r="I121" i="1"/>
  <c r="I79" i="1" s="1"/>
  <c r="J121" i="1"/>
  <c r="K121" i="1"/>
  <c r="K79" i="1" s="1"/>
  <c r="L121" i="1"/>
  <c r="M121" i="1"/>
  <c r="M79" i="1" s="1"/>
  <c r="B122" i="1"/>
  <c r="D122" i="1"/>
  <c r="D80" i="1" s="1"/>
  <c r="E122" i="1"/>
  <c r="E80" i="1" s="1"/>
  <c r="F122" i="1"/>
  <c r="G122" i="1"/>
  <c r="G80" i="1" s="1"/>
  <c r="H122" i="1"/>
  <c r="H80" i="1" s="1"/>
  <c r="I122" i="1"/>
  <c r="I80" i="1" s="1"/>
  <c r="J122" i="1"/>
  <c r="J80" i="1" s="1"/>
  <c r="K122" i="1"/>
  <c r="K80" i="1" s="1"/>
  <c r="L122" i="1"/>
  <c r="L80" i="1" s="1"/>
  <c r="M122" i="1"/>
  <c r="M80" i="1" s="1"/>
  <c r="A123" i="1"/>
  <c r="B123" i="1"/>
  <c r="D123" i="1"/>
  <c r="E123" i="1"/>
  <c r="F123" i="1"/>
  <c r="G123" i="1"/>
  <c r="G81" i="1" s="1"/>
  <c r="H123" i="1"/>
  <c r="I123" i="1"/>
  <c r="I81" i="1" s="1"/>
  <c r="J123" i="1"/>
  <c r="K123" i="1"/>
  <c r="K81" i="1" s="1"/>
  <c r="L123" i="1"/>
  <c r="M123" i="1"/>
  <c r="M81" i="1" s="1"/>
  <c r="B124" i="1"/>
  <c r="D124" i="1"/>
  <c r="D82" i="1" s="1"/>
  <c r="E124" i="1"/>
  <c r="F124" i="1"/>
  <c r="G124" i="1"/>
  <c r="G82" i="1" s="1"/>
  <c r="H124" i="1"/>
  <c r="H82" i="1" s="1"/>
  <c r="I124" i="1"/>
  <c r="J124" i="1"/>
  <c r="J82" i="1" s="1"/>
  <c r="K124" i="1"/>
  <c r="K82" i="1" s="1"/>
  <c r="L124" i="1"/>
  <c r="L82" i="1" s="1"/>
  <c r="M124" i="1"/>
  <c r="A125" i="1"/>
  <c r="D125" i="1"/>
  <c r="E83" i="1" s="1"/>
  <c r="E125" i="1"/>
  <c r="F125" i="1"/>
  <c r="G125" i="1"/>
  <c r="G83" i="1" s="1"/>
  <c r="H125" i="1"/>
  <c r="I125" i="1"/>
  <c r="I83" i="1" s="1"/>
  <c r="J125" i="1"/>
  <c r="K125" i="1"/>
  <c r="K83" i="1" s="1"/>
  <c r="L125" i="1"/>
  <c r="M125" i="1"/>
  <c r="M83" i="1" s="1"/>
  <c r="B126" i="1"/>
  <c r="D126" i="1"/>
  <c r="D84" i="1" s="1"/>
  <c r="E126" i="1"/>
  <c r="E84" i="1" s="1"/>
  <c r="F126" i="1"/>
  <c r="G126" i="1"/>
  <c r="G84" i="1" s="1"/>
  <c r="H126" i="1"/>
  <c r="H84" i="1" s="1"/>
  <c r="I126" i="1"/>
  <c r="I84" i="1" s="1"/>
  <c r="J126" i="1"/>
  <c r="J84" i="1" s="1"/>
  <c r="K126" i="1"/>
  <c r="K84" i="1" s="1"/>
  <c r="L126" i="1"/>
  <c r="L84" i="1" s="1"/>
  <c r="M126" i="1"/>
  <c r="M84" i="1" s="1"/>
  <c r="A127" i="1"/>
  <c r="B127" i="1"/>
  <c r="D127" i="1"/>
  <c r="E127" i="1"/>
  <c r="F127" i="1"/>
  <c r="G127" i="1"/>
  <c r="G85" i="1" s="1"/>
  <c r="H127" i="1"/>
  <c r="I127" i="1"/>
  <c r="I85" i="1" s="1"/>
  <c r="J127" i="1"/>
  <c r="K127" i="1"/>
  <c r="K85" i="1" s="1"/>
  <c r="L127" i="1"/>
  <c r="M127" i="1"/>
  <c r="M85" i="1" s="1"/>
  <c r="B128" i="1"/>
  <c r="D128" i="1"/>
  <c r="D86" i="1" s="1"/>
  <c r="E128" i="1"/>
  <c r="F128" i="1"/>
  <c r="G128" i="1"/>
  <c r="G86" i="1" s="1"/>
  <c r="H128" i="1"/>
  <c r="H86" i="1" s="1"/>
  <c r="I128" i="1"/>
  <c r="J128" i="1"/>
  <c r="J86" i="1" s="1"/>
  <c r="K128" i="1"/>
  <c r="K86" i="1" s="1"/>
  <c r="L128" i="1"/>
  <c r="L86" i="1" s="1"/>
  <c r="M128" i="1"/>
  <c r="A129" i="1"/>
  <c r="D129" i="1"/>
  <c r="E87" i="1" s="1"/>
  <c r="E129" i="1"/>
  <c r="F129" i="1"/>
  <c r="G129" i="1"/>
  <c r="G87" i="1" s="1"/>
  <c r="H129" i="1"/>
  <c r="I129" i="1"/>
  <c r="I87" i="1" s="1"/>
  <c r="J129" i="1"/>
  <c r="K129" i="1"/>
  <c r="K87" i="1" s="1"/>
  <c r="L129" i="1"/>
  <c r="M129" i="1"/>
  <c r="M87" i="1" s="1"/>
  <c r="D130" i="1"/>
  <c r="H130" i="1"/>
  <c r="J130" i="1"/>
  <c r="L130" i="1"/>
  <c r="A134" i="1"/>
  <c r="A135" i="1"/>
  <c r="A136" i="1"/>
  <c r="A137" i="1"/>
  <c r="A139" i="1"/>
  <c r="A140" i="1"/>
  <c r="A141" i="1"/>
  <c r="A142" i="1"/>
  <c r="A143" i="1"/>
  <c r="A145" i="1"/>
  <c r="A146" i="1"/>
  <c r="A147" i="1"/>
  <c r="E147" i="1"/>
  <c r="B148" i="1"/>
  <c r="B190" i="1" s="1"/>
  <c r="B232" i="1" s="1"/>
  <c r="A149" i="1"/>
  <c r="B149" i="1"/>
  <c r="B191" i="1" s="1"/>
  <c r="B233" i="1" s="1"/>
  <c r="E150" i="1"/>
  <c r="A151" i="1"/>
  <c r="A152" i="1"/>
  <c r="A153" i="1"/>
  <c r="A154" i="1"/>
  <c r="A155" i="1"/>
  <c r="A156" i="1"/>
  <c r="A157" i="1"/>
  <c r="A158" i="1"/>
  <c r="A159" i="1"/>
  <c r="A160" i="1"/>
  <c r="A161" i="1"/>
  <c r="E161" i="1"/>
  <c r="E119" i="1" s="1"/>
  <c r="B162" i="1"/>
  <c r="A163" i="1"/>
  <c r="B164" i="1"/>
  <c r="B206" i="1" s="1"/>
  <c r="B248" i="1" s="1"/>
  <c r="A165" i="1"/>
  <c r="B165" i="1"/>
  <c r="B207" i="1" s="1"/>
  <c r="B249" i="1" s="1"/>
  <c r="B166" i="1"/>
  <c r="A167" i="1"/>
  <c r="B168" i="1"/>
  <c r="B210" i="1" s="1"/>
  <c r="B252" i="1" s="1"/>
  <c r="A169" i="1"/>
  <c r="B169" i="1"/>
  <c r="B211" i="1" s="1"/>
  <c r="B253" i="1" s="1"/>
  <c r="B170" i="1"/>
  <c r="A171" i="1"/>
  <c r="D172" i="1"/>
  <c r="F172" i="1"/>
  <c r="G172" i="1"/>
  <c r="H172" i="1"/>
  <c r="I172" i="1"/>
  <c r="J172" i="1"/>
  <c r="K172" i="1"/>
  <c r="L172" i="1"/>
  <c r="M172" i="1"/>
  <c r="A176" i="1"/>
  <c r="A177" i="1"/>
  <c r="A219" i="1" s="1"/>
  <c r="A178" i="1"/>
  <c r="A179" i="1"/>
  <c r="A221" i="1" s="1"/>
  <c r="A181" i="1"/>
  <c r="A223" i="1" s="1"/>
  <c r="A182" i="1"/>
  <c r="A183" i="1"/>
  <c r="A225" i="1" s="1"/>
  <c r="A184" i="1"/>
  <c r="A185" i="1"/>
  <c r="A227" i="1" s="1"/>
  <c r="A187" i="1"/>
  <c r="A229" i="1" s="1"/>
  <c r="B187" i="1"/>
  <c r="A188" i="1"/>
  <c r="A230" i="1" s="1"/>
  <c r="A189" i="1"/>
  <c r="A231" i="1" s="1"/>
  <c r="A190" i="1"/>
  <c r="A232" i="1" s="1"/>
  <c r="A191" i="1"/>
  <c r="A233" i="1" s="1"/>
  <c r="A192" i="1"/>
  <c r="A234" i="1" s="1"/>
  <c r="A193" i="1"/>
  <c r="A235" i="1" s="1"/>
  <c r="A194" i="1"/>
  <c r="A236" i="1" s="1"/>
  <c r="B194" i="1"/>
  <c r="A195" i="1"/>
  <c r="A237" i="1" s="1"/>
  <c r="B195" i="1"/>
  <c r="A196" i="1"/>
  <c r="A238" i="1" s="1"/>
  <c r="A197" i="1"/>
  <c r="A239" i="1" s="1"/>
  <c r="A198" i="1"/>
  <c r="A240" i="1" s="1"/>
  <c r="B198" i="1"/>
  <c r="A199" i="1"/>
  <c r="A241" i="1" s="1"/>
  <c r="B199" i="1"/>
  <c r="A200" i="1"/>
  <c r="A242" i="1" s="1"/>
  <c r="A201" i="1"/>
  <c r="A243" i="1" s="1"/>
  <c r="A202" i="1"/>
  <c r="A244" i="1" s="1"/>
  <c r="B202" i="1"/>
  <c r="A203" i="1"/>
  <c r="A204" i="1"/>
  <c r="B204" i="1"/>
  <c r="A205" i="1"/>
  <c r="A206" i="1"/>
  <c r="A207" i="1"/>
  <c r="A208" i="1"/>
  <c r="B208" i="1"/>
  <c r="A209" i="1"/>
  <c r="A210" i="1"/>
  <c r="A211" i="1"/>
  <c r="A212" i="1"/>
  <c r="B212" i="1"/>
  <c r="A213" i="1"/>
  <c r="D214" i="1"/>
  <c r="F214" i="1"/>
  <c r="G214" i="1"/>
  <c r="H214" i="1"/>
  <c r="I214" i="1"/>
  <c r="J214" i="1"/>
  <c r="K214" i="1"/>
  <c r="L214" i="1"/>
  <c r="M214" i="1"/>
  <c r="A218" i="1"/>
  <c r="B218" i="1"/>
  <c r="B219" i="1"/>
  <c r="A220" i="1"/>
  <c r="B220" i="1"/>
  <c r="B221" i="1"/>
  <c r="B222" i="1"/>
  <c r="B223" i="1"/>
  <c r="A224" i="1"/>
  <c r="B224" i="1"/>
  <c r="A226" i="1"/>
  <c r="B226" i="1"/>
  <c r="B227" i="1"/>
  <c r="B228" i="1"/>
  <c r="B229" i="1"/>
  <c r="B236" i="1"/>
  <c r="B237" i="1"/>
  <c r="B240" i="1"/>
  <c r="B241" i="1"/>
  <c r="B244" i="1"/>
  <c r="F244" i="1"/>
  <c r="F118" i="1" s="1"/>
  <c r="F130" i="1" s="1"/>
  <c r="A245" i="1"/>
  <c r="A246" i="1"/>
  <c r="B246" i="1"/>
  <c r="A247" i="1"/>
  <c r="A248" i="1"/>
  <c r="A249" i="1"/>
  <c r="A250" i="1"/>
  <c r="B250" i="1"/>
  <c r="A251" i="1"/>
  <c r="A252" i="1"/>
  <c r="A253" i="1"/>
  <c r="A254" i="1"/>
  <c r="B254" i="1"/>
  <c r="A255" i="1"/>
  <c r="D256" i="1"/>
  <c r="F256" i="1"/>
  <c r="G256" i="1"/>
  <c r="H256" i="1"/>
  <c r="I256" i="1"/>
  <c r="J256" i="1"/>
  <c r="K256" i="1"/>
  <c r="L256" i="1"/>
  <c r="M256" i="1"/>
  <c r="C84" i="1" l="1"/>
  <c r="M50" i="1"/>
  <c r="M130" i="1"/>
  <c r="K130" i="1"/>
  <c r="I50" i="1"/>
  <c r="I130" i="1"/>
  <c r="G130" i="1"/>
  <c r="C81" i="1"/>
  <c r="C76" i="1"/>
  <c r="C73" i="1"/>
  <c r="C69" i="1"/>
  <c r="C68" i="1"/>
  <c r="C65" i="1"/>
  <c r="C64" i="1"/>
  <c r="C61" i="1"/>
  <c r="G50" i="1"/>
  <c r="E85" i="1"/>
  <c r="E81" i="1"/>
  <c r="E77" i="1"/>
  <c r="E75" i="1"/>
  <c r="E71" i="1"/>
  <c r="E67" i="1"/>
  <c r="E63" i="1"/>
  <c r="E59" i="1"/>
  <c r="C87" i="1"/>
  <c r="C83" i="1"/>
  <c r="C79" i="1"/>
  <c r="C75" i="1"/>
  <c r="C67" i="1"/>
  <c r="C59" i="1"/>
  <c r="K50" i="1"/>
  <c r="E57" i="1"/>
  <c r="D56" i="1"/>
  <c r="F56" i="1"/>
  <c r="E55" i="1"/>
  <c r="D54" i="1"/>
  <c r="F54" i="1"/>
  <c r="E53" i="1"/>
  <c r="D52" i="1"/>
  <c r="F52" i="1"/>
  <c r="E51" i="1"/>
  <c r="D50" i="1"/>
  <c r="F50" i="1"/>
  <c r="L88" i="1"/>
  <c r="J88" i="1"/>
  <c r="H88" i="1"/>
  <c r="F86" i="1"/>
  <c r="F84" i="1"/>
  <c r="F82" i="1"/>
  <c r="F80" i="1"/>
  <c r="F78" i="1"/>
  <c r="F76" i="1"/>
  <c r="F74" i="1"/>
  <c r="F72" i="1"/>
  <c r="F70" i="1"/>
  <c r="F68" i="1"/>
  <c r="F66" i="1"/>
  <c r="F64" i="1"/>
  <c r="F62" i="1"/>
  <c r="F60" i="1"/>
  <c r="F58" i="1"/>
  <c r="D57" i="1"/>
  <c r="F55" i="1"/>
  <c r="E54" i="1"/>
  <c r="D53" i="1"/>
  <c r="F51" i="1"/>
  <c r="E50" i="1"/>
  <c r="E88" i="1" l="1"/>
  <c r="C53" i="1"/>
  <c r="C74" i="1"/>
  <c r="C82" i="1"/>
  <c r="C86" i="1"/>
  <c r="F88" i="1"/>
  <c r="C55" i="1"/>
  <c r="C66" i="1"/>
  <c r="I88" i="1"/>
  <c r="C57" i="1"/>
  <c r="C72" i="1"/>
  <c r="C80" i="1"/>
  <c r="D88" i="1"/>
  <c r="C50" i="1"/>
  <c r="C52" i="1"/>
  <c r="C54" i="1"/>
  <c r="C56" i="1"/>
  <c r="K88" i="1"/>
  <c r="C58" i="1"/>
  <c r="C62" i="1"/>
  <c r="C70" i="1"/>
  <c r="C78" i="1"/>
  <c r="C63" i="1"/>
  <c r="C71" i="1"/>
  <c r="C51" i="1"/>
  <c r="C60" i="1"/>
  <c r="G88" i="1"/>
  <c r="C77" i="1"/>
  <c r="C85" i="1"/>
  <c r="M88" i="1"/>
  <c r="C88" i="1" l="1"/>
  <c r="C22" i="1" l="1"/>
  <c r="C42" i="1"/>
  <c r="C9" i="1"/>
  <c r="C16" i="1"/>
  <c r="C14" i="1"/>
  <c r="C8" i="1"/>
  <c r="C13" i="1"/>
  <c r="C7" i="1"/>
  <c r="C19" i="1"/>
  <c r="C18" i="1"/>
  <c r="C6" i="1"/>
  <c r="C36" i="1"/>
  <c r="C11" i="1"/>
  <c r="C38" i="1"/>
  <c r="C33" i="1"/>
  <c r="C26" i="1"/>
  <c r="C12" i="1"/>
  <c r="C28" i="1"/>
  <c r="C30" i="1"/>
  <c r="L23" i="1"/>
  <c r="G29" i="1"/>
  <c r="L30" i="1"/>
  <c r="J36" i="1"/>
  <c r="M43" i="1"/>
  <c r="H42" i="1"/>
  <c r="M40" i="1"/>
  <c r="E40" i="1"/>
  <c r="G38" i="1"/>
  <c r="D34" i="1"/>
  <c r="E32" i="1"/>
  <c r="E28" i="1"/>
  <c r="M20" i="1"/>
  <c r="I16" i="1"/>
  <c r="K8" i="1"/>
  <c r="J21" i="1"/>
  <c r="J40" i="1"/>
  <c r="G37" i="1"/>
  <c r="G36" i="1"/>
  <c r="M32" i="1"/>
  <c r="M31" i="1"/>
  <c r="I30" i="1"/>
  <c r="K26" i="1"/>
  <c r="M22" i="1"/>
  <c r="E22" i="1"/>
  <c r="G18" i="1"/>
  <c r="I14" i="1"/>
  <c r="G10" i="1"/>
  <c r="M41" i="1"/>
  <c r="I37" i="1"/>
  <c r="D32" i="1"/>
  <c r="L28" i="1"/>
  <c r="M27" i="1"/>
  <c r="E25" i="1"/>
  <c r="D24" i="1"/>
  <c r="G23" i="1"/>
  <c r="H20" i="1"/>
  <c r="I19" i="1"/>
  <c r="J16" i="1"/>
  <c r="K15" i="1"/>
  <c r="K9" i="1"/>
  <c r="M7" i="1"/>
  <c r="J43" i="1"/>
  <c r="E42" i="1"/>
  <c r="F39" i="1"/>
  <c r="L37" i="1"/>
  <c r="J35" i="1"/>
  <c r="E34" i="1"/>
  <c r="J31" i="1"/>
  <c r="D29" i="1"/>
  <c r="F27" i="1"/>
  <c r="G24" i="1"/>
  <c r="L21" i="1"/>
  <c r="K20" i="1"/>
  <c r="L17" i="1"/>
  <c r="J15" i="1"/>
  <c r="M12" i="1"/>
  <c r="F9" i="1"/>
  <c r="K43" i="1"/>
  <c r="K39" i="1"/>
  <c r="K35" i="1"/>
  <c r="J30" i="1"/>
  <c r="L26" i="1"/>
  <c r="M25" i="1"/>
  <c r="J22" i="1"/>
  <c r="K21" i="1"/>
  <c r="L18" i="1"/>
  <c r="M17" i="1"/>
  <c r="J14" i="1"/>
  <c r="K13" i="1"/>
  <c r="G12" i="1"/>
  <c r="G11" i="1"/>
  <c r="H9" i="1"/>
  <c r="D43" i="1"/>
  <c r="H39" i="1"/>
  <c r="H35" i="1"/>
  <c r="L31" i="1"/>
  <c r="J29" i="1"/>
  <c r="J25" i="1"/>
  <c r="H19" i="1"/>
  <c r="L42" i="1"/>
  <c r="G40" i="1"/>
  <c r="H34" i="1"/>
  <c r="K29" i="1"/>
  <c r="I20" i="1"/>
  <c r="I8" i="1"/>
  <c r="M39" i="1"/>
  <c r="I36" i="1"/>
  <c r="K32" i="1"/>
  <c r="G30" i="1"/>
  <c r="K22" i="1"/>
  <c r="E18" i="1"/>
  <c r="G20" i="1"/>
  <c r="J34" i="1"/>
  <c r="J28" i="1"/>
  <c r="L24" i="1"/>
  <c r="E21" i="1"/>
  <c r="G19" i="1"/>
  <c r="I15" i="1"/>
  <c r="K7" i="1"/>
  <c r="L41" i="1"/>
  <c r="E38" i="1"/>
  <c r="D33" i="1"/>
  <c r="J27" i="1"/>
  <c r="K24" i="1"/>
  <c r="F19" i="1"/>
  <c r="K10" i="1"/>
  <c r="D40" i="1"/>
  <c r="D26" i="1"/>
  <c r="L22" i="1"/>
  <c r="D18" i="1"/>
  <c r="L14" i="1"/>
  <c r="K12" i="1"/>
  <c r="L9" i="1"/>
  <c r="J41" i="1"/>
  <c r="J37" i="1"/>
  <c r="H31" i="1"/>
  <c r="L19" i="1"/>
  <c r="D15" i="1"/>
  <c r="D11" i="1"/>
  <c r="J12" i="1"/>
  <c r="J8" i="1"/>
  <c r="D42" i="1"/>
  <c r="I35" i="1"/>
  <c r="H30" i="1"/>
  <c r="E24" i="1"/>
  <c r="M8" i="1"/>
  <c r="G42" i="1"/>
  <c r="M36" i="1"/>
  <c r="G34" i="1"/>
  <c r="K30" i="1"/>
  <c r="E26" i="1"/>
  <c r="I18" i="1"/>
  <c r="I12" i="1"/>
  <c r="M37" i="1"/>
  <c r="E29" i="1"/>
  <c r="G27" i="1"/>
  <c r="I23" i="1"/>
  <c r="K19" i="1"/>
  <c r="M15" i="1"/>
  <c r="G8" i="1"/>
  <c r="I42" i="1"/>
  <c r="M38" i="1"/>
  <c r="F35" i="1"/>
  <c r="H29" i="1"/>
  <c r="L25" i="1"/>
  <c r="D17" i="1"/>
  <c r="F15" i="1"/>
  <c r="L7" i="1"/>
  <c r="L40" i="1"/>
  <c r="L36" i="1"/>
  <c r="L32" i="1"/>
  <c r="J26" i="1"/>
  <c r="H22" i="1"/>
  <c r="J18" i="1"/>
  <c r="H14" i="1"/>
  <c r="M11" i="1"/>
  <c r="J7" i="1"/>
  <c r="L35" i="1"/>
  <c r="D27" i="1"/>
  <c r="D19" i="1"/>
  <c r="H15" i="1"/>
  <c r="L11" i="1"/>
  <c r="D23" i="1"/>
  <c r="H12" i="1"/>
  <c r="H10" i="1"/>
  <c r="H8" i="1"/>
  <c r="H6" i="1"/>
  <c r="D9" i="1"/>
  <c r="F18" i="1"/>
  <c r="F38" i="1"/>
  <c r="F6" i="1"/>
  <c r="F12" i="1"/>
  <c r="C31" i="1"/>
  <c r="C32" i="1"/>
  <c r="F16" i="1"/>
  <c r="F36" i="1"/>
  <c r="E7" i="1"/>
  <c r="E11" i="1"/>
  <c r="E19" i="1"/>
  <c r="E31" i="1"/>
  <c r="C23" i="1"/>
  <c r="E23" i="1"/>
  <c r="G6" i="1"/>
  <c r="M6" i="1"/>
  <c r="F22" i="1"/>
  <c r="F34" i="1"/>
  <c r="C43" i="1"/>
  <c r="I6" i="1"/>
  <c r="E10" i="1"/>
  <c r="F20" i="1"/>
  <c r="F32" i="1"/>
  <c r="D8" i="1"/>
  <c r="D12" i="1"/>
  <c r="C21" i="1"/>
  <c r="C35" i="1"/>
  <c r="E33" i="1"/>
  <c r="C25" i="1"/>
  <c r="C34" i="1"/>
  <c r="C41" i="1"/>
  <c r="F25" i="1"/>
  <c r="D30" i="1"/>
  <c r="M35" i="1"/>
  <c r="I39" i="1"/>
  <c r="I43" i="1"/>
  <c r="K41" i="1"/>
  <c r="I40" i="1"/>
  <c r="E39" i="1"/>
  <c r="L34" i="1"/>
  <c r="G33" i="1"/>
  <c r="M28" i="1"/>
  <c r="I24" i="1"/>
  <c r="E20" i="1"/>
  <c r="J11" i="1"/>
  <c r="E8" i="1"/>
  <c r="K42" i="1"/>
  <c r="L38" i="1"/>
  <c r="K36" i="1"/>
  <c r="K34" i="1"/>
  <c r="I32" i="1"/>
  <c r="M30" i="1"/>
  <c r="E30" i="1"/>
  <c r="G26" i="1"/>
  <c r="I22" i="1"/>
  <c r="K18" i="1"/>
  <c r="M14" i="1"/>
  <c r="E14" i="1"/>
  <c r="H17" i="1"/>
  <c r="J38" i="1"/>
  <c r="M33" i="1"/>
  <c r="G31" i="1"/>
  <c r="H28" i="1"/>
  <c r="I27" i="1"/>
  <c r="J24" i="1"/>
  <c r="K23" i="1"/>
  <c r="L20" i="1"/>
  <c r="M19" i="1"/>
  <c r="E17" i="1"/>
  <c r="D16" i="1"/>
  <c r="G15" i="1"/>
  <c r="G9" i="1"/>
  <c r="I7" i="1"/>
  <c r="M42" i="1"/>
  <c r="H41" i="1"/>
  <c r="I38" i="1"/>
  <c r="D37" i="1"/>
  <c r="M34" i="1"/>
  <c r="H33" i="1"/>
  <c r="L29" i="1"/>
  <c r="K28" i="1"/>
  <c r="H25" i="1"/>
  <c r="J23" i="1"/>
  <c r="D21" i="1"/>
  <c r="J19" i="1"/>
  <c r="G16" i="1"/>
  <c r="L13" i="1"/>
  <c r="H11" i="1"/>
  <c r="D7" i="1"/>
  <c r="H40" i="1"/>
  <c r="H36" i="1"/>
  <c r="H32" i="1"/>
  <c r="I29" i="1"/>
  <c r="H26" i="1"/>
  <c r="I25" i="1"/>
  <c r="D22" i="1"/>
  <c r="G21" i="1"/>
  <c r="H18" i="1"/>
  <c r="I17" i="1"/>
  <c r="D14" i="1"/>
  <c r="G13" i="1"/>
  <c r="K11" i="1"/>
  <c r="I10" i="1"/>
  <c r="L43" i="1"/>
  <c r="F41" i="1"/>
  <c r="F37" i="1"/>
  <c r="J33" i="1"/>
  <c r="D31" i="1"/>
  <c r="L27" i="1"/>
  <c r="F21" i="1"/>
  <c r="J17" i="1"/>
  <c r="G41" i="1"/>
  <c r="K38" i="1"/>
  <c r="J32" i="1"/>
  <c r="M24" i="1"/>
  <c r="E16" i="1"/>
  <c r="E43" i="1"/>
  <c r="K37" i="1"/>
  <c r="E35" i="1"/>
  <c r="I31" i="1"/>
  <c r="I26" i="1"/>
  <c r="M18" i="1"/>
  <c r="G14" i="1"/>
  <c r="I41" i="1"/>
  <c r="K31" i="1"/>
  <c r="K27" i="1"/>
  <c r="M23" i="1"/>
  <c r="D20" i="1"/>
  <c r="H16" i="1"/>
  <c r="I9" i="1"/>
  <c r="F43" i="1"/>
  <c r="J39" i="1"/>
  <c r="I34" i="1"/>
  <c r="F31" i="1"/>
  <c r="D25" i="1"/>
  <c r="F23" i="1"/>
  <c r="H13" i="1"/>
  <c r="D38" i="1"/>
  <c r="D36" i="1"/>
  <c r="G25" i="1"/>
  <c r="M21" i="1"/>
  <c r="G17" i="1"/>
  <c r="M13" i="1"/>
  <c r="I11" i="1"/>
  <c r="H43" i="1"/>
  <c r="D39" i="1"/>
  <c r="D35" i="1"/>
  <c r="F29" i="1"/>
  <c r="L15" i="1"/>
  <c r="F13" i="1"/>
  <c r="J9" i="1"/>
  <c r="J10" i="1"/>
  <c r="J6" i="1"/>
  <c r="K40" i="1"/>
  <c r="K33" i="1"/>
  <c r="I28" i="1"/>
  <c r="M16" i="1"/>
  <c r="H27" i="1"/>
  <c r="H38" i="1"/>
  <c r="E36" i="1"/>
  <c r="G32" i="1"/>
  <c r="M26" i="1"/>
  <c r="G22" i="1"/>
  <c r="K14" i="1"/>
  <c r="J42" i="1"/>
  <c r="I33" i="1"/>
  <c r="D28" i="1"/>
  <c r="H24" i="1"/>
  <c r="J20" i="1"/>
  <c r="L16" i="1"/>
  <c r="M9" i="1"/>
  <c r="G7" i="1"/>
  <c r="D41" i="1"/>
  <c r="L33" i="1"/>
  <c r="H21" i="1"/>
  <c r="E12" i="1"/>
  <c r="G39" i="1"/>
  <c r="M29" i="1"/>
  <c r="I21" i="1"/>
  <c r="I13" i="1"/>
  <c r="L39" i="1"/>
  <c r="H23" i="1"/>
  <c r="J13" i="1"/>
  <c r="L12" i="1"/>
  <c r="L8" i="1"/>
  <c r="E6" i="1"/>
  <c r="F26" i="1"/>
  <c r="F8" i="1"/>
  <c r="C20" i="1"/>
  <c r="F24" i="1"/>
  <c r="D10" i="1"/>
  <c r="E27" i="1"/>
  <c r="C39" i="1"/>
  <c r="C17" i="1"/>
  <c r="F30" i="1"/>
  <c r="C24" i="1"/>
  <c r="D13" i="1"/>
  <c r="D6" i="1"/>
  <c r="E13" i="1"/>
  <c r="E15" i="1"/>
  <c r="C10" i="1"/>
  <c r="H37" i="1"/>
  <c r="G28" i="1"/>
  <c r="K16" i="1"/>
  <c r="G43" i="1"/>
  <c r="G35" i="1"/>
  <c r="K25" i="1"/>
  <c r="K17" i="1"/>
  <c r="M10" i="1"/>
  <c r="F33" i="1"/>
  <c r="F17" i="1"/>
  <c r="H7" i="1"/>
  <c r="L10" i="1"/>
  <c r="L6" i="1"/>
  <c r="F11" i="1"/>
  <c r="F42" i="1"/>
  <c r="C15" i="1"/>
  <c r="F7" i="1"/>
  <c r="F40" i="1"/>
  <c r="K6" i="1"/>
  <c r="C29" i="1"/>
  <c r="E37" i="1"/>
  <c r="F14" i="1"/>
  <c r="F10" i="1"/>
  <c r="C40" i="1"/>
  <c r="F28" i="1"/>
  <c r="E9" i="1"/>
  <c r="C37" i="1"/>
  <c r="E41" i="1"/>
  <c r="C27" i="1"/>
  <c r="K44" i="1" l="1"/>
  <c r="L44" i="1"/>
  <c r="D44" i="1"/>
  <c r="E44" i="1"/>
  <c r="I44" i="1"/>
  <c r="M44" i="1"/>
  <c r="J44" i="1"/>
  <c r="G44" i="1"/>
  <c r="F44" i="1"/>
  <c r="H44" i="1"/>
</calcChain>
</file>

<file path=xl/sharedStrings.xml><?xml version="1.0" encoding="utf-8"?>
<sst xmlns="http://schemas.openxmlformats.org/spreadsheetml/2006/main" count="144" uniqueCount="80">
  <si>
    <t>Hours Completed - CBM002 or CBM00S</t>
  </si>
  <si>
    <t>At-Risk Degrees - CBM009 meeting criteria in statute for At-Risk</t>
  </si>
  <si>
    <t>Science Teaching Certificates - Certification website</t>
  </si>
  <si>
    <t>Undergraduate Critical Fields - CTGs critical fields CBM009</t>
  </si>
  <si>
    <t>Cost Weighted Degrees - Fiscal Year Upper-Level weight per degree</t>
  </si>
  <si>
    <t>Undergraduate FTSE - CBM004 PREP fall of fiscal year state-funded hours divided by 15</t>
  </si>
  <si>
    <t>6-Yr/3-Yr Graduation Rates - CBM001/CBM009 Reports</t>
  </si>
  <si>
    <t>Undergraduate Degrees - CBM009 Report</t>
  </si>
  <si>
    <t>Sources</t>
  </si>
  <si>
    <t xml:space="preserve">Texas A&amp;M Galveston is given an additional weight of 1.5 to all metrics for ship operation similar to the instructions and operations formula. </t>
  </si>
  <si>
    <t>Graduation Rates for UNTD, TAMUSA, and TAMUCT are assumed to be the same as their parent institutions. 3-Year Graduation Rate used for Upper-Level institutions.</t>
  </si>
  <si>
    <t>Total</t>
  </si>
  <si>
    <t>90 Hours</t>
  </si>
  <si>
    <t>60 Hours</t>
  </si>
  <si>
    <t>30 Hours</t>
  </si>
  <si>
    <t>Hours Completed</t>
  </si>
  <si>
    <t>At-Risk Degrees</t>
  </si>
  <si>
    <t>Math and Science Teaching Certificates</t>
  </si>
  <si>
    <t>Undergraduate Critical Field Degrees</t>
  </si>
  <si>
    <t>Cost Weighted Degrees</t>
  </si>
  <si>
    <t>Undergraduate FTSE</t>
  </si>
  <si>
    <t>6-Year Graduation Rate</t>
  </si>
  <si>
    <t>Undergraduate Degrees</t>
  </si>
  <si>
    <t>Name</t>
  </si>
  <si>
    <t>FICE</t>
  </si>
  <si>
    <t>Fiscal Year 2010</t>
  </si>
  <si>
    <t>Fiscal Year 2011</t>
  </si>
  <si>
    <t>Fiscal Year 2012</t>
  </si>
  <si>
    <t>Total Undergraduate Degrees</t>
  </si>
  <si>
    <t>Three-Year Average</t>
  </si>
  <si>
    <t>Weights</t>
  </si>
  <si>
    <t>Cost Weighted</t>
  </si>
  <si>
    <t>per 100 FTSE</t>
  </si>
  <si>
    <t>Adjusted by 6-Year Graduation Rate</t>
  </si>
  <si>
    <t>Retention Metrics</t>
  </si>
  <si>
    <t xml:space="preserve">Total Undergraduate Degrees </t>
  </si>
  <si>
    <t>Total Points</t>
  </si>
  <si>
    <t>Points Weighted Three-Year Average</t>
  </si>
  <si>
    <t>Percent of Undergraduate Funding</t>
  </si>
  <si>
    <t>SRRG</t>
  </si>
  <si>
    <t>SRSU</t>
  </si>
  <si>
    <t>TxStSM</t>
  </si>
  <si>
    <t>SHSU</t>
  </si>
  <si>
    <t>Lamar</t>
  </si>
  <si>
    <t>TWU</t>
  </si>
  <si>
    <t>Angelo</t>
  </si>
  <si>
    <t>TTU</t>
  </si>
  <si>
    <t>TSU</t>
  </si>
  <si>
    <t>SFA</t>
  </si>
  <si>
    <t>UNTD</t>
  </si>
  <si>
    <t>UNT</t>
  </si>
  <si>
    <t>Midwestern</t>
  </si>
  <si>
    <t>UHV</t>
  </si>
  <si>
    <t>UHD</t>
  </si>
  <si>
    <t>UHCL</t>
  </si>
  <si>
    <t>UH</t>
  </si>
  <si>
    <t>TAMUT</t>
  </si>
  <si>
    <t>TAMUC</t>
  </si>
  <si>
    <t>WTAMU</t>
  </si>
  <si>
    <t>TAMI</t>
  </si>
  <si>
    <t>TAMUSA</t>
  </si>
  <si>
    <t>TAMUK</t>
  </si>
  <si>
    <t>TAMUCC</t>
  </si>
  <si>
    <t>TAMUCT</t>
  </si>
  <si>
    <t>Tarleton</t>
  </si>
  <si>
    <t>Prairie View</t>
  </si>
  <si>
    <t>TAMUG</t>
  </si>
  <si>
    <t>TAMU</t>
  </si>
  <si>
    <t>UTT</t>
  </si>
  <si>
    <t>UTSA</t>
  </si>
  <si>
    <t>UTPB</t>
  </si>
  <si>
    <t>UTB</t>
  </si>
  <si>
    <t>UTPA</t>
  </si>
  <si>
    <t>UTEP</t>
  </si>
  <si>
    <t>UTD</t>
  </si>
  <si>
    <t>UT</t>
  </si>
  <si>
    <t>UTA</t>
  </si>
  <si>
    <t>Funding</t>
  </si>
  <si>
    <r>
      <t xml:space="preserve">Outcomes Based Funding (FY 2010 - FY 2012 Averaged) </t>
    </r>
    <r>
      <rPr>
        <sz val="10"/>
        <rFont val="Tahoma"/>
        <family val="2"/>
      </rPr>
      <t>with Total Degrees adjusted by Six-Year Graduation Rate (3-Year Rate for Upper-Levels), Total Degrees per 100 FTSE, Critical Field Degrees (weighted 2), At-Risk Degrees, Retention Metrics of 30, 60, and 90 hours, and Total Degrees adjusted by Cost Based Weights. Increases in degrees not funded, funding level at 10 percent of undergraduate formula funding.</t>
    </r>
  </si>
  <si>
    <t>Formula Funding - 2014-2015 Biennium - Coordinating Board's Recommendation - Final Submission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</si>
</sst>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43" formatCode="_(* #,##0.00_);_(* \(#,##0.00\);_(* &quot;-&quot;??_);_(@_)"/>
    <numFmt numFmtId="164" formatCode="_(* #,##0_);_(* \(#,##0\);_(* &quot;-&quot;??_);_(@_)"/>
    <numFmt numFmtId="165" formatCode="000000"/>
    <numFmt numFmtId="166" formatCode="_(&quot;$&quot;* #,##0_);_(&quot;$&quot;* \(#,##0\);_(&quot;$&quot;* &quot;-&quot;??_);_(@_)"/>
  </numFmts>
  <fonts count="12" x14ac:knownFonts="1">
    <font>
      <sz val="10"/>
      <color theme="1"/>
      <name val="Tahoma"/>
      <family val="2"/>
    </font>
    <font>
      <b/>
      <sz val="10"/>
      <color theme="1"/>
      <name val="Tahoma"/>
      <family val="2"/>
    </font>
    <font>
      <sz val="10"/>
      <color theme="0"/>
      <name val="Tahoma"/>
      <family val="2"/>
    </font>
    <font>
      <sz val="10"/>
      <name val="System"/>
      <family val="2"/>
    </font>
    <font>
      <sz val="10"/>
      <name val="Tahoma"/>
      <family val="2"/>
    </font>
    <font>
      <i/>
      <sz val="10"/>
      <name val="System"/>
      <family val="2"/>
    </font>
    <font>
      <b/>
      <sz val="10"/>
      <name val="Tahoma"/>
      <family val="2"/>
    </font>
    <font>
      <sz val="10"/>
      <name val="Arial"/>
      <family val="2"/>
    </font>
    <font>
      <sz val="10"/>
      <name val="MS Sans Serif"/>
      <family val="2"/>
    </font>
    <font>
      <sz val="11"/>
      <color theme="1"/>
      <name val="Calibri"/>
      <family val="2"/>
      <scheme val="minor"/>
    </font>
    <font>
      <sz val="11"/>
      <color theme="1"/>
      <name val="Tahoma"/>
      <family val="2"/>
    </font>
    <font>
      <sz val="12"/>
      <name val="Arial"/>
      <family val="2"/>
    </font>
  </fonts>
  <fills count="6">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0"/>
        <bgColor indexed="64"/>
      </patternFill>
    </fill>
    <fill>
      <patternFill patternType="solid">
        <fgColor theme="4" tint="0.59999389629810485"/>
        <bgColor indexed="64"/>
      </patternFill>
    </fill>
  </fills>
  <borders count="57">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theme="0"/>
      </left>
      <right/>
      <top style="thin">
        <color theme="0"/>
      </top>
      <bottom style="medium">
        <color indexed="64"/>
      </bottom>
      <diagonal/>
    </border>
    <border>
      <left style="thin">
        <color theme="0"/>
      </left>
      <right style="thin">
        <color theme="0"/>
      </right>
      <top style="thin">
        <color theme="0"/>
      </top>
      <bottom style="medium">
        <color indexed="64"/>
      </bottom>
      <diagonal/>
    </border>
    <border>
      <left style="medium">
        <color theme="0"/>
      </left>
      <right style="thin">
        <color theme="0"/>
      </right>
      <top style="thin">
        <color theme="0"/>
      </top>
      <bottom style="medium">
        <color indexed="64"/>
      </bottom>
      <diagonal/>
    </border>
    <border>
      <left/>
      <right/>
      <top style="thin">
        <color indexed="64"/>
      </top>
      <bottom style="medium">
        <color indexed="64"/>
      </bottom>
      <diagonal/>
    </border>
    <border>
      <left style="thin">
        <color theme="0"/>
      </left>
      <right style="medium">
        <color theme="0"/>
      </right>
      <top style="thin">
        <color theme="0"/>
      </top>
      <bottom style="medium">
        <color indexed="64"/>
      </bottom>
      <diagonal/>
    </border>
    <border>
      <left style="medium">
        <color theme="0"/>
      </left>
      <right style="thin">
        <color theme="0"/>
      </right>
      <top/>
      <bottom style="medium">
        <color indexed="64"/>
      </bottom>
      <diagonal/>
    </border>
    <border>
      <left style="thin">
        <color theme="0"/>
      </left>
      <right style="medium">
        <color theme="0"/>
      </right>
      <top/>
      <bottom style="medium">
        <color indexed="64"/>
      </bottom>
      <diagonal/>
    </border>
    <border>
      <left style="thin">
        <color theme="0"/>
      </left>
      <right style="thin">
        <color theme="0"/>
      </right>
      <top/>
      <bottom style="medium">
        <color indexed="64"/>
      </bottom>
      <diagonal/>
    </border>
    <border>
      <left style="thin">
        <color theme="0"/>
      </left>
      <right style="thin">
        <color theme="0"/>
      </right>
      <top style="thin">
        <color indexed="64"/>
      </top>
      <bottom style="medium">
        <color indexed="64"/>
      </bottom>
      <diagonal/>
    </border>
    <border>
      <left/>
      <right style="thin">
        <color theme="0"/>
      </right>
      <top/>
      <bottom style="medium">
        <color indexed="64"/>
      </bottom>
      <diagonal/>
    </border>
    <border>
      <left style="medium">
        <color indexed="64"/>
      </left>
      <right style="thin">
        <color theme="0"/>
      </right>
      <top/>
      <bottom style="medium">
        <color indexed="64"/>
      </bottom>
      <diagonal/>
    </border>
    <border>
      <left/>
      <right/>
      <top style="medium">
        <color indexed="64"/>
      </top>
      <bottom style="thin">
        <color theme="0"/>
      </bottom>
      <diagonal/>
    </border>
    <border>
      <left style="medium">
        <color theme="0"/>
      </left>
      <right/>
      <top style="medium">
        <color indexed="64"/>
      </top>
      <bottom style="thin">
        <color theme="0"/>
      </bottom>
      <diagonal/>
    </border>
    <border>
      <left/>
      <right/>
      <top style="medium">
        <color indexed="64"/>
      </top>
      <bottom style="thin">
        <color indexed="64"/>
      </bottom>
      <diagonal/>
    </border>
    <border>
      <left style="thin">
        <color theme="0"/>
      </left>
      <right style="medium">
        <color theme="0"/>
      </right>
      <top style="medium">
        <color indexed="64"/>
      </top>
      <bottom style="thin">
        <color theme="0"/>
      </bottom>
      <diagonal/>
    </border>
    <border>
      <left style="medium">
        <color theme="0"/>
      </left>
      <right style="thin">
        <color theme="0"/>
      </right>
      <top style="medium">
        <color indexed="64"/>
      </top>
      <bottom/>
      <diagonal/>
    </border>
    <border>
      <left style="thin">
        <color theme="0"/>
      </left>
      <right style="medium">
        <color theme="0"/>
      </right>
      <top style="medium">
        <color indexed="64"/>
      </top>
      <bottom/>
      <diagonal/>
    </border>
    <border>
      <left style="thin">
        <color theme="0"/>
      </left>
      <right style="thin">
        <color theme="0"/>
      </right>
      <top style="medium">
        <color indexed="64"/>
      </top>
      <bottom/>
      <diagonal/>
    </border>
    <border>
      <left style="thin">
        <color theme="0"/>
      </left>
      <right style="thin">
        <color theme="0"/>
      </right>
      <top style="medium">
        <color indexed="64"/>
      </top>
      <bottom style="thin">
        <color indexed="64"/>
      </bottom>
      <diagonal/>
    </border>
    <border>
      <left/>
      <right style="thin">
        <color theme="0"/>
      </right>
      <top style="medium">
        <color indexed="64"/>
      </top>
      <bottom/>
      <diagonal/>
    </border>
    <border>
      <left style="medium">
        <color indexed="64"/>
      </left>
      <right style="thin">
        <color theme="0"/>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theme="0"/>
      </left>
      <right/>
      <top/>
      <bottom style="medium">
        <color indexed="64"/>
      </bottom>
      <diagonal/>
    </border>
    <border>
      <left/>
      <right style="medium">
        <color theme="0"/>
      </right>
      <top style="medium">
        <color indexed="64"/>
      </top>
      <bottom/>
      <diagonal/>
    </border>
    <border>
      <left/>
      <right/>
      <top style="medium">
        <color indexed="64"/>
      </top>
      <bottom/>
      <diagonal/>
    </border>
    <border>
      <left style="medium">
        <color theme="0"/>
      </left>
      <right/>
      <top style="medium">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theme="0"/>
      </left>
      <right style="medium">
        <color theme="0"/>
      </right>
      <top/>
      <bottom style="medium">
        <color indexed="64"/>
      </bottom>
      <diagonal/>
    </border>
    <border>
      <left style="thin">
        <color theme="0"/>
      </left>
      <right/>
      <top/>
      <bottom style="medium">
        <color indexed="64"/>
      </bottom>
      <diagonal/>
    </border>
    <border>
      <left style="medium">
        <color indexed="64"/>
      </left>
      <right/>
      <top/>
      <bottom style="medium">
        <color indexed="64"/>
      </bottom>
      <diagonal/>
    </border>
    <border>
      <left style="medium">
        <color theme="0"/>
      </left>
      <right style="medium">
        <color theme="0"/>
      </right>
      <top style="medium">
        <color indexed="64"/>
      </top>
      <bottom/>
      <diagonal/>
    </border>
    <border>
      <left style="thin">
        <color theme="0"/>
      </left>
      <right/>
      <top style="medium">
        <color indexed="64"/>
      </top>
      <bottom/>
      <diagonal/>
    </border>
    <border>
      <left style="medium">
        <color indexed="64"/>
      </left>
      <right/>
      <top style="medium">
        <color indexed="64"/>
      </top>
      <bottom/>
      <diagonal/>
    </border>
  </borders>
  <cellStyleXfs count="58">
    <xf numFmtId="0" fontId="0" fillId="0" borderId="0"/>
    <xf numFmtId="9" fontId="7" fillId="0" borderId="0" applyFont="0" applyFill="0" applyBorder="0" applyAlignment="0" applyProtection="0"/>
    <xf numFmtId="0" fontId="3" fillId="0" borderId="0"/>
    <xf numFmtId="43" fontId="5"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3" fontId="7" fillId="0" borderId="0"/>
    <xf numFmtId="3" fontId="7" fillId="0" borderId="0"/>
    <xf numFmtId="44" fontId="7" fillId="0" borderId="0" applyFont="0" applyFill="0" applyBorder="0" applyAlignment="0" applyProtection="0"/>
    <xf numFmtId="44" fontId="7" fillId="0" borderId="0" applyFont="0" applyFill="0" applyBorder="0" applyAlignment="0" applyProtection="0"/>
    <xf numFmtId="44" fontId="8" fillId="0" borderId="0" applyFont="0" applyFill="0" applyBorder="0" applyAlignment="0" applyProtection="0"/>
    <xf numFmtId="44" fontId="10"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9" fillId="0" borderId="0"/>
    <xf numFmtId="0" fontId="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10" fillId="0" borderId="0"/>
    <xf numFmtId="0" fontId="7" fillId="0" borderId="0"/>
    <xf numFmtId="0" fontId="8" fillId="0" borderId="0"/>
    <xf numFmtId="0" fontId="8" fillId="0" borderId="0"/>
    <xf numFmtId="0" fontId="11" fillId="0" borderId="0"/>
    <xf numFmtId="0" fontId="11" fillId="0" borderId="0"/>
    <xf numFmtId="0" fontId="11" fillId="0" borderId="0"/>
    <xf numFmtId="0" fontId="11" fillId="0" borderId="0"/>
    <xf numFmtId="0" fontId="10" fillId="0" borderId="0"/>
    <xf numFmtId="9" fontId="8"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cellStyleXfs>
  <cellXfs count="124">
    <xf numFmtId="0" fontId="0" fillId="0" borderId="0" xfId="0"/>
    <xf numFmtId="0" fontId="4" fillId="0" borderId="0" xfId="2" applyFont="1"/>
    <xf numFmtId="0" fontId="4" fillId="0" borderId="0" xfId="2" applyNumberFormat="1" applyFont="1"/>
    <xf numFmtId="164" fontId="4" fillId="0" borderId="1" xfId="2" applyNumberFormat="1" applyFont="1" applyBorder="1"/>
    <xf numFmtId="164" fontId="4" fillId="0" borderId="2" xfId="2" applyNumberFormat="1" applyFont="1" applyBorder="1"/>
    <xf numFmtId="164" fontId="4" fillId="0" borderId="3" xfId="2" applyNumberFormat="1" applyFont="1" applyBorder="1"/>
    <xf numFmtId="164" fontId="4" fillId="0" borderId="4" xfId="2" applyNumberFormat="1" applyFont="1" applyBorder="1"/>
    <xf numFmtId="164" fontId="4" fillId="0" borderId="2" xfId="3" applyNumberFormat="1" applyFont="1" applyBorder="1"/>
    <xf numFmtId="9" fontId="4" fillId="0" borderId="2" xfId="4" applyFont="1" applyBorder="1"/>
    <xf numFmtId="164" fontId="4" fillId="0" borderId="3" xfId="3" applyNumberFormat="1" applyFont="1" applyBorder="1"/>
    <xf numFmtId="164" fontId="4" fillId="0" borderId="5" xfId="2" applyNumberFormat="1" applyFont="1" applyBorder="1" applyAlignment="1">
      <alignment horizontal="right"/>
    </xf>
    <xf numFmtId="0" fontId="4" fillId="0" borderId="1" xfId="2" applyFont="1" applyBorder="1" applyAlignment="1">
      <alignment horizontal="right"/>
    </xf>
    <xf numFmtId="0" fontId="4" fillId="0" borderId="3" xfId="2" applyFont="1" applyBorder="1"/>
    <xf numFmtId="164" fontId="4" fillId="0" borderId="6" xfId="3" applyNumberFormat="1" applyFont="1" applyBorder="1"/>
    <xf numFmtId="164" fontId="4" fillId="0" borderId="7" xfId="3" applyNumberFormat="1" applyFont="1" applyBorder="1"/>
    <xf numFmtId="164" fontId="4" fillId="0" borderId="8" xfId="3" applyNumberFormat="1" applyFont="1" applyBorder="1"/>
    <xf numFmtId="164" fontId="4" fillId="0" borderId="9" xfId="3" applyNumberFormat="1" applyFont="1" applyBorder="1"/>
    <xf numFmtId="9" fontId="6" fillId="0" borderId="7" xfId="4" applyFont="1" applyBorder="1"/>
    <xf numFmtId="164" fontId="4" fillId="0" borderId="10" xfId="2" applyNumberFormat="1" applyFont="1" applyBorder="1"/>
    <xf numFmtId="0" fontId="4" fillId="0" borderId="6" xfId="2" applyFont="1" applyBorder="1"/>
    <xf numFmtId="165" fontId="4" fillId="0" borderId="8" xfId="2" applyNumberFormat="1" applyFont="1" applyBorder="1"/>
    <xf numFmtId="9" fontId="4" fillId="0" borderId="7" xfId="4" applyFont="1" applyBorder="1"/>
    <xf numFmtId="164" fontId="4" fillId="2" borderId="6" xfId="3" applyNumberFormat="1" applyFont="1" applyFill="1" applyBorder="1"/>
    <xf numFmtId="164" fontId="4" fillId="2" borderId="7" xfId="3" applyNumberFormat="1" applyFont="1" applyFill="1" applyBorder="1"/>
    <xf numFmtId="164" fontId="4" fillId="2" borderId="8" xfId="3" applyNumberFormat="1" applyFont="1" applyFill="1" applyBorder="1"/>
    <xf numFmtId="164" fontId="4" fillId="2" borderId="9" xfId="3" applyNumberFormat="1" applyFont="1" applyFill="1" applyBorder="1"/>
    <xf numFmtId="9" fontId="4" fillId="2" borderId="7" xfId="4" applyFont="1" applyFill="1" applyBorder="1"/>
    <xf numFmtId="165" fontId="4" fillId="0" borderId="8" xfId="2" quotePrefix="1" applyNumberFormat="1" applyFont="1" applyBorder="1"/>
    <xf numFmtId="164" fontId="4" fillId="0" borderId="6" xfId="3" applyNumberFormat="1" applyFont="1" applyFill="1" applyBorder="1"/>
    <xf numFmtId="164" fontId="4" fillId="0" borderId="7" xfId="3" applyNumberFormat="1" applyFont="1" applyFill="1" applyBorder="1"/>
    <xf numFmtId="164" fontId="4" fillId="0" borderId="8" xfId="3" applyNumberFormat="1" applyFont="1" applyFill="1" applyBorder="1"/>
    <xf numFmtId="164" fontId="4" fillId="0" borderId="11" xfId="3" applyNumberFormat="1" applyFont="1" applyBorder="1"/>
    <xf numFmtId="164" fontId="4" fillId="0" borderId="12" xfId="3" applyNumberFormat="1" applyFont="1" applyBorder="1"/>
    <xf numFmtId="164" fontId="4" fillId="0" borderId="13" xfId="3" applyNumberFormat="1" applyFont="1" applyBorder="1"/>
    <xf numFmtId="164" fontId="4" fillId="0" borderId="14" xfId="3" applyNumberFormat="1" applyFont="1" applyBorder="1"/>
    <xf numFmtId="164" fontId="4" fillId="0" borderId="15" xfId="3" applyNumberFormat="1" applyFont="1" applyBorder="1"/>
    <xf numFmtId="164" fontId="4" fillId="0" borderId="16" xfId="3" applyNumberFormat="1" applyFont="1" applyBorder="1"/>
    <xf numFmtId="9" fontId="4" fillId="0" borderId="12" xfId="4" applyFont="1" applyBorder="1"/>
    <xf numFmtId="164" fontId="4" fillId="0" borderId="17" xfId="2" applyNumberFormat="1" applyFont="1" applyBorder="1"/>
    <xf numFmtId="0" fontId="4" fillId="0" borderId="15" xfId="2" applyFont="1" applyBorder="1"/>
    <xf numFmtId="165" fontId="4" fillId="0" borderId="16" xfId="2" applyNumberFormat="1" applyFont="1" applyBorder="1"/>
    <xf numFmtId="0" fontId="4" fillId="0" borderId="0" xfId="2" applyFont="1" applyAlignment="1">
      <alignment horizontal="center"/>
    </xf>
    <xf numFmtId="164" fontId="2" fillId="3" borderId="18" xfId="3" applyNumberFormat="1" applyFont="1" applyFill="1" applyBorder="1" applyAlignment="1">
      <alignment horizontal="center" wrapText="1"/>
    </xf>
    <xf numFmtId="164" fontId="2" fillId="3" borderId="19" xfId="3" applyNumberFormat="1" applyFont="1" applyFill="1" applyBorder="1" applyAlignment="1">
      <alignment horizontal="center" wrapText="1"/>
    </xf>
    <xf numFmtId="164" fontId="2" fillId="3" borderId="20" xfId="3" applyNumberFormat="1" applyFont="1" applyFill="1" applyBorder="1" applyAlignment="1">
      <alignment horizontal="center" wrapText="1"/>
    </xf>
    <xf numFmtId="164" fontId="2" fillId="3" borderId="21" xfId="3" applyNumberFormat="1" applyFont="1" applyFill="1" applyBorder="1" applyAlignment="1">
      <alignment horizontal="center" wrapText="1"/>
    </xf>
    <xf numFmtId="164" fontId="2" fillId="3" borderId="22" xfId="3" applyNumberFormat="1" applyFont="1" applyFill="1" applyBorder="1" applyAlignment="1">
      <alignment horizontal="center" wrapText="1"/>
    </xf>
    <xf numFmtId="164" fontId="2" fillId="3" borderId="23" xfId="3" applyNumberFormat="1" applyFont="1" applyFill="1" applyBorder="1" applyAlignment="1">
      <alignment horizontal="center" vertical="center" wrapText="1"/>
    </xf>
    <xf numFmtId="164" fontId="2" fillId="3" borderId="24" xfId="3" applyNumberFormat="1" applyFont="1" applyFill="1" applyBorder="1" applyAlignment="1">
      <alignment horizontal="center" wrapText="1"/>
    </xf>
    <xf numFmtId="0" fontId="2" fillId="3" borderId="25" xfId="2" applyFont="1" applyFill="1" applyBorder="1" applyAlignment="1">
      <alignment horizontal="center" wrapText="1"/>
    </xf>
    <xf numFmtId="164" fontId="2" fillId="3" borderId="26" xfId="3" applyNumberFormat="1" applyFont="1" applyFill="1" applyBorder="1" applyAlignment="1">
      <alignment horizontal="center" wrapText="1"/>
    </xf>
    <xf numFmtId="0" fontId="2" fillId="3" borderId="27" xfId="2" applyFont="1" applyFill="1" applyBorder="1" applyAlignment="1">
      <alignment horizontal="center" wrapText="1"/>
    </xf>
    <xf numFmtId="0" fontId="2" fillId="3" borderId="24" xfId="2" applyFont="1" applyFill="1" applyBorder="1" applyAlignment="1">
      <alignment horizontal="center" wrapText="1"/>
    </xf>
    <xf numFmtId="0" fontId="2" fillId="3" borderId="28" xfId="2" applyFont="1" applyFill="1" applyBorder="1" applyAlignment="1">
      <alignment horizontal="center" wrapText="1"/>
    </xf>
    <xf numFmtId="164" fontId="2" fillId="3" borderId="29" xfId="3" applyNumberFormat="1" applyFont="1" applyFill="1" applyBorder="1" applyAlignment="1">
      <alignment horizontal="center" vertical="center" wrapText="1"/>
    </xf>
    <xf numFmtId="164" fontId="2" fillId="3" borderId="30" xfId="3" applyNumberFormat="1" applyFont="1" applyFill="1" applyBorder="1" applyAlignment="1">
      <alignment horizontal="center" vertical="center" wrapText="1"/>
    </xf>
    <xf numFmtId="164" fontId="2" fillId="3" borderId="31" xfId="3" applyNumberFormat="1" applyFont="1" applyFill="1" applyBorder="1" applyAlignment="1">
      <alignment horizontal="center" wrapText="1"/>
    </xf>
    <xf numFmtId="164" fontId="2" fillId="3" borderId="32" xfId="3" applyNumberFormat="1" applyFont="1" applyFill="1" applyBorder="1" applyAlignment="1">
      <alignment horizontal="center" wrapText="1"/>
    </xf>
    <xf numFmtId="164" fontId="2" fillId="3" borderId="33" xfId="3" applyNumberFormat="1" applyFont="1" applyFill="1" applyBorder="1" applyAlignment="1">
      <alignment horizontal="center" vertical="center" wrapText="1"/>
    </xf>
    <xf numFmtId="164" fontId="2" fillId="3" borderId="34" xfId="3" applyNumberFormat="1" applyFont="1" applyFill="1" applyBorder="1" applyAlignment="1">
      <alignment horizontal="center" wrapText="1"/>
    </xf>
    <xf numFmtId="0" fontId="2" fillId="3" borderId="35" xfId="2" applyFont="1" applyFill="1" applyBorder="1" applyAlignment="1">
      <alignment horizontal="center" wrapText="1"/>
    </xf>
    <xf numFmtId="164" fontId="2" fillId="3" borderId="36" xfId="3" applyNumberFormat="1" applyFont="1" applyFill="1" applyBorder="1" applyAlignment="1">
      <alignment horizontal="center" wrapText="1"/>
    </xf>
    <xf numFmtId="0" fontId="2" fillId="3" borderId="37" xfId="2" applyFont="1" applyFill="1" applyBorder="1" applyAlignment="1">
      <alignment horizontal="center" wrapText="1"/>
    </xf>
    <xf numFmtId="0" fontId="2" fillId="3" borderId="34" xfId="2" applyFont="1" applyFill="1" applyBorder="1" applyAlignment="1">
      <alignment horizontal="center" wrapText="1"/>
    </xf>
    <xf numFmtId="0" fontId="2" fillId="3" borderId="38" xfId="2" applyFont="1" applyFill="1" applyBorder="1" applyAlignment="1">
      <alignment horizontal="center" wrapText="1"/>
    </xf>
    <xf numFmtId="0" fontId="6" fillId="0" borderId="0" xfId="2" applyFont="1"/>
    <xf numFmtId="164" fontId="4" fillId="0" borderId="9" xfId="3" applyNumberFormat="1" applyFont="1" applyFill="1" applyBorder="1"/>
    <xf numFmtId="9" fontId="4" fillId="0" borderId="7" xfId="4" applyFont="1" applyFill="1" applyBorder="1"/>
    <xf numFmtId="164" fontId="4" fillId="4" borderId="6" xfId="3" applyNumberFormat="1" applyFont="1" applyFill="1" applyBorder="1"/>
    <xf numFmtId="164" fontId="4" fillId="4" borderId="7" xfId="3" applyNumberFormat="1" applyFont="1" applyFill="1" applyBorder="1"/>
    <xf numFmtId="164" fontId="4" fillId="4" borderId="8" xfId="3" applyNumberFormat="1" applyFont="1" applyFill="1" applyBorder="1"/>
    <xf numFmtId="164" fontId="4" fillId="0" borderId="11" xfId="3" applyNumberFormat="1" applyFont="1" applyFill="1" applyBorder="1"/>
    <xf numFmtId="164" fontId="4" fillId="0" borderId="12" xfId="3" applyNumberFormat="1" applyFont="1" applyFill="1" applyBorder="1"/>
    <xf numFmtId="164" fontId="4" fillId="0" borderId="13" xfId="3" applyNumberFormat="1" applyFont="1" applyFill="1" applyBorder="1"/>
    <xf numFmtId="3" fontId="6" fillId="0" borderId="0" xfId="2" applyNumberFormat="1" applyFont="1"/>
    <xf numFmtId="9" fontId="4" fillId="0" borderId="0" xfId="1" applyFont="1"/>
    <xf numFmtId="0" fontId="1" fillId="0" borderId="0" xfId="2" applyFont="1" applyBorder="1" applyAlignment="1">
      <alignment horizontal="center" vertical="center"/>
    </xf>
    <xf numFmtId="164" fontId="4" fillId="0" borderId="39" xfId="2" applyNumberFormat="1" applyFont="1" applyBorder="1" applyAlignment="1">
      <alignment horizontal="right"/>
    </xf>
    <xf numFmtId="164" fontId="4" fillId="0" borderId="40" xfId="2" applyNumberFormat="1" applyFont="1" applyBorder="1"/>
    <xf numFmtId="164" fontId="4" fillId="0" borderId="41" xfId="3" applyNumberFormat="1" applyFont="1" applyBorder="1"/>
    <xf numFmtId="0" fontId="6" fillId="0" borderId="11" xfId="3" applyNumberFormat="1" applyFont="1" applyBorder="1" applyAlignment="1">
      <alignment horizontal="center"/>
    </xf>
    <xf numFmtId="0" fontId="6" fillId="0" borderId="12" xfId="3" applyNumberFormat="1" applyFont="1" applyBorder="1" applyAlignment="1">
      <alignment horizontal="center"/>
    </xf>
    <xf numFmtId="0" fontId="6" fillId="0" borderId="13" xfId="3" applyNumberFormat="1" applyFont="1" applyBorder="1" applyAlignment="1">
      <alignment horizontal="center"/>
    </xf>
    <xf numFmtId="0" fontId="6" fillId="0" borderId="42" xfId="3" applyNumberFormat="1" applyFont="1" applyBorder="1" applyAlignment="1">
      <alignment horizontal="center"/>
    </xf>
    <xf numFmtId="0" fontId="6" fillId="0" borderId="15" xfId="3" applyNumberFormat="1" applyFont="1" applyBorder="1" applyAlignment="1">
      <alignment horizontal="center"/>
    </xf>
    <xf numFmtId="0" fontId="6" fillId="0" borderId="16" xfId="3" applyNumberFormat="1" applyFont="1" applyBorder="1" applyAlignment="1">
      <alignment horizontal="center"/>
    </xf>
    <xf numFmtId="0" fontId="6" fillId="0" borderId="43" xfId="2" applyFont="1" applyBorder="1" applyAlignment="1">
      <alignment horizontal="right"/>
    </xf>
    <xf numFmtId="0" fontId="6" fillId="0" borderId="44" xfId="2" applyFont="1" applyBorder="1" applyAlignment="1">
      <alignment horizontal="right"/>
    </xf>
    <xf numFmtId="0" fontId="6" fillId="0" borderId="42" xfId="2" applyFont="1" applyBorder="1" applyAlignment="1">
      <alignment horizontal="right"/>
    </xf>
    <xf numFmtId="164" fontId="2" fillId="3" borderId="23" xfId="3" applyNumberFormat="1" applyFont="1" applyFill="1" applyBorder="1" applyAlignment="1">
      <alignment horizontal="center" wrapText="1"/>
    </xf>
    <xf numFmtId="164" fontId="2" fillId="3" borderId="22" xfId="3" applyNumberFormat="1" applyFont="1" applyFill="1" applyBorder="1" applyAlignment="1">
      <alignment horizontal="center" wrapText="1"/>
    </xf>
    <xf numFmtId="0" fontId="2" fillId="3" borderId="19" xfId="2" applyFont="1" applyFill="1" applyBorder="1" applyAlignment="1">
      <alignment horizontal="center" wrapText="1"/>
    </xf>
    <xf numFmtId="0" fontId="2" fillId="3" borderId="45" xfId="2" applyFont="1" applyFill="1" applyBorder="1" applyAlignment="1">
      <alignment wrapText="1"/>
    </xf>
    <xf numFmtId="164" fontId="2" fillId="3" borderId="33" xfId="3" applyNumberFormat="1" applyFont="1" applyFill="1" applyBorder="1" applyAlignment="1">
      <alignment horizontal="center" wrapText="1"/>
    </xf>
    <xf numFmtId="0" fontId="2" fillId="3" borderId="46" xfId="2" applyFont="1" applyFill="1" applyBorder="1" applyAlignment="1">
      <alignment horizontal="center" vertical="center" wrapText="1"/>
    </xf>
    <xf numFmtId="0" fontId="2" fillId="3" borderId="47" xfId="2" applyFont="1" applyFill="1" applyBorder="1" applyAlignment="1">
      <alignment horizontal="center" vertical="center" wrapText="1"/>
    </xf>
    <xf numFmtId="0" fontId="2" fillId="3" borderId="48" xfId="2" applyFont="1" applyFill="1" applyBorder="1" applyAlignment="1">
      <alignment horizontal="center" vertical="center" wrapText="1"/>
    </xf>
    <xf numFmtId="0" fontId="6" fillId="0" borderId="0" xfId="2" applyFont="1" applyAlignment="1"/>
    <xf numFmtId="166" fontId="4" fillId="0" borderId="0" xfId="5" applyNumberFormat="1" applyFont="1" applyBorder="1"/>
    <xf numFmtId="0" fontId="4" fillId="0" borderId="0" xfId="2" applyFont="1" applyAlignment="1">
      <alignment horizontal="left"/>
    </xf>
    <xf numFmtId="9" fontId="4" fillId="5" borderId="49" xfId="4" applyFont="1" applyFill="1" applyBorder="1"/>
    <xf numFmtId="0" fontId="4" fillId="0" borderId="0" xfId="2" applyFont="1" applyBorder="1"/>
    <xf numFmtId="166" fontId="4" fillId="0" borderId="1" xfId="5" applyNumberFormat="1" applyFont="1" applyBorder="1"/>
    <xf numFmtId="166" fontId="4" fillId="0" borderId="2" xfId="5" applyNumberFormat="1" applyFont="1" applyBorder="1"/>
    <xf numFmtId="166" fontId="4" fillId="0" borderId="3" xfId="5" applyNumberFormat="1" applyFont="1" applyBorder="1"/>
    <xf numFmtId="166" fontId="4" fillId="0" borderId="4" xfId="5" applyNumberFormat="1" applyFont="1" applyBorder="1"/>
    <xf numFmtId="166" fontId="4" fillId="0" borderId="4" xfId="5" applyNumberFormat="1" applyFont="1" applyFill="1" applyBorder="1" applyAlignment="1">
      <alignment horizontal="right"/>
    </xf>
    <xf numFmtId="164" fontId="4" fillId="0" borderId="9" xfId="2" applyNumberFormat="1" applyFont="1" applyBorder="1"/>
    <xf numFmtId="0" fontId="4" fillId="0" borderId="8" xfId="2" quotePrefix="1" applyFont="1" applyBorder="1"/>
    <xf numFmtId="166" fontId="4" fillId="0" borderId="15" xfId="5" applyNumberFormat="1" applyFont="1" applyBorder="1"/>
    <xf numFmtId="166" fontId="4" fillId="0" borderId="41" xfId="5" applyNumberFormat="1" applyFont="1" applyBorder="1"/>
    <xf numFmtId="166" fontId="4" fillId="0" borderId="16" xfId="5" applyNumberFormat="1" applyFont="1" applyBorder="1"/>
    <xf numFmtId="166" fontId="4" fillId="0" borderId="14" xfId="5" applyNumberFormat="1" applyFont="1" applyBorder="1"/>
    <xf numFmtId="166" fontId="4" fillId="0" borderId="43" xfId="5" applyNumberFormat="1" applyFont="1" applyBorder="1"/>
    <xf numFmtId="0" fontId="2" fillId="3" borderId="50" xfId="2" applyFont="1" applyFill="1" applyBorder="1" applyAlignment="1">
      <alignment wrapText="1"/>
    </xf>
    <xf numFmtId="0" fontId="2" fillId="3" borderId="51" xfId="2" applyFont="1" applyFill="1" applyBorder="1" applyAlignment="1">
      <alignment horizontal="center" wrapText="1"/>
    </xf>
    <xf numFmtId="0" fontId="2" fillId="3" borderId="52" xfId="2" applyFont="1" applyFill="1" applyBorder="1" applyAlignment="1">
      <alignment horizontal="center" wrapText="1"/>
    </xf>
    <xf numFmtId="0" fontId="2" fillId="3" borderId="53" xfId="2" applyFont="1" applyFill="1" applyBorder="1" applyAlignment="1">
      <alignment horizontal="center" wrapText="1"/>
    </xf>
    <xf numFmtId="0" fontId="2" fillId="3" borderId="54" xfId="2" applyFont="1" applyFill="1" applyBorder="1" applyAlignment="1">
      <alignment horizontal="center" wrapText="1"/>
    </xf>
    <xf numFmtId="0" fontId="2" fillId="3" borderId="55" xfId="2" applyFont="1" applyFill="1" applyBorder="1" applyAlignment="1">
      <alignment horizontal="center" wrapText="1"/>
    </xf>
    <xf numFmtId="0" fontId="2" fillId="3" borderId="56" xfId="2" applyFont="1" applyFill="1" applyBorder="1" applyAlignment="1">
      <alignment horizontal="center" wrapText="1"/>
    </xf>
    <xf numFmtId="0" fontId="4" fillId="0" borderId="50" xfId="2" applyFont="1" applyBorder="1"/>
    <xf numFmtId="0" fontId="6" fillId="0" borderId="50" xfId="2" applyFont="1" applyBorder="1"/>
    <xf numFmtId="0" fontId="6" fillId="0" borderId="0" xfId="2" applyFont="1" applyAlignment="1">
      <alignment horizontal="left" vertical="top" wrapText="1"/>
    </xf>
  </cellXfs>
  <cellStyles count="58">
    <cellStyle name="Comma 2" xfId="6"/>
    <cellStyle name="Comma 2 2" xfId="7"/>
    <cellStyle name="Comma 3" xfId="8"/>
    <cellStyle name="Comma 3 2" xfId="9"/>
    <cellStyle name="Comma 4" xfId="10"/>
    <cellStyle name="Comma 4 2" xfId="11"/>
    <cellStyle name="Comma 5" xfId="3"/>
    <cellStyle name="Comma 6" xfId="12"/>
    <cellStyle name="Comma 6 2" xfId="13"/>
    <cellStyle name="Comma 7" xfId="14"/>
    <cellStyle name="Comma0" xfId="15"/>
    <cellStyle name="Comma0 2" xfId="16"/>
    <cellStyle name="Currency 2" xfId="17"/>
    <cellStyle name="Currency 2 2" xfId="18"/>
    <cellStyle name="Currency 3" xfId="19"/>
    <cellStyle name="Currency 3 2" xfId="20"/>
    <cellStyle name="Currency 4" xfId="5"/>
    <cellStyle name="Currency 5" xfId="21"/>
    <cellStyle name="Normal" xfId="0" builtinId="0"/>
    <cellStyle name="Normal 10" xfId="22"/>
    <cellStyle name="Normal 10 2" xfId="23"/>
    <cellStyle name="Normal 11" xfId="2"/>
    <cellStyle name="Normal 12" xfId="24"/>
    <cellStyle name="Normal 12 2" xfId="25"/>
    <cellStyle name="Normal 13" xfId="26"/>
    <cellStyle name="Normal 13 2" xfId="27"/>
    <cellStyle name="Normal 2" xfId="28"/>
    <cellStyle name="Normal 2 10" xfId="29"/>
    <cellStyle name="Normal 2 11" xfId="30"/>
    <cellStyle name="Normal 2 12" xfId="31"/>
    <cellStyle name="Normal 2 13" xfId="32"/>
    <cellStyle name="Normal 2 2" xfId="33"/>
    <cellStyle name="Normal 2 3" xfId="34"/>
    <cellStyle name="Normal 2 4" xfId="35"/>
    <cellStyle name="Normal 2 5" xfId="36"/>
    <cellStyle name="Normal 2 6" xfId="37"/>
    <cellStyle name="Normal 2 7" xfId="38"/>
    <cellStyle name="Normal 2 8" xfId="39"/>
    <cellStyle name="Normal 2 9" xfId="40"/>
    <cellStyle name="Normal 3" xfId="41"/>
    <cellStyle name="Normal 3 2" xfId="42"/>
    <cellStyle name="Normal 3 3" xfId="43"/>
    <cellStyle name="Normal 4" xfId="44"/>
    <cellStyle name="Normal 4 2" xfId="45"/>
    <cellStyle name="Normal 5" xfId="46"/>
    <cellStyle name="Normal 6" xfId="47"/>
    <cellStyle name="Normal 7" xfId="48"/>
    <cellStyle name="Normal 8" xfId="49"/>
    <cellStyle name="Normal 9" xfId="50"/>
    <cellStyle name="Percent" xfId="1" builtinId="5"/>
    <cellStyle name="Percent 2" xfId="51"/>
    <cellStyle name="Percent 2 2" xfId="52"/>
    <cellStyle name="Percent 3" xfId="53"/>
    <cellStyle name="Percent 3 2" xfId="54"/>
    <cellStyle name="Percent 4" xfId="55"/>
    <cellStyle name="Percent 4 2" xfId="56"/>
    <cellStyle name="Percent 5" xfId="4"/>
    <cellStyle name="Percent 6" xfId="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P/PA/Resource/FinanceFiles/Formula/LBB%20Request/2014-2015/GAI/Final/GAI%20Formulas%20Model%20Final%20Run%20-%20Certified%20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PP\PA\Resource\FinanceFiles\Appropriations\Biennium20122013\GAI\GAI%20Formulas%20Model%20Proo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CUBO"/>
      <sheetName val="Funding Levels"/>
      <sheetName val="I and O"/>
      <sheetName val="OBF"/>
      <sheetName val="SCH"/>
      <sheetName val="Cost Study"/>
      <sheetName val="Infrastructure"/>
      <sheetName val="Utilities"/>
      <sheetName val="TAMUG"/>
      <sheetName val="SIS"/>
      <sheetName val="Comparison"/>
      <sheetName val="Law VM Tuition"/>
      <sheetName val="Growth"/>
      <sheetName val="CPI"/>
    </sheetNames>
    <sheetDataSet>
      <sheetData sheetId="0"/>
      <sheetData sheetId="1"/>
      <sheetData sheetId="2"/>
      <sheetData sheetId="3"/>
      <sheetData sheetId="4"/>
      <sheetData sheetId="5"/>
      <sheetData sheetId="6"/>
      <sheetData sheetId="7">
        <row r="3">
          <cell r="A3" t="str">
            <v>Institution</v>
          </cell>
          <cell r="C3" t="str">
            <v>FY 2014 - FY 2015 Total</v>
          </cell>
          <cell r="D3" t="str">
            <v>FY 2014</v>
          </cell>
          <cell r="E3" t="str">
            <v>O&amp;M 
Funding</v>
          </cell>
          <cell r="F3" t="str">
            <v>Utility 
Funding</v>
          </cell>
          <cell r="G3" t="str">
            <v>FY 2015</v>
          </cell>
          <cell r="H3" t="str">
            <v>O&amp;M 
Funding</v>
          </cell>
          <cell r="I3" t="str">
            <v>Utility 
Funding</v>
          </cell>
          <cell r="J3" t="str">
            <v>Utility Rate Adjustment</v>
          </cell>
          <cell r="K3" t="str">
            <v>Adjusted Utility Square Feet</v>
          </cell>
          <cell r="L3" t="str">
            <v xml:space="preserve">Predicted
Square Feet1 </v>
          </cell>
        </row>
        <row r="4">
          <cell r="B4" t="str">
            <v>UT-Arlington</v>
          </cell>
          <cell r="C4">
            <v>31807080.209555022</v>
          </cell>
          <cell r="D4">
            <v>15903540.104777511</v>
          </cell>
          <cell r="E4">
            <v>8447924.4938445706</v>
          </cell>
          <cell r="F4">
            <v>7455615.6109329397</v>
          </cell>
          <cell r="G4">
            <v>15903540.104777511</v>
          </cell>
          <cell r="H4">
            <v>8447924.4938445706</v>
          </cell>
          <cell r="I4">
            <v>7455615.6109329397</v>
          </cell>
          <cell r="J4">
            <v>0.97647769000000006</v>
          </cell>
          <cell r="K4">
            <v>2746908.8837075103</v>
          </cell>
        </row>
        <row r="5">
          <cell r="B5" t="str">
            <v>UT-Austin</v>
          </cell>
          <cell r="C5">
            <v>118011935.5017083</v>
          </cell>
          <cell r="D5">
            <v>59005967.750854149</v>
          </cell>
          <cell r="E5">
            <v>30423926.699605692</v>
          </cell>
          <cell r="F5">
            <v>28582041.051248457</v>
          </cell>
          <cell r="G5">
            <v>59005967.750854149</v>
          </cell>
          <cell r="H5">
            <v>30423926.699605692</v>
          </cell>
          <cell r="I5">
            <v>28582041.051248457</v>
          </cell>
          <cell r="J5">
            <v>1.0394576799999999</v>
          </cell>
          <cell r="K5">
            <v>10530621.021158399</v>
          </cell>
        </row>
        <row r="6">
          <cell r="B6" t="str">
            <v>UT-Dallas</v>
          </cell>
          <cell r="C6">
            <v>25853817.889887951</v>
          </cell>
          <cell r="D6">
            <v>12926908.944943976</v>
          </cell>
          <cell r="E6">
            <v>6945551.5160211297</v>
          </cell>
          <cell r="F6">
            <v>5981357.428922846</v>
          </cell>
          <cell r="G6">
            <v>12926908.944943976</v>
          </cell>
          <cell r="H6">
            <v>6945551.5160211297</v>
          </cell>
          <cell r="I6">
            <v>5981357.428922846</v>
          </cell>
          <cell r="J6">
            <v>0.95284411999999996</v>
          </cell>
          <cell r="K6">
            <v>2203740.7392683597</v>
          </cell>
        </row>
        <row r="7">
          <cell r="B7" t="str">
            <v>UT-El Paso</v>
          </cell>
          <cell r="C7">
            <v>24665595.778528862</v>
          </cell>
          <cell r="D7">
            <v>12332797.889264431</v>
          </cell>
          <cell r="E7">
            <v>6677420.7815366331</v>
          </cell>
          <cell r="F7">
            <v>5655377.1077277968</v>
          </cell>
          <cell r="G7">
            <v>12332797.889264431</v>
          </cell>
          <cell r="H7">
            <v>6677420.7815366331</v>
          </cell>
          <cell r="I7">
            <v>5655377.1077277968</v>
          </cell>
          <cell r="J7">
            <v>0.93709078000000001</v>
          </cell>
          <cell r="K7">
            <v>2083638.21696404</v>
          </cell>
        </row>
        <row r="8">
          <cell r="B8" t="str">
            <v>UT-Pan American</v>
          </cell>
          <cell r="C8">
            <v>17906809.314481311</v>
          </cell>
          <cell r="D8">
            <v>8953404.6572406553</v>
          </cell>
          <cell r="E8">
            <v>4705523.96494467</v>
          </cell>
          <cell r="F8">
            <v>4247880.6922959853</v>
          </cell>
          <cell r="G8">
            <v>8953404.6572406553</v>
          </cell>
          <cell r="H8">
            <v>4705523.96494467</v>
          </cell>
          <cell r="I8">
            <v>4247880.6922959853</v>
          </cell>
          <cell r="J8">
            <v>0.99883363999999997</v>
          </cell>
          <cell r="K8">
            <v>1565067.4363477998</v>
          </cell>
        </row>
        <row r="9">
          <cell r="B9" t="str">
            <v>UT-Brownsville</v>
          </cell>
          <cell r="C9">
            <v>7272866.8572981711</v>
          </cell>
          <cell r="D9">
            <v>3636433.4286490856</v>
          </cell>
          <cell r="E9">
            <v>2069536.2248945273</v>
          </cell>
          <cell r="F9">
            <v>1566897.203754558</v>
          </cell>
          <cell r="G9">
            <v>3636433.4286490856</v>
          </cell>
          <cell r="H9">
            <v>2069536.2248945273</v>
          </cell>
          <cell r="I9">
            <v>1566897.203754558</v>
          </cell>
          <cell r="J9">
            <v>0.83771503999999997</v>
          </cell>
          <cell r="K9">
            <v>577299.59180544002</v>
          </cell>
        </row>
        <row r="10">
          <cell r="B10" t="str">
            <v>UT-Permian Basin</v>
          </cell>
          <cell r="C10">
            <v>3544603.8918381473</v>
          </cell>
          <cell r="D10">
            <v>1772301.9459190737</v>
          </cell>
          <cell r="E10">
            <v>921470.60200433829</v>
          </cell>
          <cell r="F10">
            <v>850831.34391473536</v>
          </cell>
          <cell r="G10">
            <v>1772301.9459190737</v>
          </cell>
          <cell r="H10">
            <v>921470.60200433829</v>
          </cell>
          <cell r="I10">
            <v>850831.34391473536</v>
          </cell>
          <cell r="J10">
            <v>1.0216234100000001</v>
          </cell>
          <cell r="K10">
            <v>313475.94874781003</v>
          </cell>
        </row>
        <row r="11">
          <cell r="B11" t="str">
            <v>UT-San Antonio</v>
          </cell>
          <cell r="C11">
            <v>30837556.348135367</v>
          </cell>
          <cell r="D11">
            <v>15418778.174067684</v>
          </cell>
          <cell r="E11">
            <v>8248041.9429507628</v>
          </cell>
          <cell r="F11">
            <v>7170736.2311169207</v>
          </cell>
          <cell r="G11">
            <v>15418778.174067684</v>
          </cell>
          <cell r="H11">
            <v>8248041.9429507628</v>
          </cell>
          <cell r="I11">
            <v>7170736.2311169207</v>
          </cell>
          <cell r="J11">
            <v>0.9619261400000001</v>
          </cell>
          <cell r="K11">
            <v>2641949.3820328005</v>
          </cell>
        </row>
        <row r="12">
          <cell r="B12" t="str">
            <v>UT-Tyler</v>
          </cell>
          <cell r="C12">
            <v>6501496.805446472</v>
          </cell>
          <cell r="D12">
            <v>3250748.402723236</v>
          </cell>
          <cell r="E12">
            <v>1762218.1918236145</v>
          </cell>
          <cell r="F12">
            <v>1488530.2108996217</v>
          </cell>
          <cell r="G12">
            <v>3250748.402723236</v>
          </cell>
          <cell r="H12">
            <v>1762218.1918236145</v>
          </cell>
          <cell r="I12">
            <v>1488530.2108996217</v>
          </cell>
          <cell r="J12">
            <v>0.93460222999999998</v>
          </cell>
          <cell r="K12">
            <v>548426.45776846004</v>
          </cell>
        </row>
        <row r="13">
          <cell r="B13" t="str">
            <v>TAMU</v>
          </cell>
          <cell r="C13">
            <v>73035527.867271066</v>
          </cell>
          <cell r="D13">
            <v>36517763.933635533</v>
          </cell>
          <cell r="E13">
            <v>19260411.605443515</v>
          </cell>
          <cell r="F13">
            <v>17257352.328192022</v>
          </cell>
          <cell r="G13">
            <v>36517763.933635533</v>
          </cell>
          <cell r="H13">
            <v>19260411.605443515</v>
          </cell>
          <cell r="I13">
            <v>17257352.328192022</v>
          </cell>
          <cell r="J13">
            <v>0.99137381000000002</v>
          </cell>
          <cell r="K13">
            <v>6358210.6285183504</v>
          </cell>
        </row>
        <row r="14">
          <cell r="B14" t="str">
            <v>TAMU-Galveston</v>
          </cell>
          <cell r="C14">
            <v>5014329.727057917</v>
          </cell>
          <cell r="D14">
            <v>2507164.8635289585</v>
          </cell>
          <cell r="E14">
            <v>1252051.7518960969</v>
          </cell>
          <cell r="F14">
            <v>1255113.1116328614</v>
          </cell>
          <cell r="G14">
            <v>2507164.8635289585</v>
          </cell>
          <cell r="H14">
            <v>1252051.7518960969</v>
          </cell>
          <cell r="I14">
            <v>1255113.1116328614</v>
          </cell>
          <cell r="J14">
            <v>1.1091478100000001</v>
          </cell>
          <cell r="K14">
            <v>462427.45553383837</v>
          </cell>
        </row>
        <row r="15">
          <cell r="B15" t="str">
            <v>Prairie View</v>
          </cell>
          <cell r="C15">
            <v>10018161.925815467</v>
          </cell>
          <cell r="D15">
            <v>5009080.9629077334</v>
          </cell>
          <cell r="E15">
            <v>2697151.6384568824</v>
          </cell>
          <cell r="F15">
            <v>2311929.3244508514</v>
          </cell>
          <cell r="G15">
            <v>5009080.9629077334</v>
          </cell>
          <cell r="H15">
            <v>2697151.6384568824</v>
          </cell>
          <cell r="I15">
            <v>2311929.3244508514</v>
          </cell>
          <cell r="J15">
            <v>0.94841416000000001</v>
          </cell>
          <cell r="K15">
            <v>851795.41586416005</v>
          </cell>
        </row>
        <row r="16">
          <cell r="B16" t="str">
            <v>Tarleton</v>
          </cell>
          <cell r="C16">
            <v>10206654.77763319</v>
          </cell>
          <cell r="D16">
            <v>5103327.3888165951</v>
          </cell>
          <cell r="E16">
            <v>2575730.7742951852</v>
          </cell>
          <cell r="F16">
            <v>2527596.6145214094</v>
          </cell>
          <cell r="G16">
            <v>5103327.3888165951</v>
          </cell>
          <cell r="H16">
            <v>2575730.7742951852</v>
          </cell>
          <cell r="I16">
            <v>2527596.6145214094</v>
          </cell>
          <cell r="J16">
            <v>1.08576575</v>
          </cell>
          <cell r="K16">
            <v>931254.76918049995</v>
          </cell>
        </row>
        <row r="17">
          <cell r="B17" t="str">
            <v>TAMU-Central</v>
          </cell>
          <cell r="C17">
            <v>1709348.3130202568</v>
          </cell>
          <cell r="D17">
            <v>854674.15651012841</v>
          </cell>
          <cell r="E17">
            <v>448637.3599832881</v>
          </cell>
          <cell r="F17">
            <v>406036.79652684031</v>
          </cell>
          <cell r="G17">
            <v>854674.15651012841</v>
          </cell>
          <cell r="H17">
            <v>448637.3599832881</v>
          </cell>
          <cell r="I17">
            <v>406036.79652684031</v>
          </cell>
          <cell r="J17">
            <v>1.00137973</v>
          </cell>
          <cell r="K17">
            <v>149598.12062416002</v>
          </cell>
        </row>
        <row r="18">
          <cell r="B18" t="str">
            <v>TAMU-CC</v>
          </cell>
          <cell r="C18">
            <v>12273085.966621902</v>
          </cell>
          <cell r="D18">
            <v>6136542.9833109509</v>
          </cell>
          <cell r="E18">
            <v>2895163.2653703592</v>
          </cell>
          <cell r="F18">
            <v>3241379.7179405917</v>
          </cell>
          <cell r="G18">
            <v>6136542.9833109509</v>
          </cell>
          <cell r="H18">
            <v>2895163.2653703592</v>
          </cell>
          <cell r="I18">
            <v>3241379.7179405917</v>
          </cell>
          <cell r="J18">
            <v>1.23875577</v>
          </cell>
          <cell r="K18">
            <v>1194237.36513774</v>
          </cell>
        </row>
        <row r="19">
          <cell r="B19" t="str">
            <v>TAMU-Kingsville</v>
          </cell>
          <cell r="C19">
            <v>9757393.959249109</v>
          </cell>
          <cell r="D19">
            <v>4878696.9796245545</v>
          </cell>
          <cell r="E19">
            <v>2316759.4589760327</v>
          </cell>
          <cell r="F19">
            <v>2561937.5206485218</v>
          </cell>
          <cell r="G19">
            <v>4878696.9796245545</v>
          </cell>
          <cell r="H19">
            <v>2316759.4589760327</v>
          </cell>
          <cell r="I19">
            <v>2561937.5206485218</v>
          </cell>
          <cell r="J19">
            <v>1.2235350899999999</v>
          </cell>
          <cell r="K19">
            <v>943907.15699630999</v>
          </cell>
        </row>
        <row r="20">
          <cell r="B20" t="str">
            <v>TAMU-San Antonio</v>
          </cell>
          <cell r="C20">
            <v>3290461.7972570127</v>
          </cell>
          <cell r="D20">
            <v>1645230.8986285063</v>
          </cell>
          <cell r="E20">
            <v>762294.91235191911</v>
          </cell>
          <cell r="F20">
            <v>882935.98627658735</v>
          </cell>
          <cell r="G20">
            <v>1645230.8986285063</v>
          </cell>
          <cell r="H20">
            <v>762294.91235191911</v>
          </cell>
          <cell r="I20">
            <v>882935.98627658735</v>
          </cell>
          <cell r="J20">
            <v>1.2815484700000002</v>
          </cell>
          <cell r="K20">
            <v>325304.41897939006</v>
          </cell>
        </row>
        <row r="21">
          <cell r="B21" t="str">
            <v>TAMI</v>
          </cell>
          <cell r="C21">
            <v>6776232.8558748756</v>
          </cell>
          <cell r="D21">
            <v>3388116.4279374378</v>
          </cell>
          <cell r="E21">
            <v>1642698.2825247573</v>
          </cell>
          <cell r="F21">
            <v>1745418.1454126807</v>
          </cell>
          <cell r="G21">
            <v>3388116.4279374378</v>
          </cell>
          <cell r="H21">
            <v>1642698.2825247573</v>
          </cell>
          <cell r="I21">
            <v>1745418.1454126807</v>
          </cell>
          <cell r="J21">
            <v>1.17562963</v>
          </cell>
          <cell r="K21">
            <v>643072.93449888995</v>
          </cell>
        </row>
        <row r="22">
          <cell r="B22" t="str">
            <v>WTAMU</v>
          </cell>
          <cell r="C22">
            <v>7179148.812675735</v>
          </cell>
          <cell r="D22">
            <v>3589574.4063378675</v>
          </cell>
          <cell r="E22">
            <v>2159061.2887430722</v>
          </cell>
          <cell r="F22">
            <v>1430513.1175947953</v>
          </cell>
          <cell r="G22">
            <v>3589574.4063378675</v>
          </cell>
          <cell r="H22">
            <v>2159061.2887430722</v>
          </cell>
          <cell r="I22">
            <v>1430513.1175947953</v>
          </cell>
          <cell r="J22">
            <v>0.73308732999999993</v>
          </cell>
          <cell r="K22">
            <v>527050.93664150999</v>
          </cell>
        </row>
        <row r="23">
          <cell r="B23" t="str">
            <v>TAMU-Commerce</v>
          </cell>
          <cell r="C23">
            <v>9707455.9245321043</v>
          </cell>
          <cell r="D23">
            <v>4853727.9622660521</v>
          </cell>
          <cell r="E23">
            <v>2365235.3095225827</v>
          </cell>
          <cell r="F23">
            <v>2488492.6527434699</v>
          </cell>
          <cell r="G23">
            <v>4853727.9622660521</v>
          </cell>
          <cell r="H23">
            <v>2365235.3095225827</v>
          </cell>
          <cell r="I23">
            <v>2488492.6527434699</v>
          </cell>
          <cell r="J23">
            <v>1.1641014999999999</v>
          </cell>
          <cell r="K23">
            <v>916847.50550149987</v>
          </cell>
        </row>
        <row r="24">
          <cell r="B24" t="str">
            <v>TAMU-Texarkana</v>
          </cell>
          <cell r="C24">
            <v>1858593.730301199</v>
          </cell>
          <cell r="D24">
            <v>929296.86515059951</v>
          </cell>
          <cell r="E24">
            <v>492917.89624328585</v>
          </cell>
          <cell r="F24">
            <v>436378.9689073136</v>
          </cell>
          <cell r="G24">
            <v>929296.86515059951</v>
          </cell>
          <cell r="H24">
            <v>492917.89624328585</v>
          </cell>
          <cell r="I24">
            <v>436378.9689073136</v>
          </cell>
          <cell r="J24">
            <v>0.97953073000000013</v>
          </cell>
          <cell r="K24">
            <v>160777.23543001001</v>
          </cell>
        </row>
        <row r="25">
          <cell r="B25" t="str">
            <v>UH</v>
          </cell>
          <cell r="C25">
            <v>50660951.07582137</v>
          </cell>
          <cell r="D25">
            <v>25330475.537910685</v>
          </cell>
          <cell r="E25">
            <v>13048658.697361207</v>
          </cell>
          <cell r="F25">
            <v>12281816.840549476</v>
          </cell>
          <cell r="G25">
            <v>25330475.537910685</v>
          </cell>
          <cell r="H25">
            <v>13048658.697361207</v>
          </cell>
          <cell r="I25">
            <v>12281816.840549476</v>
          </cell>
          <cell r="J25">
            <v>1.0414192099999999</v>
          </cell>
          <cell r="K25">
            <v>4525049.7809867999</v>
          </cell>
        </row>
        <row r="26">
          <cell r="B26" t="str">
            <v>UH-Clear Lake</v>
          </cell>
          <cell r="C26">
            <v>6982764.9199850224</v>
          </cell>
          <cell r="D26">
            <v>3491382.4599925112</v>
          </cell>
          <cell r="E26">
            <v>1779930.4063276136</v>
          </cell>
          <cell r="F26">
            <v>1711452.0536648978</v>
          </cell>
          <cell r="G26">
            <v>3491382.4599925112</v>
          </cell>
          <cell r="H26">
            <v>1779930.4063276136</v>
          </cell>
          <cell r="I26">
            <v>1711452.0536648978</v>
          </cell>
          <cell r="J26">
            <v>1.06387488</v>
          </cell>
          <cell r="K26">
            <v>630558.64137600001</v>
          </cell>
        </row>
        <row r="27">
          <cell r="B27" t="str">
            <v>UH-Downtown</v>
          </cell>
          <cell r="C27">
            <v>12038967.521617878</v>
          </cell>
          <cell r="D27">
            <v>6019483.7608089391</v>
          </cell>
          <cell r="E27">
            <v>2704950.6586445537</v>
          </cell>
          <cell r="F27">
            <v>3314533.1021643854</v>
          </cell>
          <cell r="G27">
            <v>6019483.7608089391</v>
          </cell>
          <cell r="H27">
            <v>2704950.6586445537</v>
          </cell>
          <cell r="I27">
            <v>3314533.1021643854</v>
          </cell>
          <cell r="J27">
            <v>1.35578821</v>
          </cell>
          <cell r="K27">
            <v>1221189.6238758301</v>
          </cell>
        </row>
        <row r="28">
          <cell r="B28" t="str">
            <v>UH-Victoria</v>
          </cell>
          <cell r="C28">
            <v>3404580.2988143298</v>
          </cell>
          <cell r="D28">
            <v>1702290.1494071649</v>
          </cell>
          <cell r="E28">
            <v>838795.58245617023</v>
          </cell>
          <cell r="F28">
            <v>863494.56695099466</v>
          </cell>
          <cell r="G28">
            <v>1702290.1494071649</v>
          </cell>
          <cell r="H28">
            <v>838795.58245617023</v>
          </cell>
          <cell r="I28">
            <v>863494.56695099466</v>
          </cell>
          <cell r="J28">
            <v>1.1390225299999999</v>
          </cell>
          <cell r="K28">
            <v>318141.52187682997</v>
          </cell>
        </row>
        <row r="29">
          <cell r="B29" t="str">
            <v>Midwestern</v>
          </cell>
          <cell r="C29">
            <v>5587638.8098004386</v>
          </cell>
          <cell r="D29">
            <v>2793819.4049002193</v>
          </cell>
          <cell r="E29">
            <v>1472059.8050185293</v>
          </cell>
          <cell r="F29">
            <v>1321759.5998816902</v>
          </cell>
          <cell r="G29">
            <v>2793819.4049002193</v>
          </cell>
          <cell r="H29">
            <v>1472059.8050185293</v>
          </cell>
          <cell r="I29">
            <v>1321759.5998816902</v>
          </cell>
          <cell r="J29">
            <v>0.99347252000000008</v>
          </cell>
          <cell r="K29">
            <v>486982.34679864004</v>
          </cell>
        </row>
        <row r="30">
          <cell r="B30" t="str">
            <v>UNT</v>
          </cell>
          <cell r="C30">
            <v>36686554.013207778</v>
          </cell>
          <cell r="D30">
            <v>18343277.006603889</v>
          </cell>
          <cell r="E30">
            <v>9574671.1932413913</v>
          </cell>
          <cell r="F30">
            <v>8768605.8133624978</v>
          </cell>
          <cell r="G30">
            <v>18343277.006603889</v>
          </cell>
          <cell r="H30">
            <v>9574671.1932413913</v>
          </cell>
          <cell r="I30">
            <v>8768605.8133624978</v>
          </cell>
          <cell r="J30">
            <v>1.0132941100000001</v>
          </cell>
          <cell r="K30">
            <v>3230660.2785602505</v>
          </cell>
        </row>
        <row r="31">
          <cell r="B31" t="str">
            <v>UNT-Dallas</v>
          </cell>
          <cell r="C31">
            <v>1911047.1053005573</v>
          </cell>
          <cell r="D31">
            <v>955523.55265027867</v>
          </cell>
          <cell r="E31">
            <v>425720.79354042321</v>
          </cell>
          <cell r="F31">
            <v>529802.7591098554</v>
          </cell>
          <cell r="G31">
            <v>955523.55265027867</v>
          </cell>
          <cell r="H31">
            <v>425720.79354042321</v>
          </cell>
          <cell r="I31">
            <v>529802.7591098554</v>
          </cell>
          <cell r="J31">
            <v>1.3769500699999999</v>
          </cell>
          <cell r="K31">
            <v>195197.81887326998</v>
          </cell>
        </row>
        <row r="32">
          <cell r="B32" t="str">
            <v>SFA</v>
          </cell>
          <cell r="C32">
            <v>13644367.631960317</v>
          </cell>
          <cell r="D32">
            <v>6822183.8159801587</v>
          </cell>
          <cell r="E32">
            <v>3525736.7208598829</v>
          </cell>
          <cell r="F32">
            <v>3296447.0951202754</v>
          </cell>
          <cell r="G32">
            <v>6822183.8159801587</v>
          </cell>
          <cell r="H32">
            <v>3525736.7208598829</v>
          </cell>
          <cell r="I32">
            <v>3296447.0951202754</v>
          </cell>
          <cell r="J32">
            <v>1.0344870799999999</v>
          </cell>
          <cell r="K32">
            <v>1214526.10794196</v>
          </cell>
        </row>
        <row r="33">
          <cell r="B33" t="str">
            <v>TSU</v>
          </cell>
          <cell r="C33">
            <v>14915514.181661531</v>
          </cell>
          <cell r="D33">
            <v>7457757.0908307657</v>
          </cell>
          <cell r="E33">
            <v>3345587.4628629517</v>
          </cell>
          <cell r="F33">
            <v>4112169.6279678144</v>
          </cell>
          <cell r="G33">
            <v>7457757.0908307657</v>
          </cell>
          <cell r="H33">
            <v>3345587.4628629517</v>
          </cell>
          <cell r="I33">
            <v>4112169.6279678144</v>
          </cell>
          <cell r="J33">
            <v>1.3599641899999999</v>
          </cell>
          <cell r="K33">
            <v>1515066.7459053099</v>
          </cell>
        </row>
        <row r="34">
          <cell r="B34" t="str">
            <v>TTU</v>
          </cell>
          <cell r="C34">
            <v>44505620.760491803</v>
          </cell>
          <cell r="D34">
            <v>22252810.380245902</v>
          </cell>
          <cell r="E34">
            <v>11994025.156134026</v>
          </cell>
          <cell r="F34">
            <v>10258785.224111876</v>
          </cell>
          <cell r="G34">
            <v>22252810.380245902</v>
          </cell>
          <cell r="H34">
            <v>11994025.156134026</v>
          </cell>
          <cell r="I34">
            <v>10258785.224111876</v>
          </cell>
          <cell r="J34">
            <v>0.94636750999999997</v>
          </cell>
          <cell r="K34">
            <v>3779694.3590864697</v>
          </cell>
        </row>
        <row r="35">
          <cell r="B35" t="str">
            <v>Angelo</v>
          </cell>
          <cell r="C35">
            <v>7977428.4714653566</v>
          </cell>
          <cell r="D35">
            <v>3988714.2357326783</v>
          </cell>
          <cell r="E35">
            <v>1878575.8491942401</v>
          </cell>
          <cell r="F35">
            <v>2110138.3865384385</v>
          </cell>
          <cell r="G35">
            <v>3988714.2357326783</v>
          </cell>
          <cell r="H35">
            <v>1878575.8491942401</v>
          </cell>
          <cell r="I35">
            <v>2110138.3865384385</v>
          </cell>
          <cell r="J35">
            <v>1.2428280399999998</v>
          </cell>
          <cell r="K35">
            <v>777448.59476591984</v>
          </cell>
        </row>
        <row r="36">
          <cell r="B36" t="str">
            <v>TWU</v>
          </cell>
          <cell r="C36">
            <v>13535961.528345382</v>
          </cell>
          <cell r="D36">
            <v>6767980.7641726909</v>
          </cell>
          <cell r="E36">
            <v>3562038.0516371531</v>
          </cell>
          <cell r="F36">
            <v>3205942.7125355378</v>
          </cell>
          <cell r="G36">
            <v>6767980.7641726909</v>
          </cell>
          <cell r="H36">
            <v>3562038.0516371531</v>
          </cell>
          <cell r="I36">
            <v>3205942.7125355378</v>
          </cell>
          <cell r="J36">
            <v>0.99583191999999998</v>
          </cell>
          <cell r="K36">
            <v>1181181.1361100001</v>
          </cell>
        </row>
        <row r="37">
          <cell r="B37" t="str">
            <v>Lamar</v>
          </cell>
          <cell r="C37">
            <v>11751022.335271161</v>
          </cell>
          <cell r="D37">
            <v>5875511.1676355805</v>
          </cell>
          <cell r="E37">
            <v>3194165.7470744401</v>
          </cell>
          <cell r="F37">
            <v>2681345.4205611404</v>
          </cell>
          <cell r="G37">
            <v>5875511.1676355805</v>
          </cell>
          <cell r="H37">
            <v>3194165.7470744401</v>
          </cell>
          <cell r="I37">
            <v>2681345.4205611404</v>
          </cell>
          <cell r="J37">
            <v>0.92880417000000004</v>
          </cell>
          <cell r="K37">
            <v>987901.19292459008</v>
          </cell>
        </row>
        <row r="38">
          <cell r="B38" t="str">
            <v>Sam Houston</v>
          </cell>
          <cell r="C38">
            <v>16563980.382816639</v>
          </cell>
          <cell r="D38">
            <v>8281990.1914083194</v>
          </cell>
          <cell r="E38">
            <v>4532738.2793390257</v>
          </cell>
          <cell r="F38">
            <v>3749251.9120692937</v>
          </cell>
          <cell r="G38">
            <v>8281990.1914083194</v>
          </cell>
          <cell r="H38">
            <v>4532738.2793390257</v>
          </cell>
          <cell r="I38">
            <v>3749251.9120692937</v>
          </cell>
          <cell r="J38">
            <v>0.91519327000000006</v>
          </cell>
          <cell r="K38">
            <v>1381355.1988139302</v>
          </cell>
        </row>
        <row r="39">
          <cell r="B39" t="str">
            <v>TxStU-SM</v>
          </cell>
          <cell r="C39">
            <v>34868567.855581619</v>
          </cell>
          <cell r="D39">
            <v>17434283.927790809</v>
          </cell>
          <cell r="E39">
            <v>8958749.8053281661</v>
          </cell>
          <cell r="F39">
            <v>8475534.1224626433</v>
          </cell>
          <cell r="G39">
            <v>17434283.927790809</v>
          </cell>
          <cell r="H39">
            <v>8958749.8053281661</v>
          </cell>
          <cell r="I39">
            <v>8475534.1224626433</v>
          </cell>
          <cell r="J39">
            <v>1.04676335</v>
          </cell>
          <cell r="K39">
            <v>3122682.4436896499</v>
          </cell>
        </row>
        <row r="40">
          <cell r="B40" t="str">
            <v>Sul Ross</v>
          </cell>
          <cell r="C40">
            <v>3179224.3256634502</v>
          </cell>
          <cell r="D40">
            <v>1589612.1628317251</v>
          </cell>
          <cell r="E40">
            <v>681968.30781598017</v>
          </cell>
          <cell r="F40">
            <v>907643.85501574492</v>
          </cell>
          <cell r="G40">
            <v>1589612.1628317251</v>
          </cell>
          <cell r="H40">
            <v>681968.30781598017</v>
          </cell>
          <cell r="I40">
            <v>907643.85501574492</v>
          </cell>
          <cell r="J40">
            <v>1.4725841399999999</v>
          </cell>
          <cell r="K40">
            <v>334407.65976845997</v>
          </cell>
        </row>
        <row r="41">
          <cell r="B41" t="str">
            <v>Sul Ross - RG</v>
          </cell>
          <cell r="C41">
            <v>384100.99347075151</v>
          </cell>
          <cell r="D41">
            <v>192050.49673537575</v>
          </cell>
          <cell r="E41">
            <v>192050.49673537575</v>
          </cell>
          <cell r="F41">
            <v>0</v>
          </cell>
          <cell r="G41">
            <v>192050.49673537575</v>
          </cell>
          <cell r="H41">
            <v>192050.49673537575</v>
          </cell>
          <cell r="I41">
            <v>0</v>
          </cell>
          <cell r="J41">
            <v>0</v>
          </cell>
          <cell r="K41">
            <v>0</v>
          </cell>
        </row>
        <row r="42">
          <cell r="B42" t="str">
            <v>TAMU-CVM</v>
          </cell>
          <cell r="C42">
            <v>7019558.5456138942</v>
          </cell>
          <cell r="D42">
            <v>3509779.2728069471</v>
          </cell>
          <cell r="E42">
            <v>3509779.2728069471</v>
          </cell>
          <cell r="G42">
            <v>3509779.2728069471</v>
          </cell>
          <cell r="H42">
            <v>3509779.2728069471</v>
          </cell>
        </row>
        <row r="43">
          <cell r="B43" t="str">
            <v>Total Universities</v>
          </cell>
          <cell r="C43">
            <v>702846009.01107872</v>
          </cell>
          <cell r="D43">
            <v>351423004.50553936</v>
          </cell>
          <cell r="E43">
            <v>184289930.24781096</v>
          </cell>
          <cell r="F43">
            <v>167133074.25772837</v>
          </cell>
          <cell r="G43">
            <v>351423004.50553936</v>
          </cell>
          <cell r="H43">
            <v>184289930.24781096</v>
          </cell>
          <cell r="I43">
            <v>167133074.25772837</v>
          </cell>
          <cell r="K43">
            <v>61577655.07206089</v>
          </cell>
        </row>
        <row r="44">
          <cell r="B44" t="str">
            <v>TSTC-Harlingen</v>
          </cell>
          <cell r="C44">
            <v>5493476.5050561968</v>
          </cell>
          <cell r="D44">
            <v>2746738.2525280984</v>
          </cell>
          <cell r="E44">
            <v>1200196.2318381239</v>
          </cell>
          <cell r="F44">
            <v>1546542.0206899743</v>
          </cell>
          <cell r="G44">
            <v>2746738.2525280984</v>
          </cell>
          <cell r="H44">
            <v>1200196.2318381239</v>
          </cell>
          <cell r="I44">
            <v>1546542.0206899743</v>
          </cell>
          <cell r="J44">
            <v>1.4257333400000001</v>
          </cell>
          <cell r="K44">
            <v>569800.03226435999</v>
          </cell>
        </row>
        <row r="45">
          <cell r="B45" t="str">
            <v>TSTC-West Texas</v>
          </cell>
          <cell r="C45">
            <v>1398056.3898776458</v>
          </cell>
          <cell r="D45">
            <v>699028.19493882288</v>
          </cell>
          <cell r="E45">
            <v>317411.41268229648</v>
          </cell>
          <cell r="F45">
            <v>381616.78225652641</v>
          </cell>
          <cell r="G45">
            <v>699028.19493882288</v>
          </cell>
          <cell r="H45">
            <v>317411.41268229648</v>
          </cell>
          <cell r="I45">
            <v>381616.78225652641</v>
          </cell>
          <cell r="J45">
            <v>1.33025153</v>
          </cell>
          <cell r="K45">
            <v>140600.93546335</v>
          </cell>
        </row>
        <row r="46">
          <cell r="B46" t="str">
            <v>TSTC-Marshall</v>
          </cell>
          <cell r="C46">
            <v>750876.4426783009</v>
          </cell>
          <cell r="D46">
            <v>375438.22133915045</v>
          </cell>
          <cell r="E46">
            <v>210159.11888849793</v>
          </cell>
          <cell r="F46">
            <v>165279.10245065248</v>
          </cell>
          <cell r="G46">
            <v>375438.22133915045</v>
          </cell>
          <cell r="H46">
            <v>210159.11888849793</v>
          </cell>
          <cell r="I46">
            <v>165279.10245065248</v>
          </cell>
          <cell r="J46">
            <v>0.87015885999999987</v>
          </cell>
          <cell r="K46">
            <v>60894.58718165999</v>
          </cell>
        </row>
        <row r="47">
          <cell r="B47" t="str">
            <v>TSTC-Waco</v>
          </cell>
          <cell r="C47">
            <v>5862939.8830377636</v>
          </cell>
          <cell r="D47">
            <v>2931469.9415188818</v>
          </cell>
          <cell r="E47">
            <v>1528109.4441339308</v>
          </cell>
          <cell r="F47">
            <v>1403360.497384951</v>
          </cell>
          <cell r="G47">
            <v>2931469.9415188818</v>
          </cell>
          <cell r="H47">
            <v>1528109.4441339308</v>
          </cell>
          <cell r="I47">
            <v>1403360.497384951</v>
          </cell>
          <cell r="J47">
            <v>1.0161167899999999</v>
          </cell>
          <cell r="K47">
            <v>517046.96412433992</v>
          </cell>
        </row>
        <row r="48">
          <cell r="B48" t="str">
            <v>Lamar-IOT</v>
          </cell>
          <cell r="C48">
            <v>2406849.7238945272</v>
          </cell>
          <cell r="D48">
            <v>1203424.8619472636</v>
          </cell>
          <cell r="E48">
            <v>676010.18072613038</v>
          </cell>
          <cell r="F48">
            <v>527414.68122113333</v>
          </cell>
          <cell r="G48">
            <v>1203424.8619472636</v>
          </cell>
          <cell r="H48">
            <v>676010.18072613038</v>
          </cell>
          <cell r="I48">
            <v>527414.68122113333</v>
          </cell>
          <cell r="J48">
            <v>0.86323256999999998</v>
          </cell>
          <cell r="K48">
            <v>194317.96766984998</v>
          </cell>
        </row>
        <row r="49">
          <cell r="B49" t="str">
            <v>Lamar-Orange</v>
          </cell>
          <cell r="C49">
            <v>1894104.0594405392</v>
          </cell>
          <cell r="D49">
            <v>947052.02972026961</v>
          </cell>
          <cell r="E49">
            <v>514492.08223798394</v>
          </cell>
          <cell r="F49">
            <v>432559.94748228561</v>
          </cell>
          <cell r="G49">
            <v>947052.02972026961</v>
          </cell>
          <cell r="H49">
            <v>514492.08223798394</v>
          </cell>
          <cell r="I49">
            <v>432559.94748228561</v>
          </cell>
          <cell r="J49">
            <v>0.93024308</v>
          </cell>
          <cell r="K49">
            <v>159370.17470867999</v>
          </cell>
        </row>
        <row r="50">
          <cell r="B50" t="str">
            <v>Lamar-Port Arthur</v>
          </cell>
          <cell r="C50">
            <v>2602585.9662741926</v>
          </cell>
          <cell r="D50">
            <v>1301292.9831370963</v>
          </cell>
          <cell r="E50">
            <v>667967.9103901335</v>
          </cell>
          <cell r="F50">
            <v>633325.07274696277</v>
          </cell>
          <cell r="G50">
            <v>1301292.9831370963</v>
          </cell>
          <cell r="H50">
            <v>667967.9103901335</v>
          </cell>
          <cell r="I50">
            <v>633325.07274696277</v>
          </cell>
          <cell r="J50">
            <v>1.0490590199999998</v>
          </cell>
          <cell r="K50">
            <v>233339.05064153997</v>
          </cell>
        </row>
        <row r="51">
          <cell r="B51" t="str">
            <v>Total TSTC and Lamar</v>
          </cell>
          <cell r="C51">
            <v>20408888.970259167</v>
          </cell>
          <cell r="D51">
            <v>10204444.485129584</v>
          </cell>
          <cell r="E51">
            <v>5114346.3808970973</v>
          </cell>
          <cell r="F51">
            <v>5090098.1042324863</v>
          </cell>
          <cell r="G51">
            <v>10204444.485129584</v>
          </cell>
          <cell r="H51">
            <v>5114346.3808970973</v>
          </cell>
          <cell r="I51">
            <v>5090098.1042324863</v>
          </cell>
          <cell r="K51">
            <v>1875369.71205378</v>
          </cell>
        </row>
        <row r="52">
          <cell r="B52" t="str">
            <v>Formula Total</v>
          </cell>
          <cell r="C52">
            <v>723254897.9813379</v>
          </cell>
          <cell r="D52">
            <v>361627448.99066895</v>
          </cell>
          <cell r="E52">
            <v>189404276.62870806</v>
          </cell>
          <cell r="F52">
            <v>172223172.36196086</v>
          </cell>
          <cell r="G52">
            <v>361627448.99066895</v>
          </cell>
          <cell r="H52">
            <v>189404276.62870806</v>
          </cell>
          <cell r="I52">
            <v>172223172.36196086</v>
          </cell>
          <cell r="K52">
            <v>63453024.784114674</v>
          </cell>
        </row>
        <row r="53">
          <cell r="B53" t="str">
            <v>Small Institution Set-Aside</v>
          </cell>
          <cell r="C53">
            <v>25898550</v>
          </cell>
          <cell r="D53" t="str">
            <v>Not included in Table Above</v>
          </cell>
        </row>
        <row r="54">
          <cell r="B54" t="str">
            <v>TAMUG Set-Aside</v>
          </cell>
          <cell r="C54">
            <v>1770769.4872156784</v>
          </cell>
          <cell r="D54" t="str">
            <v>Added to TAMUG's predicted square feet in table above and included in amounts</v>
          </cell>
        </row>
        <row r="55">
          <cell r="B55" t="str">
            <v>Total</v>
          </cell>
          <cell r="C55">
            <v>749153447.9813379</v>
          </cell>
        </row>
        <row r="57">
          <cell r="C57">
            <v>676839030.74790382</v>
          </cell>
          <cell r="D57" t="str">
            <v>FY 2012-2013 Appropriated</v>
          </cell>
        </row>
        <row r="58">
          <cell r="C58">
            <v>47746743.216482833</v>
          </cell>
          <cell r="D58" t="str">
            <v>7.1% Biennial Rate Increase</v>
          </cell>
        </row>
        <row r="59">
          <cell r="C59">
            <v>24567674.016951248</v>
          </cell>
          <cell r="D59" t="str">
            <v>3.4% Predicted Square Foot Growth</v>
          </cell>
        </row>
        <row r="60">
          <cell r="C60">
            <v>749153447.9813379</v>
          </cell>
          <cell r="D60" t="str">
            <v>FY 2014-2015 Recommended Funding</v>
          </cell>
        </row>
        <row r="61">
          <cell r="C61" t="str">
            <v>Rates</v>
          </cell>
          <cell r="D61">
            <v>5.7172720577392653</v>
          </cell>
          <cell r="E61">
            <v>3.0030882509323664</v>
          </cell>
          <cell r="F61">
            <v>2.7141838068068989</v>
          </cell>
          <cell r="G61">
            <v>5.7172720577392653</v>
          </cell>
          <cell r="H61">
            <v>3.0030882509323664</v>
          </cell>
          <cell r="I61">
            <v>2.7141838068068989</v>
          </cell>
          <cell r="J61" t="str">
            <v>HRI Rate3</v>
          </cell>
          <cell r="K61">
            <v>6.5546870319349999</v>
          </cell>
        </row>
        <row r="62">
          <cell r="C62" t="str">
            <v>Percentages2</v>
          </cell>
          <cell r="D62">
            <v>1</v>
          </cell>
          <cell r="E62">
            <v>0.52526593462824533</v>
          </cell>
          <cell r="F62">
            <v>0.47473406537175467</v>
          </cell>
          <cell r="G62">
            <v>1</v>
          </cell>
          <cell r="H62">
            <v>0.52526593462824533</v>
          </cell>
          <cell r="I62">
            <v>0.47473406537175467</v>
          </cell>
        </row>
        <row r="70">
          <cell r="C70" t="str">
            <v>FY 2014 - FY 2015 Total</v>
          </cell>
          <cell r="D70" t="str">
            <v>FY 2014</v>
          </cell>
          <cell r="E70" t="str">
            <v>O&amp;M 
Funding</v>
          </cell>
          <cell r="F70" t="str">
            <v>Utility 
Funding</v>
          </cell>
          <cell r="G70" t="str">
            <v>FY 2015</v>
          </cell>
          <cell r="H70" t="str">
            <v>O&amp;M 
Funding</v>
          </cell>
          <cell r="I70" t="str">
            <v>Utility 
Funding</v>
          </cell>
          <cell r="J70" t="str">
            <v>Utility Rate Adjustment</v>
          </cell>
          <cell r="K70" t="str">
            <v>Adjusted Utility Square Feet</v>
          </cell>
        </row>
        <row r="71">
          <cell r="B71" t="str">
            <v>Texas Engineering Experiment Station (TEES)</v>
          </cell>
          <cell r="C71">
            <v>11288371.533352043</v>
          </cell>
          <cell r="D71">
            <v>5644185.7666760217</v>
          </cell>
          <cell r="E71">
            <v>2976889.3090312323</v>
          </cell>
          <cell r="F71">
            <v>2667296.4576447895</v>
          </cell>
          <cell r="G71">
            <v>5644185.7666760217</v>
          </cell>
          <cell r="H71">
            <v>2976889.3090312323</v>
          </cell>
          <cell r="I71">
            <v>2667296.4576447895</v>
          </cell>
          <cell r="J71">
            <v>0.99137381000000002</v>
          </cell>
          <cell r="K71">
            <v>982725.06488156004</v>
          </cell>
        </row>
        <row r="72">
          <cell r="B72" t="str">
            <v>Texas Engineering Extension Service (TEEX)</v>
          </cell>
          <cell r="C72">
            <v>3264152.7077998081</v>
          </cell>
          <cell r="D72">
            <v>1632076.3538999041</v>
          </cell>
          <cell r="E72">
            <v>860799.21007075161</v>
          </cell>
          <cell r="F72">
            <v>771277.14382915257</v>
          </cell>
          <cell r="G72">
            <v>1632076.3538999041</v>
          </cell>
          <cell r="H72">
            <v>860799.21007075161</v>
          </cell>
          <cell r="I72">
            <v>771277.14382915257</v>
          </cell>
          <cell r="J72">
            <v>0.99137381000000002</v>
          </cell>
          <cell r="K72">
            <v>284165.40615077998</v>
          </cell>
        </row>
        <row r="73">
          <cell r="B73" t="str">
            <v>Texas Transportation Institute (TTI)</v>
          </cell>
          <cell r="C73">
            <v>4507611.7977417726</v>
          </cell>
          <cell r="D73">
            <v>2253805.8988708863</v>
          </cell>
          <cell r="E73">
            <v>1188715.4254548096</v>
          </cell>
          <cell r="F73">
            <v>1065090.4734160765</v>
          </cell>
          <cell r="G73">
            <v>2253805.8988708863</v>
          </cell>
          <cell r="H73">
            <v>1188715.4254548096</v>
          </cell>
          <cell r="I73">
            <v>1065090.4734160765</v>
          </cell>
          <cell r="J73">
            <v>0.99137381000000002</v>
          </cell>
          <cell r="K73">
            <v>392416.48658611003</v>
          </cell>
        </row>
        <row r="74">
          <cell r="B74" t="str">
            <v>Texas AgriLife Research (TALR)</v>
          </cell>
          <cell r="C74">
            <v>11424500.314145375</v>
          </cell>
          <cell r="D74">
            <v>5712250.1570726875</v>
          </cell>
          <cell r="E74">
            <v>3012788.2259828779</v>
          </cell>
          <cell r="F74">
            <v>2699461.9310898092</v>
          </cell>
          <cell r="G74">
            <v>5712250.1570726875</v>
          </cell>
          <cell r="H74">
            <v>3012788.2259828779</v>
          </cell>
          <cell r="I74">
            <v>2699461.9310898092</v>
          </cell>
          <cell r="J74">
            <v>0.99137381000000002</v>
          </cell>
          <cell r="K74">
            <v>994575.94740629999</v>
          </cell>
        </row>
        <row r="75">
          <cell r="B75" t="str">
            <v>Texas AgriLife Extension Service (TALX)</v>
          </cell>
          <cell r="C75">
            <v>1271347.6112873596</v>
          </cell>
          <cell r="D75">
            <v>635673.80564367981</v>
          </cell>
          <cell r="E75">
            <v>335270.77851059125</v>
          </cell>
          <cell r="F75">
            <v>300403.02713308862</v>
          </cell>
          <cell r="G75">
            <v>635673.80564367981</v>
          </cell>
          <cell r="H75">
            <v>335270.77851059125</v>
          </cell>
          <cell r="I75">
            <v>300403.02713308862</v>
          </cell>
          <cell r="J75">
            <v>0.99137381000000002</v>
          </cell>
          <cell r="K75">
            <v>110678.95489602</v>
          </cell>
        </row>
        <row r="76">
          <cell r="B76" t="str">
            <v>Texas Vet. Med. Diagnostic Lab. (TVMDL)4</v>
          </cell>
          <cell r="C76">
            <v>1076116.5741516</v>
          </cell>
          <cell r="D76">
            <v>538058.28707580001</v>
          </cell>
          <cell r="E76">
            <v>283785.83353660675</v>
          </cell>
          <cell r="F76">
            <v>254272.45353919323</v>
          </cell>
          <cell r="G76">
            <v>538058.28707580001</v>
          </cell>
          <cell r="H76">
            <v>283785.83353660675</v>
          </cell>
          <cell r="I76">
            <v>254272.45353919323</v>
          </cell>
          <cell r="J76">
            <v>0.99137381000000002</v>
          </cell>
          <cell r="K76">
            <v>93682.842297380004</v>
          </cell>
        </row>
        <row r="77">
          <cell r="B77" t="str">
            <v>Texas Forest Service (TFS)</v>
          </cell>
          <cell r="C77">
            <v>235589.10967478994</v>
          </cell>
          <cell r="D77">
            <v>117794.55483739497</v>
          </cell>
          <cell r="E77">
            <v>62127.889735288794</v>
          </cell>
          <cell r="F77">
            <v>55666.66510210617</v>
          </cell>
          <cell r="G77">
            <v>117794.55483739497</v>
          </cell>
          <cell r="H77">
            <v>62127.889735288794</v>
          </cell>
          <cell r="I77">
            <v>55666.66510210617</v>
          </cell>
          <cell r="J77">
            <v>0.99137381000000002</v>
          </cell>
          <cell r="K77">
            <v>20509.54138128</v>
          </cell>
        </row>
        <row r="78">
          <cell r="B78" t="str">
            <v>Total</v>
          </cell>
          <cell r="C78">
            <v>33067689.64815275</v>
          </cell>
          <cell r="D78">
            <v>16533844.824076375</v>
          </cell>
          <cell r="E78">
            <v>8720376.6723221578</v>
          </cell>
          <cell r="F78">
            <v>7813468.1517542163</v>
          </cell>
          <cell r="G78">
            <v>16533844.824076375</v>
          </cell>
          <cell r="H78">
            <v>8720376.6723221578</v>
          </cell>
          <cell r="I78">
            <v>7813468.1517542163</v>
          </cell>
          <cell r="K78">
            <v>2878754.2435994297</v>
          </cell>
        </row>
      </sheetData>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CUBO"/>
      <sheetName val="I and O"/>
      <sheetName val="SCH"/>
      <sheetName val="Cost Study"/>
      <sheetName val="CBM"/>
      <sheetName val="Infrastructure"/>
      <sheetName val="Utilities"/>
      <sheetName val="TAMUG"/>
      <sheetName val="SIS"/>
      <sheetName val="Comparison"/>
      <sheetName val="Law VM Tuition"/>
      <sheetName val="Enroll Projs"/>
      <sheetName val="CPI"/>
      <sheetName val="Funding Levels"/>
    </sheetNames>
    <sheetDataSet>
      <sheetData sheetId="0"/>
      <sheetData sheetId="1"/>
      <sheetData sheetId="2"/>
      <sheetData sheetId="3"/>
      <sheetData sheetId="4"/>
      <sheetData sheetId="5">
        <row r="1">
          <cell r="A1" t="str">
            <v>Report For  BY 2010 (Spring 2011 Uncertified, but Error Free)</v>
          </cell>
        </row>
      </sheetData>
      <sheetData sheetId="6">
        <row r="3">
          <cell r="A3" t="str">
            <v>Insitution</v>
          </cell>
          <cell r="C3" t="str">
            <v>FY 2012 - FY 2013 Total</v>
          </cell>
          <cell r="D3" t="str">
            <v>FY 2012</v>
          </cell>
          <cell r="E3" t="str">
            <v>O&amp;M 
Funding</v>
          </cell>
          <cell r="F3" t="str">
            <v>Utility 
Funding</v>
          </cell>
          <cell r="G3" t="str">
            <v>FY 2013</v>
          </cell>
          <cell r="H3" t="str">
            <v>O&amp;M 
Funding</v>
          </cell>
          <cell r="I3" t="str">
            <v>Utility 
Funding</v>
          </cell>
          <cell r="J3" t="str">
            <v>Utility Rate Adjustment</v>
          </cell>
          <cell r="K3" t="str">
            <v>Adjusted Utility Square Feet</v>
          </cell>
          <cell r="L3" t="str">
            <v xml:space="preserve">Predicted
Square Feet1 </v>
          </cell>
        </row>
        <row r="4">
          <cell r="B4" t="str">
            <v>UT-Arlington</v>
          </cell>
          <cell r="C4">
            <v>28774178.886879198</v>
          </cell>
          <cell r="D4">
            <v>14387089.443439599</v>
          </cell>
          <cell r="E4">
            <v>6484606.4534401596</v>
          </cell>
          <cell r="F4">
            <v>7902482.9899994386</v>
          </cell>
          <cell r="G4">
            <v>14387089.443439599</v>
          </cell>
          <cell r="H4">
            <v>6484606.4534401596</v>
          </cell>
          <cell r="I4">
            <v>7902482.9899994386</v>
          </cell>
          <cell r="J4">
            <v>1.1249101600000002</v>
          </cell>
          <cell r="K4">
            <v>3067812.0451473487</v>
          </cell>
        </row>
        <row r="5">
          <cell r="B5" t="str">
            <v>UT-Austin</v>
          </cell>
          <cell r="C5">
            <v>109717007.32797512</v>
          </cell>
          <cell r="D5">
            <v>54858503.663987562</v>
          </cell>
          <cell r="E5">
            <v>24252915.909404933</v>
          </cell>
          <cell r="F5">
            <v>30605587.754582632</v>
          </cell>
          <cell r="G5">
            <v>54858503.663987562</v>
          </cell>
          <cell r="H5">
            <v>24252915.909404933</v>
          </cell>
          <cell r="I5">
            <v>30605587.754582632</v>
          </cell>
          <cell r="J5">
            <v>1.16486248</v>
          </cell>
          <cell r="K5">
            <v>11881353.09891119</v>
          </cell>
        </row>
        <row r="6">
          <cell r="B6" t="str">
            <v>UT-Dallas</v>
          </cell>
          <cell r="C6">
            <v>21603008.275112055</v>
          </cell>
          <cell r="D6">
            <v>10801504.137556028</v>
          </cell>
          <cell r="E6">
            <v>4856728.9344045622</v>
          </cell>
          <cell r="F6">
            <v>5944775.2031514645</v>
          </cell>
          <cell r="G6">
            <v>10801504.137556028</v>
          </cell>
          <cell r="H6">
            <v>4856728.9344045622</v>
          </cell>
          <cell r="I6">
            <v>5944775.2031514645</v>
          </cell>
          <cell r="J6">
            <v>1.1298725699999999</v>
          </cell>
          <cell r="K6">
            <v>2307812.9996610894</v>
          </cell>
        </row>
        <row r="7">
          <cell r="B7" t="str">
            <v>UT-El Paso</v>
          </cell>
          <cell r="C7">
            <v>21377315.272495672</v>
          </cell>
          <cell r="D7">
            <v>10688657.636247836</v>
          </cell>
          <cell r="E7">
            <v>5084957.7670230521</v>
          </cell>
          <cell r="F7">
            <v>5603699.869224783</v>
          </cell>
          <cell r="G7">
            <v>10688657.636247836</v>
          </cell>
          <cell r="H7">
            <v>5084957.7670230521</v>
          </cell>
          <cell r="I7">
            <v>5603699.869224783</v>
          </cell>
          <cell r="J7">
            <v>1.0172446399999999</v>
          </cell>
          <cell r="K7">
            <v>2175404.6137085874</v>
          </cell>
        </row>
        <row r="8">
          <cell r="B8" t="str">
            <v>UT-Pan American</v>
          </cell>
          <cell r="C8">
            <v>17150931.092331886</v>
          </cell>
          <cell r="D8">
            <v>8575465.5461659431</v>
          </cell>
          <cell r="E8">
            <v>3779016.3034145022</v>
          </cell>
          <cell r="F8">
            <v>4796449.2427514419</v>
          </cell>
          <cell r="G8">
            <v>8575465.5461659431</v>
          </cell>
          <cell r="H8">
            <v>3779016.3034145022</v>
          </cell>
          <cell r="I8">
            <v>4796449.2427514419</v>
          </cell>
          <cell r="J8">
            <v>1.17159897</v>
          </cell>
          <cell r="K8">
            <v>1862022.9590461666</v>
          </cell>
        </row>
        <row r="9">
          <cell r="B9" t="str">
            <v>UT-Brownsville</v>
          </cell>
          <cell r="C9">
            <v>5708323.8307687752</v>
          </cell>
          <cell r="D9">
            <v>2854161.9153843876</v>
          </cell>
          <cell r="E9">
            <v>1350414.5493757755</v>
          </cell>
          <cell r="F9">
            <v>1503747.3660086119</v>
          </cell>
          <cell r="G9">
            <v>2854161.9153843876</v>
          </cell>
          <cell r="H9">
            <v>1350414.5493757755</v>
          </cell>
          <cell r="I9">
            <v>1503747.3660086119</v>
          </cell>
          <cell r="J9">
            <v>1.02788769</v>
          </cell>
          <cell r="K9">
            <v>583767.69531017309</v>
          </cell>
        </row>
        <row r="10">
          <cell r="B10" t="str">
            <v>UT-Permian Basin</v>
          </cell>
          <cell r="C10">
            <v>3505882.1620279774</v>
          </cell>
          <cell r="D10">
            <v>1752941.0810139887</v>
          </cell>
          <cell r="E10">
            <v>811960.06125595619</v>
          </cell>
          <cell r="F10">
            <v>940981.01975803252</v>
          </cell>
          <cell r="G10">
            <v>1752941.0810139887</v>
          </cell>
          <cell r="H10">
            <v>811960.06125595619</v>
          </cell>
          <cell r="I10">
            <v>940981.01975803252</v>
          </cell>
          <cell r="J10">
            <v>1.06975442</v>
          </cell>
          <cell r="K10">
            <v>365296.9465827262</v>
          </cell>
        </row>
        <row r="11">
          <cell r="B11" t="str">
            <v>UT-San Antonio</v>
          </cell>
          <cell r="C11">
            <v>26841057.186713859</v>
          </cell>
          <cell r="D11">
            <v>13420528.59335693</v>
          </cell>
          <cell r="E11">
            <v>6379266.6327061672</v>
          </cell>
          <cell r="F11">
            <v>7041261.9606507635</v>
          </cell>
          <cell r="G11">
            <v>13420528.59335693</v>
          </cell>
          <cell r="H11">
            <v>6379266.6327061672</v>
          </cell>
          <cell r="I11">
            <v>7041261.9606507635</v>
          </cell>
          <cell r="J11">
            <v>1.0188673399999999</v>
          </cell>
          <cell r="K11">
            <v>2733478.6146656144</v>
          </cell>
        </row>
        <row r="12">
          <cell r="B12" t="str">
            <v>UT-Tyler</v>
          </cell>
          <cell r="C12">
            <v>5345126.0377391949</v>
          </cell>
          <cell r="D12">
            <v>2672563.0188695975</v>
          </cell>
          <cell r="E12">
            <v>1309536.8476707058</v>
          </cell>
          <cell r="F12">
            <v>1363026.1711988915</v>
          </cell>
          <cell r="G12">
            <v>2672563.0188695975</v>
          </cell>
          <cell r="H12">
            <v>1309536.8476707058</v>
          </cell>
          <cell r="I12">
            <v>1363026.1711988915</v>
          </cell>
          <cell r="J12">
            <v>0.96078090999999999</v>
          </cell>
          <cell r="K12">
            <v>529138.51395146479</v>
          </cell>
        </row>
        <row r="13">
          <cell r="B13" t="str">
            <v>TAMU</v>
          </cell>
          <cell r="C13">
            <v>63350127.415048331</v>
          </cell>
          <cell r="D13">
            <v>31675063.707524166</v>
          </cell>
          <cell r="E13">
            <v>15189251.231589444</v>
          </cell>
          <cell r="F13">
            <v>16485812.47593472</v>
          </cell>
          <cell r="G13">
            <v>31675063.707524166</v>
          </cell>
          <cell r="H13">
            <v>15189251.231589444</v>
          </cell>
          <cell r="I13">
            <v>16485812.47593472</v>
          </cell>
          <cell r="J13">
            <v>1.00187118</v>
          </cell>
          <cell r="K13">
            <v>6399934.5714145675</v>
          </cell>
        </row>
        <row r="14">
          <cell r="B14" t="str">
            <v>TAMU-Galveston</v>
          </cell>
          <cell r="C14">
            <v>5708922.5033713952</v>
          </cell>
          <cell r="D14">
            <v>2854461.2516856976</v>
          </cell>
          <cell r="E14">
            <v>606099.93905371206</v>
          </cell>
          <cell r="F14">
            <v>846687.31263198529</v>
          </cell>
          <cell r="G14">
            <v>2854461.2516856976</v>
          </cell>
          <cell r="H14">
            <v>606099.93905371206</v>
          </cell>
          <cell r="I14">
            <v>846687.31263198529</v>
          </cell>
          <cell r="J14">
            <v>1.2894862200000001</v>
          </cell>
          <cell r="K14">
            <v>328691.31631829403</v>
          </cell>
        </row>
        <row r="15">
          <cell r="B15" t="str">
            <v>Prairie View</v>
          </cell>
          <cell r="C15">
            <v>9611279.485257756</v>
          </cell>
          <cell r="D15">
            <v>4805639.742628878</v>
          </cell>
          <cell r="E15">
            <v>2273204.4331299271</v>
          </cell>
          <cell r="F15">
            <v>2532435.3094989508</v>
          </cell>
          <cell r="G15">
            <v>4805639.742628878</v>
          </cell>
          <cell r="H15">
            <v>2273204.4331299271</v>
          </cell>
          <cell r="I15">
            <v>2532435.3094989508</v>
          </cell>
          <cell r="J15">
            <v>1.0283424400000001</v>
          </cell>
          <cell r="K15">
            <v>983113.22604161489</v>
          </cell>
        </row>
        <row r="16">
          <cell r="B16" t="str">
            <v>Tarleton</v>
          </cell>
          <cell r="C16">
            <v>9609466.2331559155</v>
          </cell>
          <cell r="D16">
            <v>4804733.1165779578</v>
          </cell>
          <cell r="E16">
            <v>1914013.7363242113</v>
          </cell>
          <cell r="F16">
            <v>2890719.3802537462</v>
          </cell>
          <cell r="G16">
            <v>4804733.1165779578</v>
          </cell>
          <cell r="H16">
            <v>1914013.7363242113</v>
          </cell>
          <cell r="I16">
            <v>2890719.3802537462</v>
          </cell>
          <cell r="J16">
            <v>1.3941155700000001</v>
          </cell>
          <cell r="K16">
            <v>1122202.1920333107</v>
          </cell>
        </row>
        <row r="17">
          <cell r="B17" t="str">
            <v>TAMU-Central</v>
          </cell>
          <cell r="C17">
            <v>1797006.9086982145</v>
          </cell>
          <cell r="D17">
            <v>898503.45434910723</v>
          </cell>
          <cell r="E17">
            <v>326045.03580438928</v>
          </cell>
          <cell r="F17">
            <v>572458.41854471795</v>
          </cell>
          <cell r="G17">
            <v>898503.45434910723</v>
          </cell>
          <cell r="H17">
            <v>326045.03580438928</v>
          </cell>
          <cell r="I17">
            <v>572458.41854471795</v>
          </cell>
          <cell r="J17">
            <v>1.62070603</v>
          </cell>
          <cell r="K17">
            <v>222233.29477329415</v>
          </cell>
        </row>
        <row r="18">
          <cell r="B18" t="str">
            <v>TAMU-CC</v>
          </cell>
          <cell r="C18">
            <v>12043764.227252744</v>
          </cell>
          <cell r="D18">
            <v>6021882.1136263721</v>
          </cell>
          <cell r="E18">
            <v>2323965.2866370226</v>
          </cell>
          <cell r="F18">
            <v>3697916.8269893494</v>
          </cell>
          <cell r="G18">
            <v>6021882.1136263721</v>
          </cell>
          <cell r="H18">
            <v>2323965.2866370226</v>
          </cell>
          <cell r="I18">
            <v>3697916.8269893494</v>
          </cell>
          <cell r="J18">
            <v>1.4688092399999999</v>
          </cell>
          <cell r="K18">
            <v>1435563.2018629371</v>
          </cell>
        </row>
        <row r="19">
          <cell r="B19" t="str">
            <v>TAMU-Kingsville</v>
          </cell>
          <cell r="C19">
            <v>7954019.8083173521</v>
          </cell>
          <cell r="D19">
            <v>3977009.904158676</v>
          </cell>
          <cell r="E19">
            <v>1750407.8817218563</v>
          </cell>
          <cell r="F19">
            <v>2226602.0224368195</v>
          </cell>
          <cell r="G19">
            <v>3977009.904158676</v>
          </cell>
          <cell r="H19">
            <v>1750407.8817218563</v>
          </cell>
          <cell r="I19">
            <v>2226602.0224368195</v>
          </cell>
          <cell r="J19">
            <v>1.17419772</v>
          </cell>
          <cell r="K19">
            <v>864386.106597821</v>
          </cell>
        </row>
        <row r="20">
          <cell r="B20" t="str">
            <v>TAMU-San Antonio</v>
          </cell>
          <cell r="C20">
            <v>2685226.6436393689</v>
          </cell>
          <cell r="D20">
            <v>1342613.3218196845</v>
          </cell>
          <cell r="E20">
            <v>481089.34481997567</v>
          </cell>
          <cell r="F20">
            <v>861523.97699970868</v>
          </cell>
          <cell r="G20">
            <v>1342613.3218196845</v>
          </cell>
          <cell r="H20">
            <v>481089.34481997567</v>
          </cell>
          <cell r="I20">
            <v>861523.97699970868</v>
          </cell>
          <cell r="J20">
            <v>1.65302539</v>
          </cell>
          <cell r="K20">
            <v>334451.03737238684</v>
          </cell>
        </row>
        <row r="21">
          <cell r="B21" t="str">
            <v>TAMI</v>
          </cell>
          <cell r="C21">
            <v>5715745.6222505905</v>
          </cell>
          <cell r="D21">
            <v>2857872.8111252952</v>
          </cell>
          <cell r="E21">
            <v>1273094.8913852083</v>
          </cell>
          <cell r="F21">
            <v>1584777.9197400869</v>
          </cell>
          <cell r="G21">
            <v>2857872.8111252952</v>
          </cell>
          <cell r="H21">
            <v>1273094.8913852083</v>
          </cell>
          <cell r="I21">
            <v>1584777.9197400869</v>
          </cell>
          <cell r="J21">
            <v>1.1490674700000001</v>
          </cell>
          <cell r="K21">
            <v>615224.45504973398</v>
          </cell>
        </row>
        <row r="22">
          <cell r="B22" t="str">
            <v>WTAMU</v>
          </cell>
          <cell r="C22">
            <v>7607077.45645996</v>
          </cell>
          <cell r="D22">
            <v>3803538.72822998</v>
          </cell>
          <cell r="E22">
            <v>1735120.6584092684</v>
          </cell>
          <cell r="F22">
            <v>2068418.0698207114</v>
          </cell>
          <cell r="G22">
            <v>3803538.72822998</v>
          </cell>
          <cell r="H22">
            <v>1735120.6584092684</v>
          </cell>
          <cell r="I22">
            <v>2068418.0698207114</v>
          </cell>
          <cell r="J22">
            <v>1.1003897499999999</v>
          </cell>
          <cell r="K22">
            <v>802977.73206555913</v>
          </cell>
        </row>
        <row r="23">
          <cell r="B23" t="str">
            <v>TAMU-Commerce</v>
          </cell>
          <cell r="C23">
            <v>8643081.9792225324</v>
          </cell>
          <cell r="D23">
            <v>4321540.9896112662</v>
          </cell>
          <cell r="E23">
            <v>1811610.5784128527</v>
          </cell>
          <cell r="F23">
            <v>2509930.411198413</v>
          </cell>
          <cell r="G23">
            <v>4321540.9896112662</v>
          </cell>
          <cell r="H23">
            <v>1811610.5784128527</v>
          </cell>
          <cell r="I23">
            <v>2509930.411198413</v>
          </cell>
          <cell r="J23">
            <v>1.2788945199999997</v>
          </cell>
          <cell r="K23">
            <v>974376.63044646126</v>
          </cell>
        </row>
        <row r="24">
          <cell r="B24" t="str">
            <v>TAMU-Texarkana</v>
          </cell>
          <cell r="C24">
            <v>1382117.053959361</v>
          </cell>
          <cell r="D24">
            <v>691058.52697968052</v>
          </cell>
          <cell r="E24">
            <v>350453.18994757952</v>
          </cell>
          <cell r="F24">
            <v>340605.337032101</v>
          </cell>
          <cell r="G24">
            <v>691058.52697968052</v>
          </cell>
          <cell r="H24">
            <v>350453.18994757952</v>
          </cell>
          <cell r="I24">
            <v>340605.337032101</v>
          </cell>
          <cell r="J24">
            <v>0.89713815000000008</v>
          </cell>
          <cell r="K24">
            <v>132225.9291049263</v>
          </cell>
        </row>
        <row r="25">
          <cell r="B25" t="str">
            <v>UH</v>
          </cell>
          <cell r="C25">
            <v>45773712.23842638</v>
          </cell>
          <cell r="D25">
            <v>22886856.11921319</v>
          </cell>
          <cell r="E25">
            <v>10217163.724556096</v>
          </cell>
          <cell r="F25">
            <v>12669692.394657094</v>
          </cell>
          <cell r="G25">
            <v>22886856.11921319</v>
          </cell>
          <cell r="H25">
            <v>10217163.724556096</v>
          </cell>
          <cell r="I25">
            <v>12669692.394657094</v>
          </cell>
          <cell r="J25">
            <v>1.14465237</v>
          </cell>
          <cell r="K25">
            <v>4918483.8468907038</v>
          </cell>
        </row>
        <row r="26">
          <cell r="B26" t="str">
            <v>UH-Clear Lake</v>
          </cell>
          <cell r="C26">
            <v>5911588.8945033699</v>
          </cell>
          <cell r="D26">
            <v>2955794.447251685</v>
          </cell>
          <cell r="E26">
            <v>1397624.4579013574</v>
          </cell>
          <cell r="F26">
            <v>1558169.9893503275</v>
          </cell>
          <cell r="G26">
            <v>2955794.447251685</v>
          </cell>
          <cell r="H26">
            <v>1397624.4579013574</v>
          </cell>
          <cell r="I26">
            <v>1558169.9893503275</v>
          </cell>
          <cell r="J26">
            <v>1.0291110400000001</v>
          </cell>
          <cell r="K26">
            <v>604895.02701433725</v>
          </cell>
        </row>
        <row r="27">
          <cell r="B27" t="str">
            <v>UH-Downtown</v>
          </cell>
          <cell r="C27">
            <v>9157106.3765570503</v>
          </cell>
          <cell r="D27">
            <v>4578553.1882785251</v>
          </cell>
          <cell r="E27">
            <v>2014554.6209960473</v>
          </cell>
          <cell r="F27">
            <v>2563998.5672824779</v>
          </cell>
          <cell r="G27">
            <v>4578553.1882785251</v>
          </cell>
          <cell r="H27">
            <v>2014554.6209960473</v>
          </cell>
          <cell r="I27">
            <v>2563998.5672824779</v>
          </cell>
          <cell r="J27">
            <v>1.17483432</v>
          </cell>
          <cell r="K27">
            <v>995366.35490439564</v>
          </cell>
        </row>
        <row r="28">
          <cell r="B28" t="str">
            <v>UH-Victoria</v>
          </cell>
          <cell r="C28">
            <v>2868700.3190174019</v>
          </cell>
          <cell r="D28">
            <v>1434350.1595087009</v>
          </cell>
          <cell r="E28">
            <v>611365.63215490454</v>
          </cell>
          <cell r="F28">
            <v>822984.52735379653</v>
          </cell>
          <cell r="G28">
            <v>1434350.1595087009</v>
          </cell>
          <cell r="H28">
            <v>611365.63215490454</v>
          </cell>
          <cell r="I28">
            <v>822984.52735379653</v>
          </cell>
          <cell r="J28">
            <v>1.2425919700000001</v>
          </cell>
          <cell r="K28">
            <v>319489.69066823059</v>
          </cell>
        </row>
        <row r="29">
          <cell r="B29" t="str">
            <v>Midwestern</v>
          </cell>
          <cell r="C29">
            <v>5865451.8499927111</v>
          </cell>
          <cell r="D29">
            <v>2932725.9249963555</v>
          </cell>
          <cell r="E29">
            <v>1273536.957313509</v>
          </cell>
          <cell r="F29">
            <v>1659188.9676828468</v>
          </cell>
          <cell r="G29">
            <v>2932725.9249963555</v>
          </cell>
          <cell r="H29">
            <v>1273536.957313509</v>
          </cell>
          <cell r="I29">
            <v>1659188.9676828468</v>
          </cell>
          <cell r="J29">
            <v>1.2026027500000001</v>
          </cell>
          <cell r="K29">
            <v>644111.46555766196</v>
          </cell>
        </row>
        <row r="30">
          <cell r="B30" t="str">
            <v>UNT</v>
          </cell>
          <cell r="C30">
            <v>33713749.249093249</v>
          </cell>
          <cell r="D30">
            <v>16856874.624546625</v>
          </cell>
          <cell r="E30">
            <v>7742527.8684881162</v>
          </cell>
          <cell r="F30">
            <v>9114346.7560585067</v>
          </cell>
          <cell r="G30">
            <v>16856874.624546625</v>
          </cell>
          <cell r="H30">
            <v>7742527.8684881162</v>
          </cell>
          <cell r="I30">
            <v>9114346.7560585067</v>
          </cell>
          <cell r="J30">
            <v>1.0866274300000001</v>
          </cell>
          <cell r="K30">
            <v>3538268.0098483749</v>
          </cell>
        </row>
        <row r="31">
          <cell r="B31" t="str">
            <v>UNT-Dallas</v>
          </cell>
          <cell r="C31">
            <v>2276582.6287558633</v>
          </cell>
          <cell r="D31">
            <v>1138291.3143779316</v>
          </cell>
          <cell r="E31">
            <v>468293.31934790034</v>
          </cell>
          <cell r="F31">
            <v>669997.99503003131</v>
          </cell>
          <cell r="G31">
            <v>1138291.3143779316</v>
          </cell>
          <cell r="H31">
            <v>468293.31934790034</v>
          </cell>
          <cell r="I31">
            <v>669997.99503003131</v>
          </cell>
          <cell r="J31">
            <v>1.32066733</v>
          </cell>
          <cell r="K31">
            <v>260098.99951430957</v>
          </cell>
        </row>
        <row r="32">
          <cell r="B32" t="str">
            <v>SFA</v>
          </cell>
          <cell r="C32">
            <v>13050096.803484164</v>
          </cell>
          <cell r="D32">
            <v>6525048.4017420821</v>
          </cell>
          <cell r="E32">
            <v>2828098.2453449587</v>
          </cell>
          <cell r="F32">
            <v>3696950.1563971238</v>
          </cell>
          <cell r="G32">
            <v>6525048.4017420821</v>
          </cell>
          <cell r="H32">
            <v>2828098.2453449587</v>
          </cell>
          <cell r="I32">
            <v>3696950.1563971238</v>
          </cell>
          <cell r="J32">
            <v>1.20666578</v>
          </cell>
          <cell r="K32">
            <v>1435187.932002784</v>
          </cell>
        </row>
        <row r="33">
          <cell r="B33" t="str">
            <v>TSU</v>
          </cell>
          <cell r="C33">
            <v>12606709.993801983</v>
          </cell>
          <cell r="D33">
            <v>6303354.9969009915</v>
          </cell>
          <cell r="E33">
            <v>2691966.9804682774</v>
          </cell>
          <cell r="F33">
            <v>3611388.0164327142</v>
          </cell>
          <cell r="G33">
            <v>6303354.9969009915</v>
          </cell>
          <cell r="H33">
            <v>2691966.9804682774</v>
          </cell>
          <cell r="I33">
            <v>3611388.0164327142</v>
          </cell>
          <cell r="J33">
            <v>1.2383468899999999</v>
          </cell>
          <cell r="K33">
            <v>1401971.9714086798</v>
          </cell>
        </row>
        <row r="34">
          <cell r="B34" t="str">
            <v>TTU</v>
          </cell>
          <cell r="C34">
            <v>37219579.077593289</v>
          </cell>
          <cell r="D34">
            <v>18609789.538796645</v>
          </cell>
          <cell r="E34">
            <v>9063945.8867170513</v>
          </cell>
          <cell r="F34">
            <v>9545843.6520795934</v>
          </cell>
          <cell r="G34">
            <v>18609789.538796645</v>
          </cell>
          <cell r="H34">
            <v>9063945.8867170513</v>
          </cell>
          <cell r="I34">
            <v>9545843.6520795934</v>
          </cell>
          <cell r="J34">
            <v>0.97215363999999993</v>
          </cell>
          <cell r="K34">
            <v>3705778.8259719131</v>
          </cell>
        </row>
        <row r="35">
          <cell r="B35" t="str">
            <v>Angelo</v>
          </cell>
          <cell r="C35">
            <v>6818350.2517482918</v>
          </cell>
          <cell r="D35">
            <v>3409175.1258741459</v>
          </cell>
          <cell r="E35">
            <v>1459207.53512762</v>
          </cell>
          <cell r="F35">
            <v>1949967.5907465261</v>
          </cell>
          <cell r="G35">
            <v>3409175.1258741459</v>
          </cell>
          <cell r="H35">
            <v>1459207.53512762</v>
          </cell>
          <cell r="I35">
            <v>1949967.5907465261</v>
          </cell>
          <cell r="J35">
            <v>1.2335257599999998</v>
          </cell>
          <cell r="K35">
            <v>756994.23461075663</v>
          </cell>
        </row>
        <row r="36">
          <cell r="B36" t="str">
            <v>TWU</v>
          </cell>
          <cell r="C36">
            <v>11476034.973522253</v>
          </cell>
          <cell r="D36">
            <v>5738017.4867611267</v>
          </cell>
          <cell r="E36">
            <v>2683554.5877049631</v>
          </cell>
          <cell r="F36">
            <v>3054462.8990561636</v>
          </cell>
          <cell r="G36">
            <v>5738017.4867611267</v>
          </cell>
          <cell r="H36">
            <v>2683554.5877049631</v>
          </cell>
          <cell r="I36">
            <v>3054462.8990561636</v>
          </cell>
          <cell r="J36">
            <v>1.0506602800000002</v>
          </cell>
          <cell r="K36">
            <v>1185768.8381029789</v>
          </cell>
        </row>
        <row r="37">
          <cell r="B37" t="str">
            <v>Lamar</v>
          </cell>
          <cell r="C37">
            <v>10567161.268997066</v>
          </cell>
          <cell r="D37">
            <v>5283580.6344985329</v>
          </cell>
          <cell r="E37">
            <v>2648234.3619206231</v>
          </cell>
          <cell r="F37">
            <v>2635346.2725779093</v>
          </cell>
          <cell r="G37">
            <v>5283580.6344985329</v>
          </cell>
          <cell r="H37">
            <v>2648234.3619206231</v>
          </cell>
          <cell r="I37">
            <v>2635346.2725779093</v>
          </cell>
          <cell r="J37">
            <v>0.91858460999999991</v>
          </cell>
          <cell r="K37">
            <v>1023064.1493793651</v>
          </cell>
        </row>
        <row r="38">
          <cell r="B38" t="str">
            <v>Sam Houston</v>
          </cell>
          <cell r="C38">
            <v>15181113.590270456</v>
          </cell>
          <cell r="D38">
            <v>7590556.795135228</v>
          </cell>
          <cell r="E38">
            <v>3562081.3122848826</v>
          </cell>
          <cell r="F38">
            <v>4028475.4828503453</v>
          </cell>
          <cell r="G38">
            <v>7590556.795135228</v>
          </cell>
          <cell r="H38">
            <v>3562081.3122848826</v>
          </cell>
          <cell r="I38">
            <v>4028475.4828503453</v>
          </cell>
          <cell r="J38">
            <v>1.0439381999999999</v>
          </cell>
          <cell r="K38">
            <v>1563888.9226979467</v>
          </cell>
        </row>
        <row r="39">
          <cell r="B39" t="str">
            <v>TxStU-SM</v>
          </cell>
          <cell r="C39">
            <v>29555589.025835741</v>
          </cell>
          <cell r="D39">
            <v>14777794.512917871</v>
          </cell>
          <cell r="E39">
            <v>6649786.6955529982</v>
          </cell>
          <cell r="F39">
            <v>8128007.8173648724</v>
          </cell>
          <cell r="G39">
            <v>14777794.512917871</v>
          </cell>
          <cell r="H39">
            <v>6649786.6955529982</v>
          </cell>
          <cell r="I39">
            <v>8128007.8173648724</v>
          </cell>
          <cell r="J39">
            <v>1.1282732500000001</v>
          </cell>
          <cell r="K39">
            <v>3155362.7279829853</v>
          </cell>
        </row>
        <row r="40">
          <cell r="B40" t="str">
            <v>Sul Ross</v>
          </cell>
          <cell r="C40">
            <v>3359581.6448495379</v>
          </cell>
          <cell r="D40">
            <v>1679790.8224247689</v>
          </cell>
          <cell r="E40">
            <v>601522.76901936834</v>
          </cell>
          <cell r="F40">
            <v>1078268.0534054006</v>
          </cell>
          <cell r="G40">
            <v>1679790.8224247689</v>
          </cell>
          <cell r="H40">
            <v>601522.76901936834</v>
          </cell>
          <cell r="I40">
            <v>1078268.0534054006</v>
          </cell>
          <cell r="J40">
            <v>1.6546744499999999</v>
          </cell>
          <cell r="K40">
            <v>418592.95696312626</v>
          </cell>
        </row>
        <row r="41">
          <cell r="B41" t="str">
            <v>Sul Ross - RG</v>
          </cell>
          <cell r="C41">
            <v>344152.88510861818</v>
          </cell>
          <cell r="D41">
            <v>172076.44255430909</v>
          </cell>
          <cell r="E41">
            <v>172076.44255430909</v>
          </cell>
          <cell r="F41">
            <v>0</v>
          </cell>
          <cell r="G41">
            <v>172076.44255430909</v>
          </cell>
          <cell r="H41">
            <v>172076.44255430909</v>
          </cell>
          <cell r="I41">
            <v>0</v>
          </cell>
          <cell r="J41">
            <v>0</v>
          </cell>
          <cell r="K41">
            <v>0</v>
          </cell>
        </row>
        <row r="42">
          <cell r="B42" t="str">
            <v>TAMU-CVM</v>
          </cell>
          <cell r="C42">
            <v>6459323.375</v>
          </cell>
          <cell r="D42">
            <v>3229661.6875</v>
          </cell>
          <cell r="E42">
            <v>3229661.6875</v>
          </cell>
          <cell r="G42">
            <v>3229661.6875</v>
          </cell>
          <cell r="H42">
            <v>3229661.6875</v>
          </cell>
        </row>
        <row r="43">
          <cell r="B43" t="str">
            <v>Total Universities</v>
          </cell>
          <cell r="C43">
            <v>628335249.85523474</v>
          </cell>
          <cell r="D43">
            <v>314167624.92761737</v>
          </cell>
          <cell r="E43">
            <v>143658962.75088418</v>
          </cell>
          <cell r="F43">
            <v>169106988.17673308</v>
          </cell>
          <cell r="G43">
            <v>314167624.92761737</v>
          </cell>
          <cell r="H43">
            <v>143658962.75088418</v>
          </cell>
          <cell r="I43">
            <v>169106988.17673308</v>
          </cell>
          <cell r="K43">
            <v>65648791.133583836</v>
          </cell>
        </row>
        <row r="44">
          <cell r="B44" t="str">
            <v>TSTC-Harlingen</v>
          </cell>
          <cell r="C44">
            <v>5280450.5362915322</v>
          </cell>
          <cell r="D44">
            <v>2640225.2681457661</v>
          </cell>
          <cell r="E44">
            <v>1040611.9281960414</v>
          </cell>
          <cell r="F44">
            <v>1599613.339949725</v>
          </cell>
          <cell r="G44">
            <v>2640225.2681457661</v>
          </cell>
          <cell r="H44">
            <v>1040611.9281960414</v>
          </cell>
          <cell r="I44">
            <v>1599613.339949725</v>
          </cell>
          <cell r="J44">
            <v>1.4189402599999998</v>
          </cell>
          <cell r="K44">
            <v>620983.69311092887</v>
          </cell>
        </row>
        <row r="45">
          <cell r="B45" t="str">
            <v>TSTC-West Texas</v>
          </cell>
          <cell r="C45">
            <v>2266189.1170991128</v>
          </cell>
          <cell r="D45">
            <v>1133094.5585495564</v>
          </cell>
          <cell r="E45">
            <v>342316.13109345734</v>
          </cell>
          <cell r="F45">
            <v>790778.42745609919</v>
          </cell>
          <cell r="G45">
            <v>1133094.5585495564</v>
          </cell>
          <cell r="H45">
            <v>342316.13109345734</v>
          </cell>
          <cell r="I45">
            <v>790778.42745609919</v>
          </cell>
          <cell r="J45">
            <v>2.13238364</v>
          </cell>
          <cell r="K45">
            <v>306987.00495306886</v>
          </cell>
        </row>
        <row r="46">
          <cell r="B46" t="str">
            <v>TSTC-Marshall</v>
          </cell>
          <cell r="C46">
            <v>788621.28418724553</v>
          </cell>
          <cell r="D46">
            <v>394310.64209362277</v>
          </cell>
          <cell r="E46">
            <v>198982.20301786024</v>
          </cell>
          <cell r="F46">
            <v>195328.43907576252</v>
          </cell>
          <cell r="G46">
            <v>394310.64209362277</v>
          </cell>
          <cell r="H46">
            <v>198982.20301786024</v>
          </cell>
          <cell r="I46">
            <v>195328.43907576252</v>
          </cell>
          <cell r="J46">
            <v>0.90612714000000005</v>
          </cell>
          <cell r="K46">
            <v>75828.184497806418</v>
          </cell>
        </row>
        <row r="47">
          <cell r="B47" t="str">
            <v>TSTC-Waco</v>
          </cell>
          <cell r="C47">
            <v>7258481.7088005599</v>
          </cell>
          <cell r="D47">
            <v>3629240.8544002799</v>
          </cell>
          <cell r="E47">
            <v>1474938.368955266</v>
          </cell>
          <cell r="F47">
            <v>2154302.4854450142</v>
          </cell>
          <cell r="G47">
            <v>3629240.8544002799</v>
          </cell>
          <cell r="H47">
            <v>1474938.368955266</v>
          </cell>
          <cell r="I47">
            <v>2154302.4854450142</v>
          </cell>
          <cell r="J47">
            <v>1.3482508500000001</v>
          </cell>
          <cell r="K47">
            <v>836318.80285003362</v>
          </cell>
        </row>
        <row r="48">
          <cell r="B48" t="str">
            <v>Lamar-IOT</v>
          </cell>
          <cell r="C48">
            <v>2177034.3285536775</v>
          </cell>
          <cell r="D48">
            <v>1088517.1642768388</v>
          </cell>
          <cell r="E48">
            <v>596659.48082407913</v>
          </cell>
          <cell r="F48">
            <v>491857.68345275958</v>
          </cell>
          <cell r="G48">
            <v>1088517.1642768388</v>
          </cell>
          <cell r="H48">
            <v>596659.48082407913</v>
          </cell>
          <cell r="I48">
            <v>491857.68345275958</v>
          </cell>
          <cell r="J48">
            <v>0.76094068999999998</v>
          </cell>
          <cell r="K48">
            <v>190943.39433620911</v>
          </cell>
        </row>
        <row r="49">
          <cell r="B49" t="str">
            <v>Lamar-Orange</v>
          </cell>
          <cell r="C49">
            <v>1896543.1267362759</v>
          </cell>
          <cell r="D49">
            <v>948271.56336813793</v>
          </cell>
          <cell r="E49">
            <v>443748.56014510535</v>
          </cell>
          <cell r="F49">
            <v>504523.00322303263</v>
          </cell>
          <cell r="G49">
            <v>948271.56336813793</v>
          </cell>
          <cell r="H49">
            <v>443748.56014510535</v>
          </cell>
          <cell r="I49">
            <v>504523.00322303263</v>
          </cell>
          <cell r="J49">
            <v>1.0494987099999999</v>
          </cell>
          <cell r="K49">
            <v>195860.18069260585</v>
          </cell>
        </row>
        <row r="50">
          <cell r="B50" t="str">
            <v>Lamar-Port Arthur</v>
          </cell>
          <cell r="C50">
            <v>2209188.043096737</v>
          </cell>
          <cell r="D50">
            <v>1104594.0215483685</v>
          </cell>
          <cell r="E50">
            <v>523516.20297679433</v>
          </cell>
          <cell r="F50">
            <v>581077.81857157417</v>
          </cell>
          <cell r="G50">
            <v>1104594.0215483685</v>
          </cell>
          <cell r="H50">
            <v>523516.20297679433</v>
          </cell>
          <cell r="I50">
            <v>581077.81857157417</v>
          </cell>
          <cell r="J50">
            <v>1.0245710100000001</v>
          </cell>
          <cell r="K50">
            <v>225579.42019460743</v>
          </cell>
        </row>
        <row r="51">
          <cell r="B51" t="str">
            <v>Total TSTC and Lamar</v>
          </cell>
          <cell r="C51">
            <v>21876508.144765139</v>
          </cell>
          <cell r="D51">
            <v>10938254.072382569</v>
          </cell>
          <cell r="E51">
            <v>4620772.8752086032</v>
          </cell>
          <cell r="F51">
            <v>6317481.197173967</v>
          </cell>
          <cell r="G51">
            <v>10938254.072382569</v>
          </cell>
          <cell r="H51">
            <v>4620772.8752086032</v>
          </cell>
          <cell r="I51">
            <v>6317481.197173967</v>
          </cell>
          <cell r="K51">
            <v>2452500.68063526</v>
          </cell>
        </row>
        <row r="52">
          <cell r="B52" t="str">
            <v>Formula Total</v>
          </cell>
          <cell r="C52">
            <v>650211758</v>
          </cell>
          <cell r="D52">
            <v>325105879</v>
          </cell>
          <cell r="E52">
            <v>148279735.62609279</v>
          </cell>
          <cell r="F52">
            <v>175424469.37390703</v>
          </cell>
          <cell r="G52">
            <v>325105879</v>
          </cell>
          <cell r="H52">
            <v>148279735.62609279</v>
          </cell>
          <cell r="I52">
            <v>175424469.37390703</v>
          </cell>
          <cell r="K52">
            <v>68101291.814219102</v>
          </cell>
        </row>
        <row r="54">
          <cell r="B54" t="str">
            <v>Small Institution Set-Aside</v>
          </cell>
          <cell r="C54">
            <v>26628150</v>
          </cell>
          <cell r="D54" t="str">
            <v>Not included in Table Above</v>
          </cell>
        </row>
        <row r="55">
          <cell r="B55" t="str">
            <v>TAMUG Set-Aside</v>
          </cell>
          <cell r="C55">
            <v>2803348</v>
          </cell>
          <cell r="D55" t="str">
            <v>Added to TAMUG's Annual amount in table above</v>
          </cell>
        </row>
        <row r="56">
          <cell r="B56" t="str">
            <v>Total Appropriation</v>
          </cell>
          <cell r="C56">
            <v>676839908</v>
          </cell>
        </row>
        <row r="57">
          <cell r="B57" t="str">
            <v/>
          </cell>
          <cell r="C57" t="str">
            <v>Rates</v>
          </cell>
          <cell r="D57">
            <v>4.9537202571176158</v>
          </cell>
          <cell r="E57">
            <v>2.3777857234164554</v>
          </cell>
          <cell r="F57">
            <v>2.5759345337011603</v>
          </cell>
          <cell r="G57">
            <v>4.9537202571176158</v>
          </cell>
          <cell r="H57">
            <v>2.3777857234164554</v>
          </cell>
          <cell r="I57">
            <v>2.5759345337011603</v>
          </cell>
          <cell r="J57" t="str">
            <v>HRI Rate3</v>
          </cell>
          <cell r="K57">
            <v>6.25</v>
          </cell>
        </row>
        <row r="58">
          <cell r="C58" t="str">
            <v>Percentages2</v>
          </cell>
          <cell r="D58">
            <v>1</v>
          </cell>
          <cell r="E58">
            <v>0.48</v>
          </cell>
          <cell r="F58">
            <v>0.52</v>
          </cell>
          <cell r="G58">
            <v>1</v>
          </cell>
          <cell r="H58">
            <v>0.52</v>
          </cell>
          <cell r="I58">
            <v>0.48</v>
          </cell>
        </row>
        <row r="59">
          <cell r="D59">
            <v>5.8541475290984097</v>
          </cell>
          <cell r="E59">
            <v>0.90042727198079398</v>
          </cell>
        </row>
        <row r="68">
          <cell r="C68" t="str">
            <v>FY 2012 - FY 2013 Total</v>
          </cell>
          <cell r="D68" t="str">
            <v>FY 2012</v>
          </cell>
          <cell r="E68" t="str">
            <v>O&amp;M 
Funding</v>
          </cell>
          <cell r="F68" t="str">
            <v>Utility 
Funding</v>
          </cell>
          <cell r="G68" t="str">
            <v>FY 2013</v>
          </cell>
          <cell r="H68" t="str">
            <v>O&amp;M 
Funding</v>
          </cell>
          <cell r="I68" t="str">
            <v>Utility 
Funding</v>
          </cell>
          <cell r="J68" t="str">
            <v>Utility Rate Adjustment</v>
          </cell>
          <cell r="K68" t="str">
            <v>Adjusted Utility Square Feet</v>
          </cell>
        </row>
        <row r="69">
          <cell r="B69" t="str">
            <v>Texas Engineering Experiment Station (TEES)</v>
          </cell>
          <cell r="C69">
            <v>7933803.3100056592</v>
          </cell>
          <cell r="D69">
            <v>3966901.6550028296</v>
          </cell>
          <cell r="E69">
            <v>1902261.8677332923</v>
          </cell>
          <cell r="F69">
            <v>2064639.7872695373</v>
          </cell>
          <cell r="G69">
            <v>3966901.6550028296</v>
          </cell>
          <cell r="H69">
            <v>1902261.8677332923</v>
          </cell>
          <cell r="I69">
            <v>2064639.7872695373</v>
          </cell>
          <cell r="J69">
            <v>1.00187118</v>
          </cell>
          <cell r="K69">
            <v>801510.97019651998</v>
          </cell>
        </row>
        <row r="70">
          <cell r="B70" t="str">
            <v>Texas Engineering Extension Service (TEEX)</v>
          </cell>
          <cell r="C70">
            <v>2895728.0293867262</v>
          </cell>
          <cell r="D70">
            <v>1447864.0146933631</v>
          </cell>
          <cell r="E70">
            <v>694299.16452326451</v>
          </cell>
          <cell r="F70">
            <v>753564.85017009871</v>
          </cell>
          <cell r="G70">
            <v>1447864.0146933631</v>
          </cell>
          <cell r="H70">
            <v>694299.16452326451</v>
          </cell>
          <cell r="I70">
            <v>753564.85017009871</v>
          </cell>
          <cell r="J70">
            <v>1.00187118</v>
          </cell>
          <cell r="K70">
            <v>292540.37333292002</v>
          </cell>
        </row>
        <row r="71">
          <cell r="B71" t="str">
            <v>Texas Transportation Institute (TTI)</v>
          </cell>
          <cell r="C71">
            <v>3351318.7116268617</v>
          </cell>
          <cell r="D71">
            <v>1675659.3558134309</v>
          </cell>
          <cell r="E71">
            <v>803534.64065701643</v>
          </cell>
          <cell r="F71">
            <v>872124.71515641443</v>
          </cell>
          <cell r="G71">
            <v>1675659.3558134309</v>
          </cell>
          <cell r="H71">
            <v>803534.64065701643</v>
          </cell>
          <cell r="I71">
            <v>872124.71515641443</v>
          </cell>
          <cell r="J71">
            <v>1.00187118</v>
          </cell>
          <cell r="K71">
            <v>338566.33534211997</v>
          </cell>
        </row>
        <row r="72">
          <cell r="B72" t="str">
            <v>Texas AgriLife Research (TAES)</v>
          </cell>
          <cell r="C72">
            <v>10000274.977654513</v>
          </cell>
          <cell r="D72">
            <v>5000137.4888272565</v>
          </cell>
          <cell r="E72">
            <v>2397732.9678501962</v>
          </cell>
          <cell r="F72">
            <v>2602404.5209770598</v>
          </cell>
          <cell r="G72">
            <v>5000137.4888272565</v>
          </cell>
          <cell r="H72">
            <v>2397732.9678501962</v>
          </cell>
          <cell r="I72">
            <v>2602404.5209770598</v>
          </cell>
          <cell r="J72">
            <v>1.00187118</v>
          </cell>
          <cell r="K72">
            <v>1010275.8773290199</v>
          </cell>
        </row>
        <row r="73">
          <cell r="B73" t="str">
            <v>Texas AgriLife Extension Service (TAEX)</v>
          </cell>
          <cell r="C73">
            <v>1285997.4253262866</v>
          </cell>
          <cell r="D73">
            <v>642998.71266314329</v>
          </cell>
          <cell r="E73">
            <v>308339.36368402885</v>
          </cell>
          <cell r="F73">
            <v>334659.34897911444</v>
          </cell>
          <cell r="G73">
            <v>642998.71266314329</v>
          </cell>
          <cell r="H73">
            <v>308339.36368402885</v>
          </cell>
          <cell r="I73">
            <v>334659.34897911444</v>
          </cell>
          <cell r="J73">
            <v>1.00187118</v>
          </cell>
          <cell r="K73">
            <v>129917.6452665</v>
          </cell>
        </row>
        <row r="74">
          <cell r="B74" t="str">
            <v>Texas Vet. Med. Diagnostic Lab. (TVMDL)4</v>
          </cell>
          <cell r="C74">
            <v>984567.76083588763</v>
          </cell>
          <cell r="D74">
            <v>492283.88041794382</v>
          </cell>
          <cell r="E74">
            <v>236066.56662078568</v>
          </cell>
          <cell r="F74">
            <v>256217.31379715813</v>
          </cell>
          <cell r="G74">
            <v>492283.88041794382</v>
          </cell>
          <cell r="H74">
            <v>236066.56662078568</v>
          </cell>
          <cell r="I74">
            <v>256217.31379715813</v>
          </cell>
          <cell r="J74">
            <v>1.00187118</v>
          </cell>
          <cell r="K74">
            <v>99465.770750399999</v>
          </cell>
        </row>
        <row r="75">
          <cell r="B75" t="str">
            <v>Texas Forest Service (TFS)</v>
          </cell>
          <cell r="C75">
            <v>210995.80660298493</v>
          </cell>
          <cell r="D75">
            <v>105497.90330149246</v>
          </cell>
          <cell r="E75">
            <v>50589.769051408504</v>
          </cell>
          <cell r="F75">
            <v>54908.13425008396</v>
          </cell>
          <cell r="G75">
            <v>105497.90330149246</v>
          </cell>
          <cell r="H75">
            <v>50589.769051408504</v>
          </cell>
          <cell r="I75">
            <v>54908.13425008396</v>
          </cell>
          <cell r="J75">
            <v>1.00187118</v>
          </cell>
          <cell r="K75">
            <v>21315.811225679998</v>
          </cell>
        </row>
        <row r="76">
          <cell r="B76" t="str">
            <v>Total</v>
          </cell>
          <cell r="C76">
            <v>26662686.021438919</v>
          </cell>
          <cell r="D76">
            <v>13331343.01071946</v>
          </cell>
          <cell r="E76">
            <v>6392824.3401199915</v>
          </cell>
          <cell r="F76">
            <v>6938518.6705994671</v>
          </cell>
          <cell r="G76">
            <v>13331343.01071946</v>
          </cell>
          <cell r="H76">
            <v>6392824.3401199915</v>
          </cell>
          <cell r="I76">
            <v>6938518.6705994671</v>
          </cell>
          <cell r="K76">
            <v>2693592.7834431599</v>
          </cell>
        </row>
      </sheetData>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O269"/>
  <sheetViews>
    <sheetView showGridLines="0" tabSelected="1" zoomScaleNormal="100" workbookViewId="0">
      <pane xSplit="2" ySplit="5" topLeftCell="C24" activePane="bottomRight" state="frozen"/>
      <selection pane="topRight" activeCell="C1" sqref="C1"/>
      <selection pane="bottomLeft" activeCell="A6" sqref="A6"/>
      <selection pane="bottomRight" activeCell="B34" sqref="B34"/>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0" width="12.42578125" style="1" customWidth="1"/>
    <col min="11" max="13" width="12.5703125" style="1" bestFit="1" customWidth="1"/>
    <col min="14" max="14" width="10.85546875" style="1" customWidth="1"/>
    <col min="15" max="16384" width="9.140625" style="1"/>
  </cols>
  <sheetData>
    <row r="1" spans="1:13" x14ac:dyDescent="0.2">
      <c r="A1" s="65" t="s">
        <v>79</v>
      </c>
    </row>
    <row r="2" spans="1:13" ht="41.25" customHeight="1" x14ac:dyDescent="0.2">
      <c r="A2" s="123" t="s">
        <v>78</v>
      </c>
      <c r="B2" s="123"/>
      <c r="C2" s="123"/>
      <c r="D2" s="123"/>
      <c r="E2" s="123"/>
      <c r="F2" s="123"/>
      <c r="G2" s="123"/>
      <c r="H2" s="123"/>
      <c r="I2" s="123"/>
      <c r="J2" s="123"/>
      <c r="K2" s="123"/>
      <c r="L2" s="123"/>
      <c r="M2" s="123"/>
    </row>
    <row r="3" spans="1:13" ht="13.5" thickBot="1" x14ac:dyDescent="0.25">
      <c r="A3" s="122"/>
      <c r="B3" s="121"/>
      <c r="C3" s="121"/>
      <c r="D3" s="121"/>
      <c r="E3" s="121"/>
      <c r="F3" s="121"/>
      <c r="G3" s="121"/>
      <c r="H3" s="121"/>
    </row>
    <row r="4" spans="1:13" ht="12.75" customHeight="1" x14ac:dyDescent="0.2">
      <c r="A4" s="120" t="s">
        <v>24</v>
      </c>
      <c r="B4" s="119" t="s">
        <v>23</v>
      </c>
      <c r="C4" s="118" t="s">
        <v>77</v>
      </c>
      <c r="D4" s="95" t="s">
        <v>35</v>
      </c>
      <c r="E4" s="95"/>
      <c r="F4" s="95"/>
      <c r="G4" s="95"/>
      <c r="H4" s="93" t="s">
        <v>18</v>
      </c>
      <c r="I4" s="57" t="s">
        <v>17</v>
      </c>
      <c r="J4" s="56" t="s">
        <v>16</v>
      </c>
      <c r="K4" s="55" t="s">
        <v>34</v>
      </c>
      <c r="L4" s="54"/>
      <c r="M4" s="54"/>
    </row>
    <row r="5" spans="1:13" ht="54" customHeight="1" thickBot="1" x14ac:dyDescent="0.25">
      <c r="A5" s="117"/>
      <c r="B5" s="116"/>
      <c r="C5" s="115"/>
      <c r="D5" s="114"/>
      <c r="E5" s="91" t="s">
        <v>33</v>
      </c>
      <c r="F5" s="91" t="s">
        <v>32</v>
      </c>
      <c r="G5" s="42" t="s">
        <v>31</v>
      </c>
      <c r="H5" s="89"/>
      <c r="I5" s="46"/>
      <c r="J5" s="45"/>
      <c r="K5" s="44" t="s">
        <v>14</v>
      </c>
      <c r="L5" s="43" t="s">
        <v>13</v>
      </c>
      <c r="M5" s="42" t="s">
        <v>12</v>
      </c>
    </row>
    <row r="6" spans="1:13" x14ac:dyDescent="0.2">
      <c r="A6" s="40">
        <v>3656</v>
      </c>
      <c r="B6" s="39" t="s">
        <v>76</v>
      </c>
      <c r="C6" s="113">
        <f>C50/$C$88*$C$44</f>
        <v>13120094.416703137</v>
      </c>
      <c r="D6" s="111">
        <f>D50/$C$88*$C$44</f>
        <v>1790523.5818293635</v>
      </c>
      <c r="E6" s="110">
        <f>E50/$C$88*$C$44</f>
        <v>928088.05658155354</v>
      </c>
      <c r="F6" s="110">
        <f>F50/$C$88*$C$44</f>
        <v>10563.228581771449</v>
      </c>
      <c r="G6" s="109">
        <f>G50/$C$88*$C$44</f>
        <v>3717549.9067119039</v>
      </c>
      <c r="H6" s="111">
        <f>H50/$C$88*$C$44</f>
        <v>1092821.2215921476</v>
      </c>
      <c r="I6" s="109">
        <f>I50/$C$88*$C$44</f>
        <v>24977.411464339468</v>
      </c>
      <c r="J6" s="112">
        <f>J50/$C$88*$C$44</f>
        <v>1111851.6303268827</v>
      </c>
      <c r="K6" s="111">
        <f>K50/$C$88*$C$44</f>
        <v>2439341.5796292289</v>
      </c>
      <c r="L6" s="110">
        <f>L50/$C$88*$C$44</f>
        <v>1367929.5678636581</v>
      </c>
      <c r="M6" s="109">
        <f>M50/$C$88*$C$44</f>
        <v>636448.23212228809</v>
      </c>
    </row>
    <row r="7" spans="1:13" x14ac:dyDescent="0.2">
      <c r="A7" s="20">
        <v>3658</v>
      </c>
      <c r="B7" s="19" t="s">
        <v>75</v>
      </c>
      <c r="C7" s="78">
        <f>C51/$C$88*$C$44</f>
        <v>24544597.416304324</v>
      </c>
      <c r="D7" s="15">
        <f>D51/$C$88*$C$44</f>
        <v>3192232.1251971759</v>
      </c>
      <c r="E7" s="14">
        <f>E51/$C$88*$C$44</f>
        <v>2646360.4317884594</v>
      </c>
      <c r="F7" s="14">
        <f>F51/$C$88*$C$44</f>
        <v>9454.9108209438891</v>
      </c>
      <c r="G7" s="13">
        <f>G51/$C$88*$C$44</f>
        <v>6921722.4239897495</v>
      </c>
      <c r="H7" s="15">
        <f>H51/$C$88*$C$44</f>
        <v>1339027.1345977797</v>
      </c>
      <c r="I7" s="13">
        <f>I51/$C$88*$C$44</f>
        <v>47100.261618468707</v>
      </c>
      <c r="J7" s="16">
        <f>J51/$C$88*$C$44</f>
        <v>1238284.9083582773</v>
      </c>
      <c r="K7" s="15">
        <f>K51/$C$88*$C$44</f>
        <v>3424878.8719793092</v>
      </c>
      <c r="L7" s="14">
        <f>L51/$C$88*$C$44</f>
        <v>3213403.4549145685</v>
      </c>
      <c r="M7" s="13">
        <f>M51/$C$88*$C$44</f>
        <v>2512132.8930395897</v>
      </c>
    </row>
    <row r="8" spans="1:13" x14ac:dyDescent="0.2">
      <c r="A8" s="20">
        <v>9741</v>
      </c>
      <c r="B8" s="19" t="s">
        <v>74</v>
      </c>
      <c r="C8" s="78">
        <f>C52/$C$88*$C$44</f>
        <v>6387430.1730832597</v>
      </c>
      <c r="D8" s="15">
        <f>D52/$C$88*$C$44</f>
        <v>853870.65191663348</v>
      </c>
      <c r="E8" s="14">
        <f>E52/$C$88*$C$44</f>
        <v>600271.06829739339</v>
      </c>
      <c r="F8" s="14">
        <f>F52/$C$88*$C$44</f>
        <v>9573.3995416251855</v>
      </c>
      <c r="G8" s="13">
        <f>G52/$C$88*$C$44</f>
        <v>1820212.2088561337</v>
      </c>
      <c r="H8" s="15">
        <f>H52/$C$88*$C$44</f>
        <v>300918.33811799454</v>
      </c>
      <c r="I8" s="13">
        <f>I52/$C$88*$C$44</f>
        <v>22836.490481681798</v>
      </c>
      <c r="J8" s="16">
        <f>J52/$C$88*$C$44</f>
        <v>470883.67613009497</v>
      </c>
      <c r="K8" s="15">
        <f>K52/$C$88*$C$44</f>
        <v>1182858.842918362</v>
      </c>
      <c r="L8" s="14">
        <f>L52/$C$88*$C$44</f>
        <v>761573.16955316963</v>
      </c>
      <c r="M8" s="13">
        <f>M52/$C$88*$C$44</f>
        <v>364432.32727017207</v>
      </c>
    </row>
    <row r="9" spans="1:13" x14ac:dyDescent="0.2">
      <c r="A9" s="20">
        <v>3661</v>
      </c>
      <c r="B9" s="19" t="s">
        <v>73</v>
      </c>
      <c r="C9" s="78">
        <f>C53/$C$88*$C$44</f>
        <v>8635468.1409671828</v>
      </c>
      <c r="D9" s="15">
        <f>D53/$C$88*$C$44</f>
        <v>1090799.2406640821</v>
      </c>
      <c r="E9" s="14">
        <f>E53/$C$88*$C$44</f>
        <v>425411.70385899197</v>
      </c>
      <c r="F9" s="14">
        <f>F53/$C$88*$C$44</f>
        <v>8160.7963340538327</v>
      </c>
      <c r="G9" s="13">
        <f>G53/$C$88*$C$44</f>
        <v>2247280.7476756079</v>
      </c>
      <c r="H9" s="15">
        <f>H53/$C$88*$C$44</f>
        <v>467434.41454692435</v>
      </c>
      <c r="I9" s="13">
        <f>I53/$C$88*$C$44</f>
        <v>64227.629479730058</v>
      </c>
      <c r="J9" s="16">
        <f>J53/$C$88*$C$44</f>
        <v>879323.82359934144</v>
      </c>
      <c r="K9" s="15">
        <f>K53/$C$88*$C$44</f>
        <v>1556687.4345013094</v>
      </c>
      <c r="L9" s="14">
        <f>L53/$C$88*$C$44</f>
        <v>1198202.1099607421</v>
      </c>
      <c r="M9" s="13">
        <f>M53/$C$88*$C$44</f>
        <v>697940.24034639995</v>
      </c>
    </row>
    <row r="10" spans="1:13" x14ac:dyDescent="0.2">
      <c r="A10" s="20">
        <v>3599</v>
      </c>
      <c r="B10" s="19" t="s">
        <v>72</v>
      </c>
      <c r="C10" s="78">
        <f>C54/$C$88*$C$44</f>
        <v>7633206.0676122978</v>
      </c>
      <c r="D10" s="15">
        <f>D54/$C$88*$C$44</f>
        <v>920596.02254279761</v>
      </c>
      <c r="E10" s="14">
        <f>E54/$C$88*$C$44</f>
        <v>396776.88571594574</v>
      </c>
      <c r="F10" s="14">
        <f>F54/$C$88*$C$44</f>
        <v>7312.1338162146412</v>
      </c>
      <c r="G10" s="13">
        <f>G54/$C$88*$C$44</f>
        <v>1831974.1908547482</v>
      </c>
      <c r="H10" s="15">
        <f>H54/$C$88*$C$44</f>
        <v>371330.85043651343</v>
      </c>
      <c r="I10" s="13">
        <f>I54/$C$88*$C$44</f>
        <v>19981.929171471573</v>
      </c>
      <c r="J10" s="16">
        <f>J54/$C$88*$C$44</f>
        <v>834364.48296353035</v>
      </c>
      <c r="K10" s="15">
        <f>K54/$C$88*$C$44</f>
        <v>1454161.1074429255</v>
      </c>
      <c r="L10" s="14">
        <f>L54/$C$88*$C$44</f>
        <v>1104715.227051357</v>
      </c>
      <c r="M10" s="13">
        <f>M54/$C$88*$C$44</f>
        <v>691993.23761679535</v>
      </c>
    </row>
    <row r="11" spans="1:13" x14ac:dyDescent="0.2">
      <c r="A11" s="20">
        <v>30646</v>
      </c>
      <c r="B11" s="19" t="s">
        <v>71</v>
      </c>
      <c r="C11" s="78">
        <f>C55/$C$88*$C$44</f>
        <v>2518350.6607393087</v>
      </c>
      <c r="D11" s="15">
        <f>D55/$C$88*$C$44</f>
        <v>389647.61884369573</v>
      </c>
      <c r="E11" s="14">
        <f>E55/$C$88*$C$44</f>
        <v>224144.05216423183</v>
      </c>
      <c r="F11" s="14">
        <f>F55/$C$88*$C$44</f>
        <v>12296.464005025635</v>
      </c>
      <c r="G11" s="13">
        <f>G55/$C$88*$C$44</f>
        <v>748534.9607687922</v>
      </c>
      <c r="H11" s="15">
        <f>H55/$C$88*$C$44</f>
        <v>88729.280725701145</v>
      </c>
      <c r="I11" s="13">
        <f>I55/$C$88*$C$44</f>
        <v>13083.406005130197</v>
      </c>
      <c r="J11" s="16">
        <f>J55/$C$88*$C$44</f>
        <v>334221.55340378045</v>
      </c>
      <c r="K11" s="15">
        <f>K55/$C$88*$C$44</f>
        <v>473262.47722193686</v>
      </c>
      <c r="L11" s="14">
        <f>L55/$C$88*$C$44</f>
        <v>198510.95111420273</v>
      </c>
      <c r="M11" s="13">
        <f>M55/$C$88*$C$44</f>
        <v>35919.896486812002</v>
      </c>
    </row>
    <row r="12" spans="1:13" x14ac:dyDescent="0.2">
      <c r="A12" s="20">
        <v>9930</v>
      </c>
      <c r="B12" s="19" t="s">
        <v>70</v>
      </c>
      <c r="C12" s="78">
        <f>C56/$C$88*$C$44</f>
        <v>1344537.0949429914</v>
      </c>
      <c r="D12" s="15">
        <f>D56/$C$88*$C$44</f>
        <v>190304.08734734834</v>
      </c>
      <c r="E12" s="14">
        <f>E56/$C$88*$C$44</f>
        <v>84495.014782222657</v>
      </c>
      <c r="F12" s="14">
        <f>F56/$C$88*$C$44</f>
        <v>8251.5286035580757</v>
      </c>
      <c r="G12" s="13">
        <f>G56/$C$88*$C$44</f>
        <v>357361.34102467349</v>
      </c>
      <c r="H12" s="15">
        <f>H56/$C$88*$C$44</f>
        <v>29497.133538838993</v>
      </c>
      <c r="I12" s="13">
        <f>I56/$C$88*$C$44</f>
        <v>7136.4032755255621</v>
      </c>
      <c r="J12" s="16">
        <f>J56/$C$88*$C$44</f>
        <v>142371.24534673497</v>
      </c>
      <c r="K12" s="15">
        <f>K56/$C$88*$C$44</f>
        <v>280341.70867356245</v>
      </c>
      <c r="L12" s="14">
        <f>L56/$C$88*$C$44</f>
        <v>175436.58052333674</v>
      </c>
      <c r="M12" s="13">
        <f>M56/$C$88*$C$44</f>
        <v>69342.051827190036</v>
      </c>
    </row>
    <row r="13" spans="1:13" x14ac:dyDescent="0.2">
      <c r="A13" s="20">
        <v>10115</v>
      </c>
      <c r="B13" s="19" t="s">
        <v>69</v>
      </c>
      <c r="C13" s="78">
        <f>C57/$C$88*$C$44</f>
        <v>11483274.697043339</v>
      </c>
      <c r="D13" s="15">
        <f>D57/$C$88*$C$44</f>
        <v>1469980.1347036737</v>
      </c>
      <c r="E13" s="14">
        <f>E57/$C$88*$C$44</f>
        <v>619841.6234667158</v>
      </c>
      <c r="F13" s="14">
        <f>F57/$C$88*$C$44</f>
        <v>7222.4091030515028</v>
      </c>
      <c r="G13" s="13">
        <f>G57/$C$88*$C$44</f>
        <v>3002360.9796485039</v>
      </c>
      <c r="H13" s="15">
        <f>H57/$C$88*$C$44</f>
        <v>279747.00840060203</v>
      </c>
      <c r="I13" s="13">
        <f>I57/$C$88*$C$44</f>
        <v>35444.136268443624</v>
      </c>
      <c r="J13" s="16">
        <f>J57/$C$88*$C$44</f>
        <v>1114587.2515825005</v>
      </c>
      <c r="K13" s="15">
        <f>K57/$C$88*$C$44</f>
        <v>2429826.3752618618</v>
      </c>
      <c r="L13" s="14">
        <f>L57/$C$88*$C$44</f>
        <v>1590942.1702238321</v>
      </c>
      <c r="M13" s="13">
        <f>M57/$C$88*$C$44</f>
        <v>933322.60838415148</v>
      </c>
    </row>
    <row r="14" spans="1:13" x14ac:dyDescent="0.2">
      <c r="A14" s="20">
        <v>11163</v>
      </c>
      <c r="B14" s="19" t="s">
        <v>68</v>
      </c>
      <c r="C14" s="78">
        <f>C58/$C$88*$C$44</f>
        <v>3080390.0825943211</v>
      </c>
      <c r="D14" s="15">
        <f>D58/$C$88*$C$44</f>
        <v>424615.99489377096</v>
      </c>
      <c r="E14" s="14">
        <f>E58/$C$88*$C$44</f>
        <v>218960.31470022126</v>
      </c>
      <c r="F14" s="14">
        <f>F58/$C$88*$C$44</f>
        <v>10439.038122726433</v>
      </c>
      <c r="G14" s="13">
        <f>G58/$C$88*$C$44</f>
        <v>843044.72814766492</v>
      </c>
      <c r="H14" s="15">
        <f>H58/$C$88*$C$44</f>
        <v>268804.52337812952</v>
      </c>
      <c r="I14" s="13">
        <f>I58/$C$88*$C$44</f>
        <v>9990.9645857357864</v>
      </c>
      <c r="J14" s="16">
        <f>J58/$C$88*$C$44</f>
        <v>336243.53433184605</v>
      </c>
      <c r="K14" s="15">
        <f>K58/$C$88*$C$44</f>
        <v>512512.69523732743</v>
      </c>
      <c r="L14" s="14">
        <f>L58/$C$88*$C$44</f>
        <v>317569.94576088752</v>
      </c>
      <c r="M14" s="13">
        <f>M58/$C$88*$C$44</f>
        <v>138208.34343601172</v>
      </c>
    </row>
    <row r="15" spans="1:13" x14ac:dyDescent="0.2">
      <c r="A15" s="20">
        <v>3632</v>
      </c>
      <c r="B15" s="19" t="s">
        <v>67</v>
      </c>
      <c r="C15" s="78">
        <f>C59/$C$88*$C$44</f>
        <v>24829166.363569621</v>
      </c>
      <c r="D15" s="15">
        <f>D59/$C$88*$C$44</f>
        <v>3118489.2913500783</v>
      </c>
      <c r="E15" s="14">
        <f>E59/$C$88*$C$44</f>
        <v>2621609.9975949652</v>
      </c>
      <c r="F15" s="14">
        <f>F59/$C$88*$C$44</f>
        <v>9006.81410023032</v>
      </c>
      <c r="G15" s="13">
        <f>G59/$C$88*$C$44</f>
        <v>7173803.9756920924</v>
      </c>
      <c r="H15" s="15">
        <f>H59/$C$88*$C$44</f>
        <v>1258147.8974751565</v>
      </c>
      <c r="I15" s="13">
        <f>I59/$C$88*$C$44</f>
        <v>89918.681271622088</v>
      </c>
      <c r="J15" s="16">
        <f>J59/$C$88*$C$44</f>
        <v>1328798.2899028596</v>
      </c>
      <c r="K15" s="15">
        <f>K59/$C$88*$C$44</f>
        <v>3589848.7276985417</v>
      </c>
      <c r="L15" s="14">
        <f>L59/$C$88*$C$44</f>
        <v>3178316.1388099012</v>
      </c>
      <c r="M15" s="13">
        <f>M59/$C$88*$C$44</f>
        <v>2461226.5496741743</v>
      </c>
    </row>
    <row r="16" spans="1:13" x14ac:dyDescent="0.2">
      <c r="A16" s="20">
        <v>10298</v>
      </c>
      <c r="B16" s="19" t="s">
        <v>66</v>
      </c>
      <c r="C16" s="78">
        <f>C60/$C$88*$C$44</f>
        <v>1368843.3670741601</v>
      </c>
      <c r="D16" s="15">
        <f>D60/$C$88*$C$44</f>
        <v>147366.72763960288</v>
      </c>
      <c r="E16" s="14">
        <f>E60/$C$88*$C$44</f>
        <v>92448.060472577519</v>
      </c>
      <c r="F16" s="14">
        <f>F60/$C$88*$C$44</f>
        <v>8777.4019798048066</v>
      </c>
      <c r="G16" s="13">
        <f>G60/$C$88*$C$44</f>
        <v>376816.36575429956</v>
      </c>
      <c r="H16" s="15">
        <f>H60/$C$88*$C$44</f>
        <v>39963.858342943146</v>
      </c>
      <c r="I16" s="13">
        <f>I60/$C$88*$C$44</f>
        <v>0</v>
      </c>
      <c r="J16" s="16">
        <f>J60/$C$88*$C$44</f>
        <v>84566.378814977914</v>
      </c>
      <c r="K16" s="15">
        <f>K60/$C$88*$C$44</f>
        <v>317034.7155152231</v>
      </c>
      <c r="L16" s="14">
        <f>L60/$C$88*$C$44</f>
        <v>170203.21812128468</v>
      </c>
      <c r="M16" s="13">
        <f>M60/$C$88*$C$44</f>
        <v>131666.64043344662</v>
      </c>
    </row>
    <row r="17" spans="1:13" x14ac:dyDescent="0.2">
      <c r="A17" s="20">
        <v>3630</v>
      </c>
      <c r="B17" s="19" t="s">
        <v>65</v>
      </c>
      <c r="C17" s="78">
        <f>C61/$C$88*$C$44</f>
        <v>3061776.619314149</v>
      </c>
      <c r="D17" s="15">
        <f>D61/$C$88*$C$44</f>
        <v>334102.61334918841</v>
      </c>
      <c r="E17" s="14">
        <f>E61/$C$88*$C$44</f>
        <v>124174.804628115</v>
      </c>
      <c r="F17" s="14">
        <f>F61/$C$88*$C$44</f>
        <v>5646.2109527311604</v>
      </c>
      <c r="G17" s="13">
        <f>G61/$C$88*$C$44</f>
        <v>739652.51749185007</v>
      </c>
      <c r="H17" s="15">
        <f>H61/$C$88*$C$44</f>
        <v>225272.46339742359</v>
      </c>
      <c r="I17" s="13">
        <f>I61/$C$88*$C$44</f>
        <v>6898.5231663413761</v>
      </c>
      <c r="J17" s="16">
        <f>J61/$C$88*$C$44</f>
        <v>286407.6514577592</v>
      </c>
      <c r="K17" s="15">
        <f>K61/$C$88*$C$44</f>
        <v>595176.03317883192</v>
      </c>
      <c r="L17" s="14">
        <f>L61/$C$88*$C$44</f>
        <v>421404.61341978441</v>
      </c>
      <c r="M17" s="13">
        <f>M61/$C$88*$C$44</f>
        <v>323041.18827212375</v>
      </c>
    </row>
    <row r="18" spans="1:13" x14ac:dyDescent="0.2">
      <c r="A18" s="20">
        <v>3631</v>
      </c>
      <c r="B18" s="19" t="s">
        <v>64</v>
      </c>
      <c r="C18" s="78">
        <f>C62/$C$88*$C$44</f>
        <v>4093835.4790719547</v>
      </c>
      <c r="D18" s="15">
        <f>D62/$C$88*$C$44</f>
        <v>551406.09308894165</v>
      </c>
      <c r="E18" s="14">
        <f>E62/$C$88*$C$44</f>
        <v>263572.11249651416</v>
      </c>
      <c r="F18" s="14">
        <f>F62/$C$88*$C$44</f>
        <v>8763.4203516921953</v>
      </c>
      <c r="G18" s="13">
        <f>G62/$C$88*$C$44</f>
        <v>1114186.4235985349</v>
      </c>
      <c r="H18" s="15">
        <f>H62/$C$88*$C$44</f>
        <v>144868.98649316889</v>
      </c>
      <c r="I18" s="13">
        <f>I62/$C$88*$C$44</f>
        <v>34016.855613338506</v>
      </c>
      <c r="J18" s="16">
        <f>J62/$C$88*$C$44</f>
        <v>426400.09571265231</v>
      </c>
      <c r="K18" s="15">
        <f>K62/$C$88*$C$44</f>
        <v>768709.57282869518</v>
      </c>
      <c r="L18" s="14">
        <f>L62/$C$88*$C$44</f>
        <v>474095.05760408158</v>
      </c>
      <c r="M18" s="13">
        <f>M62/$C$88*$C$44</f>
        <v>307816.8612843359</v>
      </c>
    </row>
    <row r="19" spans="1:13" x14ac:dyDescent="0.2">
      <c r="A19" s="108">
        <v>103631</v>
      </c>
      <c r="B19" s="19" t="s">
        <v>63</v>
      </c>
      <c r="C19" s="78">
        <f>C63/$C$88*$C$44</f>
        <v>953391.54798200203</v>
      </c>
      <c r="D19" s="15">
        <f>D63/$C$88*$C$44</f>
        <v>164256.21539168002</v>
      </c>
      <c r="E19" s="14">
        <f>E63/$C$88*$C$44</f>
        <v>78514.470957223049</v>
      </c>
      <c r="F19" s="14">
        <f>F63/$C$88*$C$44</f>
        <v>24116.707535729067</v>
      </c>
      <c r="G19" s="13">
        <f>G63/$C$88*$C$44</f>
        <v>304587.63880216028</v>
      </c>
      <c r="H19" s="15">
        <f>H63/$C$88*$C$44</f>
        <v>29021.373320470615</v>
      </c>
      <c r="I19" s="13">
        <f>I63/$C$88*$C$44</f>
        <v>0</v>
      </c>
      <c r="J19" s="16">
        <f>J63/$C$88*$C$44</f>
        <v>116680.19355484293</v>
      </c>
      <c r="K19" s="15">
        <f>K63/$C$88*$C$44</f>
        <v>176625.98106925766</v>
      </c>
      <c r="L19" s="14">
        <f>L63/$C$88*$C$44</f>
        <v>47457.081782244983</v>
      </c>
      <c r="M19" s="13">
        <f>M63/$C$88*$C$44</f>
        <v>12131.885568393454</v>
      </c>
    </row>
    <row r="20" spans="1:13" x14ac:dyDescent="0.2">
      <c r="A20" s="20">
        <v>11161</v>
      </c>
      <c r="B20" s="19" t="s">
        <v>62</v>
      </c>
      <c r="C20" s="78">
        <f>C64/$C$88*$C$44</f>
        <v>3919140.1613873565</v>
      </c>
      <c r="D20" s="15">
        <f>D64/$C$88*$C$44</f>
        <v>495385.32737606607</v>
      </c>
      <c r="E20" s="14">
        <f>E64/$C$88*$C$44</f>
        <v>251655.74630704158</v>
      </c>
      <c r="F20" s="14">
        <f>F64/$C$88*$C$44</f>
        <v>7627.5712488616209</v>
      </c>
      <c r="G20" s="13">
        <f>G64/$C$88*$C$44</f>
        <v>1000595.1032614439</v>
      </c>
      <c r="H20" s="15">
        <f>H64/$C$88*$C$44</f>
        <v>190066.20723816412</v>
      </c>
      <c r="I20" s="13">
        <f>I64/$C$88*$C$44</f>
        <v>18316.768407182277</v>
      </c>
      <c r="J20" s="16">
        <f>J64/$C$88*$C$44</f>
        <v>385365.77687838033</v>
      </c>
      <c r="K20" s="15">
        <f>K64/$C$88*$C$44</f>
        <v>732908.61639647523</v>
      </c>
      <c r="L20" s="14">
        <f>L64/$C$88*$C$44</f>
        <v>523812.00042357622</v>
      </c>
      <c r="M20" s="13">
        <f>M64/$C$88*$C$44</f>
        <v>313407.04385016428</v>
      </c>
    </row>
    <row r="21" spans="1:13" x14ac:dyDescent="0.2">
      <c r="A21" s="20">
        <v>3639</v>
      </c>
      <c r="B21" s="19" t="s">
        <v>61</v>
      </c>
      <c r="C21" s="78">
        <f>C65/$C$88*$C$44</f>
        <v>2389544.9665173003</v>
      </c>
      <c r="D21" s="15">
        <f>D65/$C$88*$C$44</f>
        <v>271778.02474293183</v>
      </c>
      <c r="E21" s="14">
        <f>E65/$C$88*$C$44</f>
        <v>109345.35862157292</v>
      </c>
      <c r="F21" s="14">
        <f>F65/$C$88*$C$44</f>
        <v>6379.7658390359584</v>
      </c>
      <c r="G21" s="13">
        <f>G65/$C$88*$C$44</f>
        <v>629235.70721182576</v>
      </c>
      <c r="H21" s="15">
        <f>H65/$C$88*$C$44</f>
        <v>185546.48516366462</v>
      </c>
      <c r="I21" s="13">
        <f>I65/$C$88*$C$44</f>
        <v>11894.005459209271</v>
      </c>
      <c r="J21" s="16">
        <f>J65/$C$88*$C$44</f>
        <v>231338.40618162032</v>
      </c>
      <c r="K21" s="15">
        <f>K65/$C$88*$C$44</f>
        <v>437937.28100808529</v>
      </c>
      <c r="L21" s="14">
        <f>L65/$C$88*$C$44</f>
        <v>306746.40079300705</v>
      </c>
      <c r="M21" s="13">
        <f>M65/$C$88*$C$44</f>
        <v>199343.53149634736</v>
      </c>
    </row>
    <row r="22" spans="1:13" x14ac:dyDescent="0.2">
      <c r="A22" s="108">
        <v>103639</v>
      </c>
      <c r="B22" s="19" t="s">
        <v>60</v>
      </c>
      <c r="C22" s="78">
        <f>C66/$C$88*$C$44</f>
        <v>1143864.2477904642</v>
      </c>
      <c r="D22" s="15">
        <f>D66/$C$88*$C$44</f>
        <v>209691.31624585943</v>
      </c>
      <c r="E22" s="14">
        <f>E66/$C$88*$C$44</f>
        <v>84365.806236250777</v>
      </c>
      <c r="F22" s="14">
        <f>F66/$C$88*$C$44</f>
        <v>14843.184469677964</v>
      </c>
      <c r="G22" s="13">
        <f>G66/$C$88*$C$44</f>
        <v>366102.24563664664</v>
      </c>
      <c r="H22" s="15">
        <f>H66/$C$88*$C$44</f>
        <v>3568.201637762781</v>
      </c>
      <c r="I22" s="13">
        <f>I66/$C$88*$C$44</f>
        <v>1427.2806551051124</v>
      </c>
      <c r="J22" s="16">
        <f>J66/$C$88*$C$44</f>
        <v>174960.82030496834</v>
      </c>
      <c r="K22" s="15">
        <f>K66/$C$88*$C$44</f>
        <v>260359.77950209094</v>
      </c>
      <c r="L22" s="14">
        <f>L66/$C$88*$C$44</f>
        <v>27594.092665365504</v>
      </c>
      <c r="M22" s="13">
        <f>M66/$C$88*$C$44</f>
        <v>951.52043673674166</v>
      </c>
    </row>
    <row r="23" spans="1:13" x14ac:dyDescent="0.2">
      <c r="A23" s="20">
        <v>9651</v>
      </c>
      <c r="B23" s="19" t="s">
        <v>59</v>
      </c>
      <c r="C23" s="78">
        <f>C67/$C$88*$C$44</f>
        <v>2328584.0215206593</v>
      </c>
      <c r="D23" s="15">
        <f>D67/$C$88*$C$44</f>
        <v>281768.98932866758</v>
      </c>
      <c r="E23" s="14">
        <f>E67/$C$88*$C$44</f>
        <v>133370.65494890267</v>
      </c>
      <c r="F23" s="14">
        <f>F67/$C$88*$C$44</f>
        <v>6895.9615596834947</v>
      </c>
      <c r="G23" s="13">
        <f>G67/$C$88*$C$44</f>
        <v>520421.01946715749</v>
      </c>
      <c r="H23" s="15">
        <f>H67/$C$88*$C$44</f>
        <v>82544.397886912338</v>
      </c>
      <c r="I23" s="13">
        <f>I67/$C$88*$C$44</f>
        <v>15937.96731534042</v>
      </c>
      <c r="J23" s="16">
        <f>J67/$C$88*$C$44</f>
        <v>254293.83671789421</v>
      </c>
      <c r="K23" s="15">
        <f>K67/$C$88*$C$44</f>
        <v>501927.0303786312</v>
      </c>
      <c r="L23" s="14">
        <f>L67/$C$88*$C$44</f>
        <v>362410.34634210647</v>
      </c>
      <c r="M23" s="13">
        <f>M67/$C$88*$C$44</f>
        <v>169013.81757536373</v>
      </c>
    </row>
    <row r="24" spans="1:13" x14ac:dyDescent="0.2">
      <c r="A24" s="20">
        <v>3665</v>
      </c>
      <c r="B24" s="19" t="s">
        <v>58</v>
      </c>
      <c r="C24" s="78">
        <f>C68/$C$88*$C$44</f>
        <v>3365919.6326163374</v>
      </c>
      <c r="D24" s="15">
        <f>D68/$C$88*$C$44</f>
        <v>448047.18564841326</v>
      </c>
      <c r="E24" s="14">
        <f>E68/$C$88*$C$44</f>
        <v>210880.87537851979</v>
      </c>
      <c r="F24" s="14">
        <f>F68/$C$88*$C$44</f>
        <v>8273.8467095547912</v>
      </c>
      <c r="G24" s="13">
        <f>G68/$C$88*$C$44</f>
        <v>893326.63622647454</v>
      </c>
      <c r="H24" s="15">
        <f>H68/$C$88*$C$44</f>
        <v>136781.06278090662</v>
      </c>
      <c r="I24" s="13">
        <f>I68/$C$88*$C$44</f>
        <v>43294.179871521737</v>
      </c>
      <c r="J24" s="16">
        <f>J68/$C$88*$C$44</f>
        <v>317332.06565170333</v>
      </c>
      <c r="K24" s="15">
        <f>K68/$C$88*$C$44</f>
        <v>639302.79343249835</v>
      </c>
      <c r="L24" s="14">
        <f>L68/$C$88*$C$44</f>
        <v>432703.91860603326</v>
      </c>
      <c r="M24" s="13">
        <f>M68/$C$88*$C$44</f>
        <v>235977.06831071194</v>
      </c>
    </row>
    <row r="25" spans="1:13" x14ac:dyDescent="0.2">
      <c r="A25" s="20">
        <v>3565</v>
      </c>
      <c r="B25" s="19" t="s">
        <v>57</v>
      </c>
      <c r="C25" s="78">
        <f>C69/$C$88*$C$44</f>
        <v>3294780.6115118549</v>
      </c>
      <c r="D25" s="15">
        <f>D69/$C$88*$C$44</f>
        <v>472548.83689438429</v>
      </c>
      <c r="E25" s="14">
        <f>E69/$C$88*$C$44</f>
        <v>207921.48823352909</v>
      </c>
      <c r="F25" s="14">
        <f>F69/$C$88*$C$44</f>
        <v>10060.699863859169</v>
      </c>
      <c r="G25" s="13">
        <f>G69/$C$88*$C$44</f>
        <v>892702.20093986869</v>
      </c>
      <c r="H25" s="15">
        <f>H69/$C$88*$C$44</f>
        <v>52095.743911336598</v>
      </c>
      <c r="I25" s="13">
        <f>I69/$C$88*$C$44</f>
        <v>53047.264348073339</v>
      </c>
      <c r="J25" s="16">
        <f>J69/$C$88*$C$44</f>
        <v>363718.6869426195</v>
      </c>
      <c r="K25" s="15">
        <f>K69/$C$88*$C$44</f>
        <v>675460.57002849446</v>
      </c>
      <c r="L25" s="14">
        <f>L69/$C$88*$C$44</f>
        <v>405823.46626822022</v>
      </c>
      <c r="M25" s="13">
        <f>M69/$C$88*$C$44</f>
        <v>161401.65408146981</v>
      </c>
    </row>
    <row r="26" spans="1:13" x14ac:dyDescent="0.2">
      <c r="A26" s="20">
        <v>29269</v>
      </c>
      <c r="B26" s="19" t="s">
        <v>56</v>
      </c>
      <c r="C26" s="78">
        <f>C70/$C$88*$C$44</f>
        <v>773242.36083227512</v>
      </c>
      <c r="D26" s="15">
        <f>D70/$C$88*$C$44</f>
        <v>123340.83661200014</v>
      </c>
      <c r="E26" s="14">
        <f>E70/$C$88*$C$44</f>
        <v>66853.919567129022</v>
      </c>
      <c r="F26" s="14">
        <f>F70/$C$88*$C$44</f>
        <v>13832.617190130857</v>
      </c>
      <c r="G26" s="13">
        <f>G70/$C$88*$C$44</f>
        <v>221196.38772655194</v>
      </c>
      <c r="H26" s="15">
        <f>H70/$C$88*$C$44</f>
        <v>29735.013648023174</v>
      </c>
      <c r="I26" s="13">
        <f>I70/$C$88*$C$44</f>
        <v>13797.046332682752</v>
      </c>
      <c r="J26" s="16">
        <f>J70/$C$88*$C$44</f>
        <v>85280.019142530466</v>
      </c>
      <c r="K26" s="15">
        <f>K70/$C$88*$C$44</f>
        <v>154384.19086053633</v>
      </c>
      <c r="L26" s="14">
        <f>L70/$C$88*$C$44</f>
        <v>64584.449643506334</v>
      </c>
      <c r="M26" s="13">
        <f>M70/$C$88*$C$44</f>
        <v>237.88010918418541</v>
      </c>
    </row>
    <row r="27" spans="1:13" x14ac:dyDescent="0.2">
      <c r="A27" s="20">
        <v>3652</v>
      </c>
      <c r="B27" s="19" t="s">
        <v>55</v>
      </c>
      <c r="C27" s="78">
        <f>C71/$C$88*$C$44</f>
        <v>14275395.854118774</v>
      </c>
      <c r="D27" s="15">
        <f>D71/$C$88*$C$44</f>
        <v>1819307.0750406501</v>
      </c>
      <c r="E27" s="14">
        <f>E71/$C$88*$C$44</f>
        <v>975755.02791346866</v>
      </c>
      <c r="F27" s="14">
        <f>F71/$C$88*$C$44</f>
        <v>7644.8897350283542</v>
      </c>
      <c r="G27" s="13">
        <f>G71/$C$88*$C$44</f>
        <v>3775245.3483931622</v>
      </c>
      <c r="H27" s="15">
        <f>H71/$C$88*$C$44</f>
        <v>525952.92140623392</v>
      </c>
      <c r="I27" s="13">
        <f>I71/$C$88*$C$44</f>
        <v>44721.460526626855</v>
      </c>
      <c r="J27" s="16">
        <f>J71/$C$88*$C$44</f>
        <v>1203554.412417386</v>
      </c>
      <c r="K27" s="15">
        <f>K71/$C$88*$C$44</f>
        <v>2712665.8250818579</v>
      </c>
      <c r="L27" s="14">
        <f>L71/$C$88*$C$44</f>
        <v>2030425.6719416142</v>
      </c>
      <c r="M27" s="13">
        <f>M71/$C$88*$C$44</f>
        <v>1180123.2216627437</v>
      </c>
    </row>
    <row r="28" spans="1:13" x14ac:dyDescent="0.2">
      <c r="A28" s="20">
        <v>11711</v>
      </c>
      <c r="B28" s="19" t="s">
        <v>54</v>
      </c>
      <c r="C28" s="78">
        <f>C72/$C$88*$C$44</f>
        <v>2690063.5059231129</v>
      </c>
      <c r="D28" s="15">
        <f>D72/$C$88*$C$44</f>
        <v>424853.87500295514</v>
      </c>
      <c r="E28" s="14">
        <f>E72/$C$88*$C$44</f>
        <v>220993.9562825131</v>
      </c>
      <c r="F28" s="14">
        <f>F72/$C$88*$C$44</f>
        <v>14163.474467442793</v>
      </c>
      <c r="G28" s="13">
        <f>G72/$C$88*$C$44</f>
        <v>814603.78229360702</v>
      </c>
      <c r="H28" s="15">
        <f>H72/$C$88*$C$44</f>
        <v>76121.634938939329</v>
      </c>
      <c r="I28" s="13">
        <f>I72/$C$88*$C$44</f>
        <v>5947.0027296046355</v>
      </c>
      <c r="J28" s="16">
        <f>J72/$C$88*$C$44</f>
        <v>276297.74681743135</v>
      </c>
      <c r="K28" s="15">
        <f>K72/$C$88*$C$44</f>
        <v>496455.78786739486</v>
      </c>
      <c r="L28" s="14">
        <f>L72/$C$88*$C$44</f>
        <v>340287.4961879772</v>
      </c>
      <c r="M28" s="13">
        <f>M72/$C$88*$C$44</f>
        <v>20338.749335247852</v>
      </c>
    </row>
    <row r="29" spans="1:13" x14ac:dyDescent="0.2">
      <c r="A29" s="20">
        <v>12826</v>
      </c>
      <c r="B29" s="19" t="s">
        <v>53</v>
      </c>
      <c r="C29" s="78">
        <f>C73/$C$88*$C$44</f>
        <v>5230315.0502827857</v>
      </c>
      <c r="D29" s="15">
        <f>D73/$C$88*$C$44</f>
        <v>850064.57016968657</v>
      </c>
      <c r="E29" s="14">
        <f>E73/$C$88*$C$44</f>
        <v>161512.26833224049</v>
      </c>
      <c r="F29" s="14">
        <f>F73/$C$88*$C$44</f>
        <v>10645.027315329318</v>
      </c>
      <c r="G29" s="13">
        <f>G73/$C$88*$C$44</f>
        <v>1524091.9125403657</v>
      </c>
      <c r="H29" s="15">
        <f>H73/$C$88*$C$44</f>
        <v>92535.362472648121</v>
      </c>
      <c r="I29" s="13">
        <f>I73/$C$88*$C$44</f>
        <v>1189.400545920927</v>
      </c>
      <c r="J29" s="16">
        <f>J73/$C$88*$C$44</f>
        <v>599814.69530792348</v>
      </c>
      <c r="K29" s="15">
        <f>K73/$C$88*$C$44</f>
        <v>1108045.5485799357</v>
      </c>
      <c r="L29" s="14">
        <f>L73/$C$88*$C$44</f>
        <v>666659.00598867948</v>
      </c>
      <c r="M29" s="13">
        <f>M73/$C$88*$C$44</f>
        <v>215757.25903005616</v>
      </c>
    </row>
    <row r="30" spans="1:13" x14ac:dyDescent="0.2">
      <c r="A30" s="20">
        <v>13231</v>
      </c>
      <c r="B30" s="19" t="s">
        <v>52</v>
      </c>
      <c r="C30" s="78">
        <f>C74/$C$88*$C$44</f>
        <v>1297074.6384100446</v>
      </c>
      <c r="D30" s="15">
        <f>D74/$C$88*$C$44</f>
        <v>205766.29444432035</v>
      </c>
      <c r="E30" s="14">
        <f>E74/$C$88*$C$44</f>
        <v>107115.79421505787</v>
      </c>
      <c r="F30" s="14">
        <f>F74/$C$88*$C$44</f>
        <v>14303.010982721764</v>
      </c>
      <c r="G30" s="13">
        <f>G74/$C$88*$C$44</f>
        <v>386964.33121209848</v>
      </c>
      <c r="H30" s="15">
        <f>H74/$C$88*$C$44</f>
        <v>77073.15537567607</v>
      </c>
      <c r="I30" s="13">
        <f>I74/$C$88*$C$44</f>
        <v>5233.3624020520792</v>
      </c>
      <c r="J30" s="16">
        <f>J74/$C$88*$C$44</f>
        <v>137018.94289009078</v>
      </c>
      <c r="K30" s="15">
        <f>K74/$C$88*$C$44</f>
        <v>255483.23726381513</v>
      </c>
      <c r="L30" s="14">
        <f>L74/$C$88*$C$44</f>
        <v>105737.70853237041</v>
      </c>
      <c r="M30" s="13">
        <f>M74/$C$88*$C$44</f>
        <v>2378.801091841854</v>
      </c>
    </row>
    <row r="31" spans="1:13" x14ac:dyDescent="0.2">
      <c r="A31" s="20">
        <v>3592</v>
      </c>
      <c r="B31" s="19" t="s">
        <v>51</v>
      </c>
      <c r="C31" s="78">
        <f>C75/$C$88*$C$44</f>
        <v>2862304.8112505977</v>
      </c>
      <c r="D31" s="15">
        <f>D75/$C$88*$C$44</f>
        <v>368119.46896252694</v>
      </c>
      <c r="E31" s="14">
        <f>E75/$C$88*$C$44</f>
        <v>161727.15336420349</v>
      </c>
      <c r="F31" s="14">
        <f>F75/$C$88*$C$44</f>
        <v>8607.4023035586015</v>
      </c>
      <c r="G31" s="13">
        <f>G75/$C$88*$C$44</f>
        <v>700081.16132905881</v>
      </c>
      <c r="H31" s="15">
        <f>H75/$C$88*$C$44</f>
        <v>237880.10918418539</v>
      </c>
      <c r="I31" s="13">
        <f>I75/$C$88*$C$44</f>
        <v>10704.604913288342</v>
      </c>
      <c r="J31" s="16">
        <f>J75/$C$88*$C$44</f>
        <v>246324.85306022398</v>
      </c>
      <c r="K31" s="15">
        <f>K75/$C$88*$C$44</f>
        <v>513107.39551028796</v>
      </c>
      <c r="L31" s="14">
        <f>L75/$C$88*$C$44</f>
        <v>373233.89130998688</v>
      </c>
      <c r="M31" s="13">
        <f>M75/$C$88*$C$44</f>
        <v>242518.77131327701</v>
      </c>
    </row>
    <row r="32" spans="1:13" x14ac:dyDescent="0.2">
      <c r="A32" s="20">
        <v>3594</v>
      </c>
      <c r="B32" s="19" t="s">
        <v>50</v>
      </c>
      <c r="C32" s="78">
        <f>C76/$C$88*$C$44</f>
        <v>15109804.069516301</v>
      </c>
      <c r="D32" s="15">
        <f>D76/$C$88*$C$44</f>
        <v>2146867.9853872731</v>
      </c>
      <c r="E32" s="14">
        <f>E76/$C$88*$C$44</f>
        <v>1237311.5822448651</v>
      </c>
      <c r="F32" s="14">
        <f>F76/$C$88*$C$44</f>
        <v>9236.9837997375707</v>
      </c>
      <c r="G32" s="13">
        <f>G76/$C$88*$C$44</f>
        <v>4071872.3293414456</v>
      </c>
      <c r="H32" s="15">
        <f>H76/$C$88*$C$44</f>
        <v>240258.91027602725</v>
      </c>
      <c r="I32" s="13">
        <f>I76/$C$88*$C$44</f>
        <v>30924.414193944103</v>
      </c>
      <c r="J32" s="16">
        <f>J76/$C$88*$C$44</f>
        <v>1363053.0256253823</v>
      </c>
      <c r="K32" s="15">
        <f>K76/$C$88*$C$44</f>
        <v>2806271.6480458351</v>
      </c>
      <c r="L32" s="14">
        <f>L76/$C$88*$C$44</f>
        <v>2013298.3040803531</v>
      </c>
      <c r="M32" s="13">
        <f>M76/$C$88*$C$44</f>
        <v>1190708.88652144</v>
      </c>
    </row>
    <row r="33" spans="1:13" x14ac:dyDescent="0.2">
      <c r="A33" s="108">
        <v>113594</v>
      </c>
      <c r="B33" s="19" t="s">
        <v>49</v>
      </c>
      <c r="C33" s="78">
        <f>C77/$C$88*$C$44</f>
        <v>812846.50818948285</v>
      </c>
      <c r="D33" s="15">
        <f>D77/$C$88*$C$44</f>
        <v>143976.93608372821</v>
      </c>
      <c r="E33" s="14">
        <f>E77/$C$88*$C$44</f>
        <v>83146.680588353047</v>
      </c>
      <c r="F33" s="14">
        <f>F77/$C$88*$C$44</f>
        <v>15217.40446206259</v>
      </c>
      <c r="G33" s="13">
        <f>G77/$C$88*$C$44</f>
        <v>251865.08080312263</v>
      </c>
      <c r="H33" s="15">
        <f>H77/$C$88*$C$44</f>
        <v>8563.6839306306738</v>
      </c>
      <c r="I33" s="13">
        <f>I77/$C$88*$C$44</f>
        <v>0</v>
      </c>
      <c r="J33" s="16">
        <f>J77/$C$88*$C$44</f>
        <v>110079.0205249818</v>
      </c>
      <c r="K33" s="15">
        <f>K77/$C$88*$C$44</f>
        <v>170560.03828506093</v>
      </c>
      <c r="L33" s="14">
        <f>L77/$C$88*$C$44</f>
        <v>25512.641710003885</v>
      </c>
      <c r="M33" s="13">
        <f>M77/$C$88*$C$44</f>
        <v>3925.0218015390587</v>
      </c>
    </row>
    <row r="34" spans="1:13" x14ac:dyDescent="0.2">
      <c r="A34" s="20">
        <v>3624</v>
      </c>
      <c r="B34" s="19" t="s">
        <v>48</v>
      </c>
      <c r="C34" s="78">
        <f>C78/$C$88*$C$44</f>
        <v>5357867.9749594042</v>
      </c>
      <c r="D34" s="15">
        <f>D78/$C$88*$C$44</f>
        <v>685689.41472341446</v>
      </c>
      <c r="E34" s="14">
        <f>E78/$C$88*$C$44</f>
        <v>379871.93575677153</v>
      </c>
      <c r="F34" s="14">
        <f>F78/$C$88*$C$44</f>
        <v>7228.3002784293531</v>
      </c>
      <c r="G34" s="13">
        <f>G78/$C$88*$C$44</f>
        <v>1327990.6869321803</v>
      </c>
      <c r="H34" s="15">
        <f>H78/$C$88*$C$44</f>
        <v>176982.80123303394</v>
      </c>
      <c r="I34" s="13">
        <f>I78/$C$88*$C$44</f>
        <v>31875.93463068084</v>
      </c>
      <c r="J34" s="16">
        <f>J78/$C$88*$C$44</f>
        <v>521076.3791679581</v>
      </c>
      <c r="K34" s="15">
        <f>K78/$C$88*$C$44</f>
        <v>988153.97355110617</v>
      </c>
      <c r="L34" s="14">
        <f>L78/$C$88*$C$44</f>
        <v>740401.83983577706</v>
      </c>
      <c r="M34" s="13">
        <f>M78/$C$88*$C$44</f>
        <v>498596.70885005256</v>
      </c>
    </row>
    <row r="35" spans="1:13" x14ac:dyDescent="0.2">
      <c r="A35" s="20">
        <v>3642</v>
      </c>
      <c r="B35" s="19" t="s">
        <v>47</v>
      </c>
      <c r="C35" s="78">
        <f>C79/$C$88*$C$44</f>
        <v>2472359.661075783</v>
      </c>
      <c r="D35" s="15">
        <f>D79/$C$88*$C$44</f>
        <v>270588.62419701094</v>
      </c>
      <c r="E35" s="14">
        <f>E79/$C$88*$C$44</f>
        <v>38874.565676303893</v>
      </c>
      <c r="F35" s="14">
        <f>F79/$C$88*$C$44</f>
        <v>4614.9981765368766</v>
      </c>
      <c r="G35" s="13">
        <f>G79/$C$88*$C$44</f>
        <v>531181.52620610304</v>
      </c>
      <c r="H35" s="15">
        <f>H79/$C$88*$C$44</f>
        <v>95865.68400122672</v>
      </c>
      <c r="I35" s="13">
        <f>I79/$C$88*$C$44</f>
        <v>2140.9209826576684</v>
      </c>
      <c r="J35" s="16">
        <f>J79/$C$88*$C$44</f>
        <v>237761.1691295933</v>
      </c>
      <c r="K35" s="15">
        <f>K79/$C$88*$C$44</f>
        <v>584233.54815635935</v>
      </c>
      <c r="L35" s="14">
        <f>L79/$C$88*$C$44</f>
        <v>404277.24555852311</v>
      </c>
      <c r="M35" s="13">
        <f>M79/$C$88*$C$44</f>
        <v>302821.37899146799</v>
      </c>
    </row>
    <row r="36" spans="1:13" x14ac:dyDescent="0.2">
      <c r="A36" s="20">
        <v>3644</v>
      </c>
      <c r="B36" s="19" t="s">
        <v>46</v>
      </c>
      <c r="C36" s="78">
        <f>C80/$C$88*$C$44</f>
        <v>13666643.754961852</v>
      </c>
      <c r="D36" s="15">
        <f>D80/$C$88*$C$44</f>
        <v>1667777.4454903237</v>
      </c>
      <c r="E36" s="14">
        <f>E80/$C$88*$C$44</f>
        <v>1220813.0900989168</v>
      </c>
      <c r="F36" s="14">
        <f>F80/$C$88*$C$44</f>
        <v>7515.0762219200524</v>
      </c>
      <c r="G36" s="13">
        <f>G80/$C$88*$C$44</f>
        <v>3613915.0583444731</v>
      </c>
      <c r="H36" s="15">
        <f>H80/$C$88*$C$44</f>
        <v>519054.3982398925</v>
      </c>
      <c r="I36" s="13">
        <f>I80/$C$88*$C$44</f>
        <v>40915.378779679893</v>
      </c>
      <c r="J36" s="16">
        <f>J80/$C$88*$C$44</f>
        <v>991246.41497050051</v>
      </c>
      <c r="K36" s="15">
        <f>K80/$C$88*$C$44</f>
        <v>2314097.7021437557</v>
      </c>
      <c r="L36" s="14">
        <f>L80/$C$88*$C$44</f>
        <v>1883415.7644657877</v>
      </c>
      <c r="M36" s="13">
        <f>M80/$C$88*$C$44</f>
        <v>1407893.4262066011</v>
      </c>
    </row>
    <row r="37" spans="1:13" x14ac:dyDescent="0.2">
      <c r="A37" s="20">
        <v>3541</v>
      </c>
      <c r="B37" s="19" t="s">
        <v>45</v>
      </c>
      <c r="C37" s="78">
        <f>C81/$C$88*$C$44</f>
        <v>2806485.2368839285</v>
      </c>
      <c r="D37" s="15">
        <f>D81/$C$88*$C$44</f>
        <v>353727.72235688369</v>
      </c>
      <c r="E37" s="14">
        <f>E81/$C$88*$C$44</f>
        <v>151985.01137267434</v>
      </c>
      <c r="F37" s="14">
        <f>F81/$C$88*$C$44</f>
        <v>7245.483452314952</v>
      </c>
      <c r="G37" s="13">
        <f>G81/$C$88*$C$44</f>
        <v>705558.35084302537</v>
      </c>
      <c r="H37" s="15">
        <f>H81/$C$88*$C$44</f>
        <v>181502.52330753347</v>
      </c>
      <c r="I37" s="13">
        <f>I81/$C$88*$C$44</f>
        <v>13797.046332682752</v>
      </c>
      <c r="J37" s="16">
        <f>J81/$C$88*$C$44</f>
        <v>257980.97841024908</v>
      </c>
      <c r="K37" s="15">
        <f>K81/$C$88*$C$44</f>
        <v>513345.27561947209</v>
      </c>
      <c r="L37" s="14">
        <f>L81/$C$88*$C$44</f>
        <v>368833.1092900795</v>
      </c>
      <c r="M37" s="13">
        <f>M81/$C$88*$C$44</f>
        <v>252509.7358990128</v>
      </c>
    </row>
    <row r="38" spans="1:13" x14ac:dyDescent="0.2">
      <c r="A38" s="20">
        <v>3646</v>
      </c>
      <c r="B38" s="19" t="s">
        <v>44</v>
      </c>
      <c r="C38" s="78">
        <f>C82/$C$88*$C$44</f>
        <v>4577454.7221626872</v>
      </c>
      <c r="D38" s="15">
        <f>D82/$C$88*$C$44</f>
        <v>644417.21577995818</v>
      </c>
      <c r="E38" s="14">
        <f>E82/$C$88*$C$44</f>
        <v>337459.81533010484</v>
      </c>
      <c r="F38" s="14">
        <f>F82/$C$88*$C$44</f>
        <v>9828.8270358727077</v>
      </c>
      <c r="G38" s="13">
        <f>G82/$C$88*$C$44</f>
        <v>1231806.2435846457</v>
      </c>
      <c r="H38" s="15">
        <f>H82/$C$88*$C$44</f>
        <v>406299.22648658871</v>
      </c>
      <c r="I38" s="13">
        <f>I82/$C$88*$C$44</f>
        <v>22598.610372497613</v>
      </c>
      <c r="J38" s="16">
        <f>J82/$C$88*$C$44</f>
        <v>444954.7442290188</v>
      </c>
      <c r="K38" s="15">
        <f>K82/$C$88*$C$44</f>
        <v>783577.07965270663</v>
      </c>
      <c r="L38" s="14">
        <f>L82/$C$88*$C$44</f>
        <v>461130.59165354341</v>
      </c>
      <c r="M38" s="13">
        <f>M82/$C$88*$C$44</f>
        <v>235382.36803775144</v>
      </c>
    </row>
    <row r="39" spans="1:13" x14ac:dyDescent="0.2">
      <c r="A39" s="20">
        <v>3581</v>
      </c>
      <c r="B39" s="19" t="s">
        <v>43</v>
      </c>
      <c r="C39" s="78">
        <f>C83/$C$88*$C$44</f>
        <v>3851421.710128611</v>
      </c>
      <c r="D39" s="15">
        <f>D83/$C$88*$C$44</f>
        <v>476473.85869592329</v>
      </c>
      <c r="E39" s="14">
        <f>E83/$C$88*$C$44</f>
        <v>166924.67516313848</v>
      </c>
      <c r="F39" s="14">
        <f>F83/$C$88*$C$44</f>
        <v>6549.4088305617806</v>
      </c>
      <c r="G39" s="13">
        <f>G83/$C$88*$C$44</f>
        <v>958026.45772293489</v>
      </c>
      <c r="H39" s="15">
        <f>H83/$C$88*$C$44</f>
        <v>235501.30809234353</v>
      </c>
      <c r="I39" s="13">
        <f>I83/$C$88*$C$44</f>
        <v>12131.885568393454</v>
      </c>
      <c r="J39" s="16">
        <f>J83/$C$88*$C$44</f>
        <v>338503.39536909584</v>
      </c>
      <c r="K39" s="15">
        <f>K83/$C$88*$C$44</f>
        <v>765260.31124552432</v>
      </c>
      <c r="L39" s="14">
        <f>L83/$C$88*$C$44</f>
        <v>531305.22386287805</v>
      </c>
      <c r="M39" s="13">
        <f>M83/$C$88*$C$44</f>
        <v>360745.18557781714</v>
      </c>
    </row>
    <row r="40" spans="1:13" x14ac:dyDescent="0.2">
      <c r="A40" s="20">
        <v>3606</v>
      </c>
      <c r="B40" s="19" t="s">
        <v>42</v>
      </c>
      <c r="C40" s="78">
        <f>C84/$C$88*$C$44</f>
        <v>7863406.5534239328</v>
      </c>
      <c r="D40" s="15">
        <f>D84/$C$88*$C$44</f>
        <v>1098173.524048792</v>
      </c>
      <c r="E40" s="14">
        <f>E84/$C$88*$C$44</f>
        <v>644261.80077529117</v>
      </c>
      <c r="F40" s="14">
        <f>F84/$C$88*$C$44</f>
        <v>8733.4069541989429</v>
      </c>
      <c r="G40" s="13">
        <f>G84/$C$88*$C$44</f>
        <v>2082786.6521747352</v>
      </c>
      <c r="H40" s="15">
        <f>H84/$C$88*$C$44</f>
        <v>119177.9347012769</v>
      </c>
      <c r="I40" s="13">
        <f>I84/$C$88*$C$44</f>
        <v>43532.059980705926</v>
      </c>
      <c r="J40" s="16">
        <f>J84/$C$88*$C$44</f>
        <v>789880.90254608751</v>
      </c>
      <c r="K40" s="15">
        <f>K84/$C$88*$C$44</f>
        <v>1389576.657799419</v>
      </c>
      <c r="L40" s="14">
        <f>L84/$C$88*$C$44</f>
        <v>1058090.7256512567</v>
      </c>
      <c r="M40" s="13">
        <f>M84/$C$88*$C$44</f>
        <v>629192.88879217033</v>
      </c>
    </row>
    <row r="41" spans="1:13" x14ac:dyDescent="0.2">
      <c r="A41" s="20">
        <v>3615</v>
      </c>
      <c r="B41" s="19" t="s">
        <v>41</v>
      </c>
      <c r="C41" s="78">
        <f>C85/$C$88*$C$44</f>
        <v>14404079.461195715</v>
      </c>
      <c r="D41" s="15">
        <f>D85/$C$88*$C$44</f>
        <v>1912912.8980046266</v>
      </c>
      <c r="E41" s="14">
        <f>E85/$C$88*$C$44</f>
        <v>1210873.8644369286</v>
      </c>
      <c r="F41" s="14">
        <f>F85/$C$88*$C$44</f>
        <v>8352.0508655837566</v>
      </c>
      <c r="G41" s="13">
        <f>G85/$C$88*$C$44</f>
        <v>3724242.6635835557</v>
      </c>
      <c r="H41" s="15">
        <f>H85/$C$88*$C$44</f>
        <v>348732.24006401584</v>
      </c>
      <c r="I41" s="13">
        <f>I85/$C$88*$C$44</f>
        <v>47576.021836837084</v>
      </c>
      <c r="J41" s="16">
        <f>J85/$C$88*$C$44</f>
        <v>1311433.0419324141</v>
      </c>
      <c r="K41" s="15">
        <f>K85/$C$88*$C$44</f>
        <v>2665565.5634633894</v>
      </c>
      <c r="L41" s="14">
        <f>L85/$C$88*$C$44</f>
        <v>1990699.6937078554</v>
      </c>
      <c r="M41" s="13">
        <f>M85/$C$88*$C$44</f>
        <v>1183691.4233005065</v>
      </c>
    </row>
    <row r="42" spans="1:13" x14ac:dyDescent="0.2">
      <c r="A42" s="20">
        <v>3625</v>
      </c>
      <c r="B42" s="19" t="s">
        <v>40</v>
      </c>
      <c r="C42" s="78">
        <f>C86/$C$88*$C$44</f>
        <v>528987.6208813556</v>
      </c>
      <c r="D42" s="15">
        <f>D86/$C$88*$C$44</f>
        <v>67557.95100830865</v>
      </c>
      <c r="E42" s="14">
        <f>E86/$C$88*$C$44</f>
        <v>20334.943253500907</v>
      </c>
      <c r="F42" s="14">
        <f>F86/$C$88*$C$44</f>
        <v>5537.4361038485458</v>
      </c>
      <c r="G42" s="13">
        <f>G86/$C$88*$C$44</f>
        <v>140704.89518189963</v>
      </c>
      <c r="H42" s="15">
        <f>H86/$C$88*$C$44</f>
        <v>9039.4441489990459</v>
      </c>
      <c r="I42" s="13">
        <f>I86/$C$88*$C$44</f>
        <v>4519.7220744995229</v>
      </c>
      <c r="J42" s="16">
        <f>J86/$C$88*$C$44</f>
        <v>58161.686695533332</v>
      </c>
      <c r="K42" s="15">
        <f>K86/$C$88*$C$44</f>
        <v>107046.04913288343</v>
      </c>
      <c r="L42" s="14">
        <f>L86/$C$88*$C$44</f>
        <v>69104.171718005862</v>
      </c>
      <c r="M42" s="13">
        <f>M86/$C$88*$C$44</f>
        <v>46981.32156387662</v>
      </c>
    </row>
    <row r="43" spans="1:13" x14ac:dyDescent="0.2">
      <c r="A43" s="20">
        <v>20</v>
      </c>
      <c r="B43" s="19" t="s">
        <v>39</v>
      </c>
      <c r="C43" s="107">
        <f>C87/$C$88*$C$44</f>
        <v>365312.14524986682</v>
      </c>
      <c r="D43" s="15">
        <f>D87/$C$88*$C$44</f>
        <v>57685.926477164954</v>
      </c>
      <c r="E43" s="14">
        <f>E87/$C$88*$C$44</f>
        <v>18328.416189483749</v>
      </c>
      <c r="F43" s="14">
        <f>F87/$C$88*$C$44</f>
        <v>13058.336392536965</v>
      </c>
      <c r="G43" s="13">
        <f>G87/$C$88*$C$44</f>
        <v>99613.48512142348</v>
      </c>
      <c r="H43" s="15">
        <f>H87/$C$88*$C$44</f>
        <v>4519.7220744995229</v>
      </c>
      <c r="I43" s="13">
        <f>I87/$C$88*$C$44</f>
        <v>4043.9618561311522</v>
      </c>
      <c r="J43" s="16">
        <f>J87/$C$88*$C$44</f>
        <v>51382.103583784046</v>
      </c>
      <c r="K43" s="15">
        <f>K87/$C$88*$C$44</f>
        <v>82068.637668543961</v>
      </c>
      <c r="L43" s="14">
        <f>L87/$C$88*$C$44</f>
        <v>33065.335176601773</v>
      </c>
      <c r="M43" s="13">
        <f>M87/$C$88*$C$44</f>
        <v>1546.2207096972049</v>
      </c>
    </row>
    <row r="44" spans="1:13" ht="13.5" thickBot="1" x14ac:dyDescent="0.25">
      <c r="A44" s="12"/>
      <c r="B44" s="11" t="s">
        <v>11</v>
      </c>
      <c r="C44" s="106">
        <v>228441261.40779245</v>
      </c>
      <c r="D44" s="104">
        <f>SUM(D6:D43)</f>
        <v>30134711.701479893</v>
      </c>
      <c r="E44" s="103">
        <f>SUM(E6:E43)</f>
        <v>17526353.027791895</v>
      </c>
      <c r="F44" s="103">
        <f>SUM(F6:F43)</f>
        <v>365979.62810764706</v>
      </c>
      <c r="G44" s="102">
        <f>SUM(G6:G43)</f>
        <v>61663217.675094545</v>
      </c>
      <c r="H44" s="104">
        <f>SUM(H6:H43)</f>
        <v>9970982.6565643102</v>
      </c>
      <c r="I44" s="102">
        <f>SUM(I6:I43)</f>
        <v>855178.99251714651</v>
      </c>
      <c r="J44" s="105">
        <f>SUM(J6:J43)</f>
        <v>19455797.839983456</v>
      </c>
      <c r="K44" s="104">
        <f>SUM(K6:K43)</f>
        <v>40859060.663830526</v>
      </c>
      <c r="L44" s="103">
        <f>SUM(L6:L43)</f>
        <v>29438912.382116165</v>
      </c>
      <c r="M44" s="102">
        <f>SUM(M6:M43)</f>
        <v>18171066.84030696</v>
      </c>
    </row>
    <row r="45" spans="1:13" ht="13.5" thickBot="1" x14ac:dyDescent="0.25">
      <c r="A45" s="101"/>
      <c r="C45" s="100">
        <v>0.1</v>
      </c>
      <c r="D45" s="99" t="s">
        <v>38</v>
      </c>
      <c r="E45" s="98"/>
      <c r="F45" s="98"/>
      <c r="G45" s="98"/>
      <c r="H45" s="98"/>
      <c r="I45" s="98"/>
      <c r="J45" s="98"/>
      <c r="K45" s="98"/>
      <c r="L45" s="98"/>
      <c r="M45" s="98"/>
    </row>
    <row r="46" spans="1:13" ht="13.5" thickBot="1" x14ac:dyDescent="0.25">
      <c r="A46" s="97" t="s">
        <v>37</v>
      </c>
    </row>
    <row r="47" spans="1:13" ht="12.75" customHeight="1" outlineLevel="1" x14ac:dyDescent="0.2">
      <c r="A47" s="64" t="s">
        <v>24</v>
      </c>
      <c r="B47" s="60" t="s">
        <v>23</v>
      </c>
      <c r="C47" s="63" t="s">
        <v>36</v>
      </c>
      <c r="D47" s="96" t="s">
        <v>35</v>
      </c>
      <c r="E47" s="95"/>
      <c r="F47" s="95"/>
      <c r="G47" s="94"/>
      <c r="H47" s="93" t="s">
        <v>18</v>
      </c>
      <c r="I47" s="57" t="s">
        <v>17</v>
      </c>
      <c r="J47" s="56" t="s">
        <v>16</v>
      </c>
      <c r="K47" s="55" t="s">
        <v>34</v>
      </c>
      <c r="L47" s="54"/>
      <c r="M47" s="54"/>
    </row>
    <row r="48" spans="1:13" ht="51.75" outlineLevel="1" thickBot="1" x14ac:dyDescent="0.25">
      <c r="A48" s="53"/>
      <c r="B48" s="49"/>
      <c r="C48" s="52"/>
      <c r="D48" s="92"/>
      <c r="E48" s="91" t="s">
        <v>33</v>
      </c>
      <c r="F48" s="91" t="s">
        <v>32</v>
      </c>
      <c r="G48" s="90" t="s">
        <v>31</v>
      </c>
      <c r="H48" s="89"/>
      <c r="I48" s="46"/>
      <c r="J48" s="45"/>
      <c r="K48" s="44" t="s">
        <v>14</v>
      </c>
      <c r="L48" s="43" t="s">
        <v>13</v>
      </c>
      <c r="M48" s="42" t="s">
        <v>12</v>
      </c>
    </row>
    <row r="49" spans="1:13" outlineLevel="1" x14ac:dyDescent="0.2">
      <c r="A49" s="88" t="s">
        <v>30</v>
      </c>
      <c r="B49" s="87"/>
      <c r="C49" s="86"/>
      <c r="D49" s="82">
        <v>1</v>
      </c>
      <c r="E49" s="81">
        <v>1</v>
      </c>
      <c r="F49" s="81">
        <v>1</v>
      </c>
      <c r="G49" s="80">
        <v>1</v>
      </c>
      <c r="H49" s="85">
        <v>2</v>
      </c>
      <c r="I49" s="84">
        <v>2</v>
      </c>
      <c r="J49" s="83">
        <v>1</v>
      </c>
      <c r="K49" s="82">
        <v>1</v>
      </c>
      <c r="L49" s="81">
        <v>1</v>
      </c>
      <c r="M49" s="80">
        <v>1</v>
      </c>
    </row>
    <row r="50" spans="1:13" outlineLevel="1" x14ac:dyDescent="0.2">
      <c r="A50" s="20">
        <f>A6</f>
        <v>3656</v>
      </c>
      <c r="B50" s="19" t="str">
        <f>B6</f>
        <v>UTA</v>
      </c>
      <c r="C50" s="78">
        <f>SUM(D50:M50)</f>
        <v>36769.487121611426</v>
      </c>
      <c r="D50" s="15">
        <f>D92*D$49</f>
        <v>5018</v>
      </c>
      <c r="E50" s="14">
        <f>D92*E92*E$49</f>
        <v>2600.9966666666669</v>
      </c>
      <c r="F50" s="14">
        <f>IFERROR(D92/F92*100*F$49,0)</f>
        <v>29.603788278048281</v>
      </c>
      <c r="G50" s="13">
        <f>G92*G$49</f>
        <v>10418.553333333379</v>
      </c>
      <c r="H50" s="36">
        <f>H92*H$49</f>
        <v>3062.6666666666665</v>
      </c>
      <c r="I50" s="35">
        <f>I92*I$49</f>
        <v>70</v>
      </c>
      <c r="J50" s="34">
        <f>J92*J$49</f>
        <v>3116</v>
      </c>
      <c r="K50" s="36">
        <f>K92*K$49</f>
        <v>6836.333333333333</v>
      </c>
      <c r="L50" s="79">
        <f>L92*L$49</f>
        <v>3833.6666666666665</v>
      </c>
      <c r="M50" s="35">
        <f>M92*M$49</f>
        <v>1783.6666666666667</v>
      </c>
    </row>
    <row r="51" spans="1:13" outlineLevel="1" x14ac:dyDescent="0.2">
      <c r="A51" s="20">
        <f>A7</f>
        <v>3658</v>
      </c>
      <c r="B51" s="19" t="str">
        <f>B7</f>
        <v>UT</v>
      </c>
      <c r="C51" s="78">
        <f>SUM(D51:M51)</f>
        <v>68787.024692061648</v>
      </c>
      <c r="D51" s="15">
        <f>D93*D$49</f>
        <v>8946.3333333333339</v>
      </c>
      <c r="E51" s="14">
        <f>D93*E93*E$49</f>
        <v>7416.5103333333345</v>
      </c>
      <c r="F51" s="14">
        <f>IFERROR(D93/F93*100*F$49,0)</f>
        <v>26.497692061124674</v>
      </c>
      <c r="G51" s="13">
        <f>G93*G$49</f>
        <v>19398.350000000519</v>
      </c>
      <c r="H51" s="15">
        <f>H93*H$49</f>
        <v>3752.6666666666665</v>
      </c>
      <c r="I51" s="13">
        <f>I93*I$49</f>
        <v>132</v>
      </c>
      <c r="J51" s="16">
        <f>J93*J$49</f>
        <v>3470.3333333333335</v>
      </c>
      <c r="K51" s="15">
        <f>K93*K$49</f>
        <v>9598.3333333333339</v>
      </c>
      <c r="L51" s="14">
        <f>L93*L$49</f>
        <v>9005.6666666666661</v>
      </c>
      <c r="M51" s="13">
        <f>M93*M$49</f>
        <v>7040.333333333333</v>
      </c>
    </row>
    <row r="52" spans="1:13" outlineLevel="1" x14ac:dyDescent="0.2">
      <c r="A52" s="20">
        <f>A8</f>
        <v>9741</v>
      </c>
      <c r="B52" s="19" t="str">
        <f>B8</f>
        <v>UTD</v>
      </c>
      <c r="C52" s="78">
        <f>SUM(D52:M52)</f>
        <v>17900.978760516744</v>
      </c>
      <c r="D52" s="15">
        <f>D94*D$49</f>
        <v>2393</v>
      </c>
      <c r="E52" s="14">
        <f>D94*E94*E$49</f>
        <v>1682.279</v>
      </c>
      <c r="F52" s="14">
        <f>IFERROR(D94/F94*100*F$49,0)</f>
        <v>26.829760516638267</v>
      </c>
      <c r="G52" s="13">
        <f>G94*G$49</f>
        <v>5101.2033333334393</v>
      </c>
      <c r="H52" s="15">
        <f>H94*H$49</f>
        <v>843.33333333333337</v>
      </c>
      <c r="I52" s="13">
        <f>I94*I$49</f>
        <v>64</v>
      </c>
      <c r="J52" s="16">
        <f>J94*J$49</f>
        <v>1319.6666666666667</v>
      </c>
      <c r="K52" s="15">
        <f>K94*K$49</f>
        <v>3315</v>
      </c>
      <c r="L52" s="14">
        <f>L94*L$49</f>
        <v>2134.3333333333335</v>
      </c>
      <c r="M52" s="13">
        <f>M94*M$49</f>
        <v>1021.3333333333334</v>
      </c>
    </row>
    <row r="53" spans="1:13" outlineLevel="1" x14ac:dyDescent="0.2">
      <c r="A53" s="20">
        <f>A9</f>
        <v>3661</v>
      </c>
      <c r="B53" s="19" t="str">
        <f>B9</f>
        <v>UTEP</v>
      </c>
      <c r="C53" s="78">
        <f>SUM(D53:M53)</f>
        <v>24201.177561202836</v>
      </c>
      <c r="D53" s="15">
        <f>D95*D$49</f>
        <v>3057</v>
      </c>
      <c r="E53" s="14">
        <f>D95*E95*E$49</f>
        <v>1192.2299999999998</v>
      </c>
      <c r="F53" s="14">
        <f>IFERROR(D95/F95*100*F$49,0)</f>
        <v>22.870894536023343</v>
      </c>
      <c r="G53" s="13">
        <f>G95*G$49</f>
        <v>6298.0766666668133</v>
      </c>
      <c r="H53" s="15">
        <f>H95*H$49</f>
        <v>1310</v>
      </c>
      <c r="I53" s="13">
        <f>I95*I$49</f>
        <v>180</v>
      </c>
      <c r="J53" s="16">
        <f>J95*J$49</f>
        <v>2464.3333333333335</v>
      </c>
      <c r="K53" s="15">
        <f>K95*K$49</f>
        <v>4362.666666666667</v>
      </c>
      <c r="L53" s="14">
        <f>L95*L$49</f>
        <v>3358</v>
      </c>
      <c r="M53" s="13">
        <f>M95*M$49</f>
        <v>1956</v>
      </c>
    </row>
    <row r="54" spans="1:13" outlineLevel="1" x14ac:dyDescent="0.2">
      <c r="A54" s="20">
        <f>A10</f>
        <v>3599</v>
      </c>
      <c r="B54" s="19" t="str">
        <f>B10</f>
        <v>UTPA</v>
      </c>
      <c r="C54" s="78">
        <f>SUM(D54:M54)</f>
        <v>21392.305823832943</v>
      </c>
      <c r="D54" s="15">
        <f>D96*D$49</f>
        <v>2580</v>
      </c>
      <c r="E54" s="14">
        <f>D96*E96*E$49</f>
        <v>1111.98</v>
      </c>
      <c r="F54" s="14">
        <f>IFERROR(D96/F96*100*F$49,0)</f>
        <v>20.492490499497837</v>
      </c>
      <c r="G54" s="13">
        <f>G96*G$49</f>
        <v>5134.1666666667797</v>
      </c>
      <c r="H54" s="15">
        <f>H96*H$49</f>
        <v>1040.6666666666667</v>
      </c>
      <c r="I54" s="13">
        <f>I96*I$49</f>
        <v>56</v>
      </c>
      <c r="J54" s="16">
        <f>J96*J$49</f>
        <v>2338.3333333333335</v>
      </c>
      <c r="K54" s="15">
        <f>K96*K$49</f>
        <v>4075.3333333333335</v>
      </c>
      <c r="L54" s="14">
        <f>L96*L$49</f>
        <v>3096</v>
      </c>
      <c r="M54" s="13">
        <f>M96*M$49</f>
        <v>1939.3333333333333</v>
      </c>
    </row>
    <row r="55" spans="1:13" outlineLevel="1" x14ac:dyDescent="0.2">
      <c r="A55" s="20">
        <f>A11</f>
        <v>30646</v>
      </c>
      <c r="B55" s="19" t="str">
        <f>B11</f>
        <v>UTB</v>
      </c>
      <c r="C55" s="78">
        <f>SUM(D55:M55)</f>
        <v>7057.7588275484459</v>
      </c>
      <c r="D55" s="15">
        <f>D97*D$49</f>
        <v>1092</v>
      </c>
      <c r="E55" s="14">
        <f>D97*E97*E$49</f>
        <v>628.17092451302005</v>
      </c>
      <c r="F55" s="14">
        <f>IFERROR(D97/F97*100*F$49,0)</f>
        <v>34.461236368736628</v>
      </c>
      <c r="G55" s="13">
        <f>G97*G$49</f>
        <v>2097.7933333333553</v>
      </c>
      <c r="H55" s="15">
        <f>H97*H$49</f>
        <v>248.66666666666666</v>
      </c>
      <c r="I55" s="13">
        <f>I97*I$49</f>
        <v>36.666666666666664</v>
      </c>
      <c r="J55" s="16">
        <f>J97*J$49</f>
        <v>936.66666666666663</v>
      </c>
      <c r="K55" s="15">
        <f>K97*K$49</f>
        <v>1326.3333333333333</v>
      </c>
      <c r="L55" s="14">
        <f>L97*L$49</f>
        <v>556.33333333333337</v>
      </c>
      <c r="M55" s="13">
        <f>M97*M$49</f>
        <v>100.66666666666667</v>
      </c>
    </row>
    <row r="56" spans="1:13" outlineLevel="1" x14ac:dyDescent="0.2">
      <c r="A56" s="20">
        <f>A12</f>
        <v>9930</v>
      </c>
      <c r="B56" s="19" t="str">
        <f>B12</f>
        <v>UTPB</v>
      </c>
      <c r="C56" s="78">
        <f>SUM(D56:M56)</f>
        <v>3768.108507976583</v>
      </c>
      <c r="D56" s="15">
        <f>D98*D$49</f>
        <v>533.33333333333337</v>
      </c>
      <c r="E56" s="14">
        <f>D98*E98*E$49</f>
        <v>236.8</v>
      </c>
      <c r="F56" s="14">
        <f>IFERROR(D98/F98*100*F$49,0)</f>
        <v>23.125174643246009</v>
      </c>
      <c r="G56" s="13">
        <f>G98*G$49</f>
        <v>1001.5166666666704</v>
      </c>
      <c r="H56" s="15">
        <f>H98*H$49</f>
        <v>82.666666666666671</v>
      </c>
      <c r="I56" s="13">
        <f>I98*I$49</f>
        <v>20</v>
      </c>
      <c r="J56" s="16">
        <f>J98*J$49</f>
        <v>399</v>
      </c>
      <c r="K56" s="15">
        <f>K98*K$49</f>
        <v>785.66666666666663</v>
      </c>
      <c r="L56" s="14">
        <f>L98*L$49</f>
        <v>491.66666666666669</v>
      </c>
      <c r="M56" s="13">
        <f>M98*M$49</f>
        <v>194.33333333333334</v>
      </c>
    </row>
    <row r="57" spans="1:13" outlineLevel="1" x14ac:dyDescent="0.2">
      <c r="A57" s="20">
        <f>A13</f>
        <v>10115</v>
      </c>
      <c r="B57" s="19" t="str">
        <f>B13</f>
        <v>UTSA</v>
      </c>
      <c r="C57" s="78">
        <f>SUM(D57:M57)</f>
        <v>32182.247145212375</v>
      </c>
      <c r="D57" s="15">
        <f>D99*D$49</f>
        <v>4119.666666666667</v>
      </c>
      <c r="E57" s="14">
        <f>D99*E99*E$49</f>
        <v>1737.1261111111112</v>
      </c>
      <c r="F57" s="14">
        <f>IFERROR(D99/F99*100*F$49,0)</f>
        <v>20.241034101368403</v>
      </c>
      <c r="G57" s="13">
        <f>G99*G$49</f>
        <v>8414.213333333224</v>
      </c>
      <c r="H57" s="15">
        <f>H99*H$49</f>
        <v>784</v>
      </c>
      <c r="I57" s="13">
        <f>I99*I$49</f>
        <v>99.333333333333329</v>
      </c>
      <c r="J57" s="16">
        <f>J99*J$49</f>
        <v>3123.6666666666665</v>
      </c>
      <c r="K57" s="15">
        <f>K99*K$49</f>
        <v>6809.666666666667</v>
      </c>
      <c r="L57" s="14">
        <f>L99*L$49</f>
        <v>4458.666666666667</v>
      </c>
      <c r="M57" s="13">
        <f>M99*M$49</f>
        <v>2615.6666666666665</v>
      </c>
    </row>
    <row r="58" spans="1:13" outlineLevel="1" x14ac:dyDescent="0.2">
      <c r="A58" s="20">
        <f>A14</f>
        <v>11163</v>
      </c>
      <c r="B58" s="19" t="str">
        <f>B14</f>
        <v>UTT</v>
      </c>
      <c r="C58" s="78">
        <f>SUM(D58:M58)</f>
        <v>8632.8924071838283</v>
      </c>
      <c r="D58" s="15">
        <f>D100*D$49</f>
        <v>1190</v>
      </c>
      <c r="E58" s="14">
        <f>D100*E100*E$49</f>
        <v>613.64333333333343</v>
      </c>
      <c r="F58" s="14">
        <f>IFERROR(D100/F100*100*F$49,0)</f>
        <v>29.255740517151896</v>
      </c>
      <c r="G58" s="13">
        <f>G100*G$49</f>
        <v>2362.6600000000103</v>
      </c>
      <c r="H58" s="15">
        <f>H100*H$49</f>
        <v>753.33333333333337</v>
      </c>
      <c r="I58" s="13">
        <f>I100*I$49</f>
        <v>28</v>
      </c>
      <c r="J58" s="16">
        <f>J100*J$49</f>
        <v>942.33333333333337</v>
      </c>
      <c r="K58" s="15">
        <f>K100*K$49</f>
        <v>1436.3333333333333</v>
      </c>
      <c r="L58" s="14">
        <f>L100*L$49</f>
        <v>890</v>
      </c>
      <c r="M58" s="13">
        <f>M100*M$49</f>
        <v>387.33333333333331</v>
      </c>
    </row>
    <row r="59" spans="1:13" outlineLevel="1" x14ac:dyDescent="0.2">
      <c r="A59" s="20">
        <f>A15</f>
        <v>3632</v>
      </c>
      <c r="B59" s="19" t="str">
        <f>B15</f>
        <v>TAMU</v>
      </c>
      <c r="C59" s="78">
        <f>SUM(D59:M59)</f>
        <v>69584.538331015414</v>
      </c>
      <c r="D59" s="15">
        <f>D101*D$49</f>
        <v>8739.6666666666661</v>
      </c>
      <c r="E59" s="14">
        <f>D101*E101*E$49</f>
        <v>7347.1464444444427</v>
      </c>
      <c r="F59" s="14">
        <f>IFERROR(D101/F101*100*F$49,0)</f>
        <v>25.241886570842681</v>
      </c>
      <c r="G59" s="13">
        <f>G101*G$49</f>
        <v>20104.8166666668</v>
      </c>
      <c r="H59" s="15">
        <f>H101*H$49</f>
        <v>3526</v>
      </c>
      <c r="I59" s="13">
        <f>I101*I$49</f>
        <v>252</v>
      </c>
      <c r="J59" s="16">
        <f>J101*J$49</f>
        <v>3724</v>
      </c>
      <c r="K59" s="15">
        <f>K101*K$49</f>
        <v>10060.666666666666</v>
      </c>
      <c r="L59" s="14">
        <f>L101*L$49</f>
        <v>8907.3333333333339</v>
      </c>
      <c r="M59" s="13">
        <f>M101*M$49</f>
        <v>6897.666666666667</v>
      </c>
    </row>
    <row r="60" spans="1:13" outlineLevel="1" x14ac:dyDescent="0.2">
      <c r="A60" s="20">
        <f>A16</f>
        <v>10298</v>
      </c>
      <c r="B60" s="19" t="str">
        <f>B16</f>
        <v>TAMUG</v>
      </c>
      <c r="C60" s="78">
        <f>SUM(D60:M60)</f>
        <v>3836.2276183820381</v>
      </c>
      <c r="D60" s="15">
        <f>D102*D$49*1.5</f>
        <v>413</v>
      </c>
      <c r="E60" s="14">
        <f>D102*E102*E$49*1.5</f>
        <v>259.08866666666665</v>
      </c>
      <c r="F60" s="14">
        <f>IFERROR(D102/F102*100*F$49,0)*1.5</f>
        <v>24.598951715374838</v>
      </c>
      <c r="G60" s="13">
        <f>G102*G$49*1.5</f>
        <v>1056.0399999999968</v>
      </c>
      <c r="H60" s="15">
        <f>H102*H$49*1.5</f>
        <v>112</v>
      </c>
      <c r="I60" s="13">
        <f>I102*I$49*1.5</f>
        <v>0</v>
      </c>
      <c r="J60" s="16">
        <f>J102*J$49*1.5</f>
        <v>237</v>
      </c>
      <c r="K60" s="15">
        <f>K102*K$49*1.5</f>
        <v>888.5</v>
      </c>
      <c r="L60" s="14">
        <f>L102*L$49*1.5</f>
        <v>477</v>
      </c>
      <c r="M60" s="13">
        <f>M102*M$49*1.5</f>
        <v>369</v>
      </c>
    </row>
    <row r="61" spans="1:13" outlineLevel="1" x14ac:dyDescent="0.2">
      <c r="A61" s="20">
        <f>A17</f>
        <v>3630</v>
      </c>
      <c r="B61" s="19" t="str">
        <f>B17</f>
        <v>Prairie View</v>
      </c>
      <c r="C61" s="78">
        <f>SUM(D61:M61)</f>
        <v>8580.7275769141961</v>
      </c>
      <c r="D61" s="15">
        <f>D103*D$49</f>
        <v>936.33333333333337</v>
      </c>
      <c r="E61" s="14">
        <f>D103*E103*E$49</f>
        <v>348.00388888888887</v>
      </c>
      <c r="F61" s="14">
        <f>IFERROR(D103/F103*100*F$49,0)</f>
        <v>15.823688025296873</v>
      </c>
      <c r="G61" s="13">
        <f>G103*G$49</f>
        <v>2072.9000000000092</v>
      </c>
      <c r="H61" s="15">
        <f>H103*H$49</f>
        <v>631.33333333333337</v>
      </c>
      <c r="I61" s="13">
        <f>I103*I$49</f>
        <v>19.333333333333332</v>
      </c>
      <c r="J61" s="16">
        <f>J103*J$49</f>
        <v>802.66666666666663</v>
      </c>
      <c r="K61" s="15">
        <f>K103*K$49</f>
        <v>1668</v>
      </c>
      <c r="L61" s="14">
        <f>L103*L$49</f>
        <v>1181</v>
      </c>
      <c r="M61" s="13">
        <f>M103*M$49</f>
        <v>905.33333333333337</v>
      </c>
    </row>
    <row r="62" spans="1:13" outlineLevel="1" x14ac:dyDescent="0.2">
      <c r="A62" s="20">
        <f>A18</f>
        <v>3631</v>
      </c>
      <c r="B62" s="19" t="str">
        <f>B18</f>
        <v>Tarleton</v>
      </c>
      <c r="C62" s="78">
        <f>SUM(D62:M62)</f>
        <v>11473.105767752351</v>
      </c>
      <c r="D62" s="15">
        <f>D104*D$49</f>
        <v>1545.3333333333333</v>
      </c>
      <c r="E62" s="14">
        <f>D104*E104*E$49</f>
        <v>738.66933333333338</v>
      </c>
      <c r="F62" s="14">
        <f>IFERROR(D104/F104*100*F$49,0)</f>
        <v>24.559767752325659</v>
      </c>
      <c r="G62" s="13">
        <f>G104*G$49</f>
        <v>3122.5433333333599</v>
      </c>
      <c r="H62" s="15">
        <f>H104*H$49</f>
        <v>406</v>
      </c>
      <c r="I62" s="13">
        <f>I104*I$49</f>
        <v>95.333333333333329</v>
      </c>
      <c r="J62" s="16">
        <f>J104*J$49</f>
        <v>1195</v>
      </c>
      <c r="K62" s="15">
        <f>K104*K$49</f>
        <v>2154.3333333333335</v>
      </c>
      <c r="L62" s="14">
        <f>L104*L$49</f>
        <v>1328.6666666666667</v>
      </c>
      <c r="M62" s="13">
        <f>M104*M$49</f>
        <v>862.66666666666663</v>
      </c>
    </row>
    <row r="63" spans="1:13" outlineLevel="1" x14ac:dyDescent="0.2">
      <c r="A63" s="27">
        <f>A19</f>
        <v>103631</v>
      </c>
      <c r="B63" s="19" t="str">
        <f>B19</f>
        <v>TAMUCT</v>
      </c>
      <c r="C63" s="78">
        <f>SUM(D63:M63)</f>
        <v>2671.9105161886728</v>
      </c>
      <c r="D63" s="15">
        <f>D105*D$49</f>
        <v>460.33333333333331</v>
      </c>
      <c r="E63" s="14">
        <f>D105*E105*E$49</f>
        <v>220.03933333333333</v>
      </c>
      <c r="F63" s="14">
        <f>IFERROR(D105/F105*100*F$49,0)</f>
        <v>67.587849522007247</v>
      </c>
      <c r="G63" s="13">
        <f>G105*G$49</f>
        <v>853.61666666666588</v>
      </c>
      <c r="H63" s="15">
        <f>H105*H$49</f>
        <v>81.333333333333329</v>
      </c>
      <c r="I63" s="13">
        <f>I105*I$49</f>
        <v>0</v>
      </c>
      <c r="J63" s="16">
        <f>J105*J$49</f>
        <v>327</v>
      </c>
      <c r="K63" s="15">
        <f>K105*K$49</f>
        <v>495</v>
      </c>
      <c r="L63" s="14">
        <f>L105*L$49</f>
        <v>133</v>
      </c>
      <c r="M63" s="13">
        <f>M105*M$49</f>
        <v>34</v>
      </c>
    </row>
    <row r="64" spans="1:13" outlineLevel="1" x14ac:dyDescent="0.2">
      <c r="A64" s="20">
        <f>A20</f>
        <v>11161</v>
      </c>
      <c r="B64" s="19" t="str">
        <f>B20</f>
        <v>TAMUCC</v>
      </c>
      <c r="C64" s="78">
        <f>SUM(D64:M64)</f>
        <v>10983.516514062836</v>
      </c>
      <c r="D64" s="15">
        <f>D106*D$49</f>
        <v>1388.3333333333333</v>
      </c>
      <c r="E64" s="14">
        <f>D106*E106*E$49</f>
        <v>705.27333333333331</v>
      </c>
      <c r="F64" s="14">
        <f>IFERROR(D106/F106*100*F$49,0)</f>
        <v>21.376514062820775</v>
      </c>
      <c r="G64" s="13">
        <f>G106*G$49</f>
        <v>2804.2000000000139</v>
      </c>
      <c r="H64" s="15">
        <f>H106*H$49</f>
        <v>532.66666666666663</v>
      </c>
      <c r="I64" s="13">
        <f>I106*I$49</f>
        <v>51.333333333333336</v>
      </c>
      <c r="J64" s="16">
        <f>J106*J$49</f>
        <v>1080</v>
      </c>
      <c r="K64" s="15">
        <f>K106*K$49</f>
        <v>2054</v>
      </c>
      <c r="L64" s="14">
        <f>L106*L$49</f>
        <v>1468</v>
      </c>
      <c r="M64" s="13">
        <f>M106*M$49</f>
        <v>878.33333333333337</v>
      </c>
    </row>
    <row r="65" spans="1:13" outlineLevel="1" x14ac:dyDescent="0.2">
      <c r="A65" s="20">
        <f>A21</f>
        <v>3639</v>
      </c>
      <c r="B65" s="19" t="str">
        <f>B21</f>
        <v>TAMUK</v>
      </c>
      <c r="C65" s="78">
        <f>SUM(D65:M65)</f>
        <v>6696.7767214397563</v>
      </c>
      <c r="D65" s="15">
        <f>D107*D$49</f>
        <v>761.66666666666663</v>
      </c>
      <c r="E65" s="14">
        <f>D107*E107*E$49</f>
        <v>306.44388888888892</v>
      </c>
      <c r="F65" s="14">
        <f>IFERROR(D107/F107*100*F$49,0)</f>
        <v>17.879499217527385</v>
      </c>
      <c r="G65" s="13">
        <f>G107*G$49</f>
        <v>1763.4533333333395</v>
      </c>
      <c r="H65" s="15">
        <f>H107*H$49</f>
        <v>520</v>
      </c>
      <c r="I65" s="13">
        <f>I107*I$49</f>
        <v>33.333333333333336</v>
      </c>
      <c r="J65" s="16">
        <f>J107*J$49</f>
        <v>648.33333333333337</v>
      </c>
      <c r="K65" s="15">
        <f>K107*K$49</f>
        <v>1227.3333333333333</v>
      </c>
      <c r="L65" s="14">
        <f>L107*L$49</f>
        <v>859.66666666666663</v>
      </c>
      <c r="M65" s="13">
        <f>M107*M$49</f>
        <v>558.66666666666663</v>
      </c>
    </row>
    <row r="66" spans="1:13" outlineLevel="1" x14ac:dyDescent="0.2">
      <c r="A66" s="27">
        <f>A22</f>
        <v>103639</v>
      </c>
      <c r="B66" s="19" t="str">
        <f>B22</f>
        <v>TAMUSA</v>
      </c>
      <c r="C66" s="78">
        <f>SUM(D66:M66)</f>
        <v>3205.7163913742643</v>
      </c>
      <c r="D66" s="15">
        <f>D108*D$49</f>
        <v>587.66666666666663</v>
      </c>
      <c r="E66" s="14">
        <f>D108*E108*E$49</f>
        <v>236.43788888888889</v>
      </c>
      <c r="F66" s="14">
        <f>IFERROR(D108/F108*100*F$49,0)</f>
        <v>41.598502485370922</v>
      </c>
      <c r="G66" s="13">
        <f>G108*G$49</f>
        <v>1026.0133333333379</v>
      </c>
      <c r="H66" s="15">
        <f>H108*H$49</f>
        <v>10</v>
      </c>
      <c r="I66" s="13">
        <f>I108*I$49</f>
        <v>4</v>
      </c>
      <c r="J66" s="16">
        <f>J108*J$49</f>
        <v>490.33333333333331</v>
      </c>
      <c r="K66" s="15">
        <f>K108*K$49</f>
        <v>729.66666666666663</v>
      </c>
      <c r="L66" s="14">
        <f>L108*L$49</f>
        <v>77.333333333333329</v>
      </c>
      <c r="M66" s="13">
        <f>M108*M$49</f>
        <v>2.6666666666666665</v>
      </c>
    </row>
    <row r="67" spans="1:13" outlineLevel="1" x14ac:dyDescent="0.2">
      <c r="A67" s="20">
        <f>A23</f>
        <v>9651</v>
      </c>
      <c r="B67" s="19" t="str">
        <f>B23</f>
        <v>TAMI</v>
      </c>
      <c r="C67" s="78">
        <f>SUM(D67:M67)</f>
        <v>6525.9317099037416</v>
      </c>
      <c r="D67" s="15">
        <f>D109*D$49</f>
        <v>789.66666666666663</v>
      </c>
      <c r="E67" s="14">
        <f>D109*E109*E$49</f>
        <v>373.77555555555551</v>
      </c>
      <c r="F67" s="14">
        <f>IFERROR(D109/F109*100*F$49,0)</f>
        <v>19.326154348180779</v>
      </c>
      <c r="G67" s="13">
        <f>G109*G$49</f>
        <v>1458.4966666666717</v>
      </c>
      <c r="H67" s="15">
        <f>H109*H$49</f>
        <v>231.33333333333334</v>
      </c>
      <c r="I67" s="13">
        <f>I109*I$49</f>
        <v>44.666666666666664</v>
      </c>
      <c r="J67" s="16">
        <f>J109*J$49</f>
        <v>712.66666666666663</v>
      </c>
      <c r="K67" s="15">
        <f>K109*K$49</f>
        <v>1406.6666666666667</v>
      </c>
      <c r="L67" s="14">
        <f>L109*L$49</f>
        <v>1015.6666666666666</v>
      </c>
      <c r="M67" s="13">
        <f>M109*M$49</f>
        <v>473.66666666666669</v>
      </c>
    </row>
    <row r="68" spans="1:13" outlineLevel="1" x14ac:dyDescent="0.2">
      <c r="A68" s="20">
        <f>A24</f>
        <v>3665</v>
      </c>
      <c r="B68" s="19" t="str">
        <f>B24</f>
        <v>WTAMU</v>
      </c>
      <c r="C68" s="78">
        <f>SUM(D68:M68)</f>
        <v>9433.0981662984941</v>
      </c>
      <c r="D68" s="15">
        <f>D110*D$49</f>
        <v>1255.6666666666667</v>
      </c>
      <c r="E68" s="14">
        <f>D110*E110*E$49</f>
        <v>591.00044444444438</v>
      </c>
      <c r="F68" s="14">
        <f>IFERROR(D110/F110*100*F$49,0)</f>
        <v>23.187721854032869</v>
      </c>
      <c r="G68" s="13">
        <f>G110*G$49</f>
        <v>2503.5766666666836</v>
      </c>
      <c r="H68" s="15">
        <f>H110*H$49</f>
        <v>383.33333333333331</v>
      </c>
      <c r="I68" s="13">
        <f>I110*I$49</f>
        <v>121.33333333333333</v>
      </c>
      <c r="J68" s="16">
        <f>J110*J$49</f>
        <v>889.33333333333337</v>
      </c>
      <c r="K68" s="15">
        <f>K110*K$49</f>
        <v>1791.6666666666667</v>
      </c>
      <c r="L68" s="14">
        <f>L110*L$49</f>
        <v>1212.6666666666667</v>
      </c>
      <c r="M68" s="13">
        <f>M110*M$49</f>
        <v>661.33333333333337</v>
      </c>
    </row>
    <row r="69" spans="1:13" outlineLevel="1" x14ac:dyDescent="0.2">
      <c r="A69" s="20">
        <f>A25</f>
        <v>3565</v>
      </c>
      <c r="B69" s="19" t="str">
        <f>B25</f>
        <v>TAMUC</v>
      </c>
      <c r="C69" s="78">
        <f>SUM(D69:M69)</f>
        <v>9233.7287686960499</v>
      </c>
      <c r="D69" s="15">
        <f>D111*D$49</f>
        <v>1324.3333333333333</v>
      </c>
      <c r="E69" s="14">
        <f>D111*E111*E$49</f>
        <v>582.70666666666659</v>
      </c>
      <c r="F69" s="14">
        <f>IFERROR(D111/F111*100*F$49,0)</f>
        <v>28.19543536269185</v>
      </c>
      <c r="G69" s="13">
        <f>G111*G$49</f>
        <v>2501.8266666666914</v>
      </c>
      <c r="H69" s="15">
        <f>H111*H$49</f>
        <v>146</v>
      </c>
      <c r="I69" s="13">
        <f>I111*I$49</f>
        <v>148.66666666666666</v>
      </c>
      <c r="J69" s="16">
        <f>J111*J$49</f>
        <v>1019.3333333333334</v>
      </c>
      <c r="K69" s="15">
        <f>K111*K$49</f>
        <v>1893</v>
      </c>
      <c r="L69" s="14">
        <f>L111*L$49</f>
        <v>1137.3333333333333</v>
      </c>
      <c r="M69" s="13">
        <f>M111*M$49</f>
        <v>452.33333333333331</v>
      </c>
    </row>
    <row r="70" spans="1:13" outlineLevel="1" x14ac:dyDescent="0.2">
      <c r="A70" s="20">
        <f>A26</f>
        <v>29269</v>
      </c>
      <c r="B70" s="19" t="str">
        <f>B26</f>
        <v>TAMUT</v>
      </c>
      <c r="C70" s="78">
        <f>SUM(D70:M70)</f>
        <v>2167.0366176870225</v>
      </c>
      <c r="D70" s="15">
        <f>D112*D$49</f>
        <v>345.66666666666669</v>
      </c>
      <c r="E70" s="14">
        <f>D112*E112*E$49</f>
        <v>187.3602625468375</v>
      </c>
      <c r="F70" s="14">
        <f>IFERROR(D112/F112*100*F$49,0)</f>
        <v>38.766355140186917</v>
      </c>
      <c r="G70" s="13">
        <f>G112*G$49</f>
        <v>619.90999999999826</v>
      </c>
      <c r="H70" s="15">
        <f>H112*H$49</f>
        <v>83.333333333333329</v>
      </c>
      <c r="I70" s="13">
        <f>I112*I$49</f>
        <v>38.666666666666664</v>
      </c>
      <c r="J70" s="16">
        <f>J112*J$49</f>
        <v>239</v>
      </c>
      <c r="K70" s="15">
        <f>K112*K$49</f>
        <v>432.66666666666669</v>
      </c>
      <c r="L70" s="14">
        <f>L112*L$49</f>
        <v>181</v>
      </c>
      <c r="M70" s="13">
        <f>M112*M$49</f>
        <v>0.66666666666666663</v>
      </c>
    </row>
    <row r="71" spans="1:13" outlineLevel="1" x14ac:dyDescent="0.2">
      <c r="A71" s="20">
        <f>A27</f>
        <v>3652</v>
      </c>
      <c r="B71" s="19" t="str">
        <f>B27</f>
        <v>UH</v>
      </c>
      <c r="C71" s="78">
        <f>SUM(D71:M71)</f>
        <v>40007.256605232862</v>
      </c>
      <c r="D71" s="15">
        <f>D113*D$49</f>
        <v>5098.666666666667</v>
      </c>
      <c r="E71" s="14">
        <f>D113*E113*E$49</f>
        <v>2734.5848888888891</v>
      </c>
      <c r="F71" s="14">
        <f>IFERROR(D113/F113*100*F$49,0)</f>
        <v>21.425049678026625</v>
      </c>
      <c r="G71" s="13">
        <f>G113*G$49</f>
        <v>10580.246666665944</v>
      </c>
      <c r="H71" s="15">
        <f>H113*H$49</f>
        <v>1474</v>
      </c>
      <c r="I71" s="13">
        <f>I113*I$49</f>
        <v>125.33333333333333</v>
      </c>
      <c r="J71" s="16">
        <f>J113*J$49</f>
        <v>3373</v>
      </c>
      <c r="K71" s="15">
        <f>K113*K$49</f>
        <v>7602.333333333333</v>
      </c>
      <c r="L71" s="14">
        <f>L113*L$49</f>
        <v>5690.333333333333</v>
      </c>
      <c r="M71" s="13">
        <f>M113*M$49</f>
        <v>3307.3333333333335</v>
      </c>
    </row>
    <row r="72" spans="1:13" outlineLevel="1" x14ac:dyDescent="0.2">
      <c r="A72" s="20">
        <f>A28</f>
        <v>11711</v>
      </c>
      <c r="B72" s="19" t="str">
        <f>B28</f>
        <v>UHCL</v>
      </c>
      <c r="C72" s="78">
        <f>SUM(D72:M72)</f>
        <v>7538.9896060071042</v>
      </c>
      <c r="D72" s="15">
        <f>D114*D$49</f>
        <v>1190.6666666666667</v>
      </c>
      <c r="E72" s="14">
        <f>D114*E114*E$49</f>
        <v>619.34267935898833</v>
      </c>
      <c r="F72" s="14">
        <f>IFERROR(D114/F114*100*F$49,0)</f>
        <v>39.693593314763234</v>
      </c>
      <c r="G72" s="13">
        <f>G114*G$49</f>
        <v>2282.9533333333529</v>
      </c>
      <c r="H72" s="15">
        <f>H114*H$49</f>
        <v>213.33333333333334</v>
      </c>
      <c r="I72" s="13">
        <f>I114*I$49</f>
        <v>16.666666666666668</v>
      </c>
      <c r="J72" s="16">
        <f>J114*J$49</f>
        <v>774.33333333333337</v>
      </c>
      <c r="K72" s="15">
        <f>K114*K$49</f>
        <v>1391.3333333333333</v>
      </c>
      <c r="L72" s="14">
        <f>L114*L$49</f>
        <v>953.66666666666663</v>
      </c>
      <c r="M72" s="13">
        <f>M114*M$49</f>
        <v>57</v>
      </c>
    </row>
    <row r="73" spans="1:13" outlineLevel="1" x14ac:dyDescent="0.2">
      <c r="A73" s="20">
        <f>A29</f>
        <v>12826</v>
      </c>
      <c r="B73" s="19" t="str">
        <f>B29</f>
        <v>UHD</v>
      </c>
      <c r="C73" s="78">
        <f>SUM(D73:M73)</f>
        <v>14658.126365196475</v>
      </c>
      <c r="D73" s="15">
        <f>D115*D$49</f>
        <v>2382.3333333333335</v>
      </c>
      <c r="E73" s="14">
        <f>D115*E115*E$49</f>
        <v>452.64333333333343</v>
      </c>
      <c r="F73" s="14">
        <f>IFERROR(D115/F115*100*F$49,0)</f>
        <v>29.833031863086134</v>
      </c>
      <c r="G73" s="13">
        <f>G115*G$49</f>
        <v>4271.3166666667212</v>
      </c>
      <c r="H73" s="15">
        <f>H115*H$49</f>
        <v>259.33333333333331</v>
      </c>
      <c r="I73" s="13">
        <f>I115*I$49</f>
        <v>3.3333333333333335</v>
      </c>
      <c r="J73" s="16">
        <f>J115*J$49</f>
        <v>1681</v>
      </c>
      <c r="K73" s="15">
        <f>K115*K$49</f>
        <v>3105.3333333333335</v>
      </c>
      <c r="L73" s="14">
        <f>L115*L$49</f>
        <v>1868.3333333333333</v>
      </c>
      <c r="M73" s="13">
        <f>M115*M$49</f>
        <v>604.66666666666663</v>
      </c>
    </row>
    <row r="74" spans="1:13" outlineLevel="1" x14ac:dyDescent="0.2">
      <c r="A74" s="20">
        <f>A30</f>
        <v>13231</v>
      </c>
      <c r="B74" s="19" t="str">
        <f>B30</f>
        <v>UHV</v>
      </c>
      <c r="C74" s="78">
        <f>SUM(D74:M74)</f>
        <v>3635.0934450646537</v>
      </c>
      <c r="D74" s="15">
        <f>D116*D$49</f>
        <v>576.66666666666663</v>
      </c>
      <c r="E74" s="14">
        <f>D116*E116*E$49</f>
        <v>300.19546283886069</v>
      </c>
      <c r="F74" s="14">
        <f>IFERROR(D116/F116*100*F$49,0)</f>
        <v>40.08464889245883</v>
      </c>
      <c r="G74" s="13">
        <f>G116*G$49</f>
        <v>1084.4800000000012</v>
      </c>
      <c r="H74" s="15">
        <f>H116*H$49</f>
        <v>216</v>
      </c>
      <c r="I74" s="13">
        <f>I116*I$49</f>
        <v>14.666666666666666</v>
      </c>
      <c r="J74" s="16">
        <f>J116*J$49</f>
        <v>384</v>
      </c>
      <c r="K74" s="15">
        <f>K116*K$49</f>
        <v>716</v>
      </c>
      <c r="L74" s="14">
        <f>L116*L$49</f>
        <v>296.33333333333331</v>
      </c>
      <c r="M74" s="13">
        <f>M116*M$49</f>
        <v>6.666666666666667</v>
      </c>
    </row>
    <row r="75" spans="1:13" outlineLevel="1" x14ac:dyDescent="0.2">
      <c r="A75" s="20">
        <f>A31</f>
        <v>3592</v>
      </c>
      <c r="B75" s="19" t="str">
        <f>B31</f>
        <v>Midwestern</v>
      </c>
      <c r="C75" s="78">
        <f>SUM(D75:M75)</f>
        <v>8021.7014110369273</v>
      </c>
      <c r="D75" s="15">
        <f>D117*D$49</f>
        <v>1031.6666666666667</v>
      </c>
      <c r="E75" s="14">
        <f>D117*E117*E$49</f>
        <v>453.24555555555554</v>
      </c>
      <c r="F75" s="14">
        <f>IFERROR(D117/F117*100*F$49,0)</f>
        <v>24.122522148034601</v>
      </c>
      <c r="G75" s="13">
        <f>G117*G$49</f>
        <v>1962.0000000000034</v>
      </c>
      <c r="H75" s="15">
        <f>H117*H$49</f>
        <v>666.66666666666663</v>
      </c>
      <c r="I75" s="13">
        <f>I117*I$49</f>
        <v>30</v>
      </c>
      <c r="J75" s="16">
        <f>J117*J$49</f>
        <v>690.33333333333337</v>
      </c>
      <c r="K75" s="15">
        <f>K117*K$49</f>
        <v>1438</v>
      </c>
      <c r="L75" s="14">
        <f>L117*L$49</f>
        <v>1046</v>
      </c>
      <c r="M75" s="13">
        <f>M117*M$49</f>
        <v>679.66666666666663</v>
      </c>
    </row>
    <row r="76" spans="1:13" outlineLevel="1" x14ac:dyDescent="0.2">
      <c r="A76" s="20">
        <f>A32</f>
        <v>3594</v>
      </c>
      <c r="B76" s="19" t="str">
        <f>B32</f>
        <v>UNT</v>
      </c>
      <c r="C76" s="78">
        <f>SUM(D76:M76)</f>
        <v>42345.712500120833</v>
      </c>
      <c r="D76" s="15">
        <f>D118*D$49</f>
        <v>6016.666666666667</v>
      </c>
      <c r="E76" s="14">
        <f>D118*E118*E$49</f>
        <v>3467.6055555555558</v>
      </c>
      <c r="F76" s="14">
        <f>IFERROR(D118/F118*100*F$49,0)</f>
        <v>25.886944566084125</v>
      </c>
      <c r="G76" s="13">
        <f>G118*G$49</f>
        <v>11411.553333332529</v>
      </c>
      <c r="H76" s="15">
        <f>H118*H$49</f>
        <v>673.33333333333337</v>
      </c>
      <c r="I76" s="13">
        <f>I118*I$49</f>
        <v>86.666666666666671</v>
      </c>
      <c r="J76" s="16">
        <f>J118*J$49</f>
        <v>3820</v>
      </c>
      <c r="K76" s="15">
        <f>K118*K$49</f>
        <v>7864.666666666667</v>
      </c>
      <c r="L76" s="14">
        <f>L118*L$49</f>
        <v>5642.333333333333</v>
      </c>
      <c r="M76" s="13">
        <f>M118*M$49</f>
        <v>3337</v>
      </c>
    </row>
    <row r="77" spans="1:13" outlineLevel="1" x14ac:dyDescent="0.2">
      <c r="A77" s="27">
        <f>A33</f>
        <v>113594</v>
      </c>
      <c r="B77" s="19" t="str">
        <f>B33</f>
        <v>UNTD</v>
      </c>
      <c r="C77" s="78">
        <f>SUM(D77:M77)</f>
        <v>2278.0285160653862</v>
      </c>
      <c r="D77" s="15">
        <f>D119*D$49</f>
        <v>403.5</v>
      </c>
      <c r="E77" s="14">
        <f>D119*E119*E$49</f>
        <v>233.02125000000001</v>
      </c>
      <c r="F77" s="14">
        <f>IFERROR(D119/F119*100*F$49,0)</f>
        <v>42.647266065388948</v>
      </c>
      <c r="G77" s="13">
        <f>G119*G$49</f>
        <v>705.85999999999717</v>
      </c>
      <c r="H77" s="15">
        <f>H119*H$49</f>
        <v>24</v>
      </c>
      <c r="I77" s="13">
        <f>I119*I$49</f>
        <v>0</v>
      </c>
      <c r="J77" s="16">
        <f>J119*J$49</f>
        <v>308.5</v>
      </c>
      <c r="K77" s="15">
        <f>K119*K$49</f>
        <v>478</v>
      </c>
      <c r="L77" s="14">
        <f>L119*L$49</f>
        <v>71.5</v>
      </c>
      <c r="M77" s="13">
        <f>M119*M$49</f>
        <v>11</v>
      </c>
    </row>
    <row r="78" spans="1:13" outlineLevel="1" x14ac:dyDescent="0.2">
      <c r="A78" s="20">
        <f>A34</f>
        <v>3624</v>
      </c>
      <c r="B78" s="19" t="str">
        <f>B34</f>
        <v>SFA</v>
      </c>
      <c r="C78" s="78">
        <f>SUM(D78:M78)</f>
        <v>15015.597544310087</v>
      </c>
      <c r="D78" s="15">
        <f>D120*D$49</f>
        <v>1921.6666666666667</v>
      </c>
      <c r="E78" s="14">
        <f>D120*E120*E$49</f>
        <v>1064.6033333333332</v>
      </c>
      <c r="F78" s="14">
        <f>IFERROR(D120/F120*100*F$49,0)</f>
        <v>20.257544310083915</v>
      </c>
      <c r="G78" s="13">
        <f>G120*G$49</f>
        <v>3721.736666666669</v>
      </c>
      <c r="H78" s="15">
        <f>H120*H$49</f>
        <v>496</v>
      </c>
      <c r="I78" s="13">
        <f>I120*I$49</f>
        <v>89.333333333333329</v>
      </c>
      <c r="J78" s="16">
        <f>J120*J$49</f>
        <v>1460.3333333333333</v>
      </c>
      <c r="K78" s="15">
        <f>K120*K$49</f>
        <v>2769.3333333333335</v>
      </c>
      <c r="L78" s="14">
        <f>L120*L$49</f>
        <v>2075</v>
      </c>
      <c r="M78" s="13">
        <f>M120*M$49</f>
        <v>1397.3333333333333</v>
      </c>
    </row>
    <row r="79" spans="1:13" outlineLevel="1" x14ac:dyDescent="0.2">
      <c r="A79" s="20">
        <f>A35</f>
        <v>3642</v>
      </c>
      <c r="B79" s="19" t="str">
        <f>B35</f>
        <v>TSU</v>
      </c>
      <c r="C79" s="78">
        <f>SUM(D79:M79)</f>
        <v>6928.867569899784</v>
      </c>
      <c r="D79" s="15">
        <f>D121*D$49</f>
        <v>758.33333333333337</v>
      </c>
      <c r="E79" s="14">
        <f>D121*E121*E$49</f>
        <v>108.94722222222221</v>
      </c>
      <c r="F79" s="14">
        <f>IFERROR(D121/F121*100*F$49,0)</f>
        <v>12.933681010892716</v>
      </c>
      <c r="G79" s="13">
        <f>G121*G$49</f>
        <v>1488.6533333333352</v>
      </c>
      <c r="H79" s="15">
        <f>H121*H$49</f>
        <v>268.66666666666669</v>
      </c>
      <c r="I79" s="13">
        <f>I121*I$49</f>
        <v>6</v>
      </c>
      <c r="J79" s="16">
        <f>J121*J$49</f>
        <v>666.33333333333337</v>
      </c>
      <c r="K79" s="15">
        <f>K121*K$49</f>
        <v>1637.3333333333333</v>
      </c>
      <c r="L79" s="14">
        <f>L121*L$49</f>
        <v>1133</v>
      </c>
      <c r="M79" s="13">
        <f>M121*M$49</f>
        <v>848.66666666666663</v>
      </c>
    </row>
    <row r="80" spans="1:13" outlineLevel="1" x14ac:dyDescent="0.2">
      <c r="A80" s="20">
        <f>A36</f>
        <v>3644</v>
      </c>
      <c r="B80" s="19" t="str">
        <f>B36</f>
        <v>TTU</v>
      </c>
      <c r="C80" s="78">
        <f>SUM(D80:M80)</f>
        <v>38301.209243126381</v>
      </c>
      <c r="D80" s="15">
        <f>D122*D$49</f>
        <v>4674</v>
      </c>
      <c r="E80" s="14">
        <f>D122*E122*E$49</f>
        <v>3421.3679999999995</v>
      </c>
      <c r="F80" s="14">
        <f>IFERROR(D122/F122*100*F$49,0)</f>
        <v>21.061243127033354</v>
      </c>
      <c r="G80" s="13">
        <f>G122*G$49</f>
        <v>10128.113333332682</v>
      </c>
      <c r="H80" s="15">
        <f>H122*H$49</f>
        <v>1454.6666666666667</v>
      </c>
      <c r="I80" s="13">
        <f>I122*I$49</f>
        <v>114.66666666666667</v>
      </c>
      <c r="J80" s="16">
        <f>J122*J$49</f>
        <v>2778</v>
      </c>
      <c r="K80" s="15">
        <f>K122*K$49</f>
        <v>6485.333333333333</v>
      </c>
      <c r="L80" s="14">
        <f>L122*L$49</f>
        <v>5278.333333333333</v>
      </c>
      <c r="M80" s="13">
        <f>M122*M$49</f>
        <v>3945.6666666666665</v>
      </c>
    </row>
    <row r="81" spans="1:14" outlineLevel="1" x14ac:dyDescent="0.2">
      <c r="A81" s="20">
        <f>A37</f>
        <v>3541</v>
      </c>
      <c r="B81" s="19" t="str">
        <f>B37</f>
        <v>Angelo</v>
      </c>
      <c r="C81" s="78">
        <f>SUM(D81:M81)</f>
        <v>7865.2652562638259</v>
      </c>
      <c r="D81" s="15">
        <f>D123*D$49</f>
        <v>991.33333333333337</v>
      </c>
      <c r="E81" s="14">
        <f>D123*E123*E$49</f>
        <v>425.94288888888889</v>
      </c>
      <c r="F81" s="14">
        <f>IFERROR(D123/F123*100*F$49,0)</f>
        <v>20.305700708264297</v>
      </c>
      <c r="G81" s="13">
        <f>G123*G$49</f>
        <v>1977.3500000000051</v>
      </c>
      <c r="H81" s="15">
        <f>H123*H$49</f>
        <v>508.66666666666669</v>
      </c>
      <c r="I81" s="13">
        <f>I123*I$49</f>
        <v>38.666666666666664</v>
      </c>
      <c r="J81" s="16">
        <f>J123*J$49</f>
        <v>723</v>
      </c>
      <c r="K81" s="15">
        <f>K123*K$49</f>
        <v>1438.6666666666667</v>
      </c>
      <c r="L81" s="14">
        <f>L123*L$49</f>
        <v>1033.6666666666667</v>
      </c>
      <c r="M81" s="13">
        <f>M123*M$49</f>
        <v>707.66666666666663</v>
      </c>
    </row>
    <row r="82" spans="1:14" outlineLevel="1" x14ac:dyDescent="0.2">
      <c r="A82" s="20">
        <f>A38</f>
        <v>3646</v>
      </c>
      <c r="B82" s="19" t="str">
        <f>B38</f>
        <v>TWU</v>
      </c>
      <c r="C82" s="78">
        <f>SUM(D82:M82)</f>
        <v>12828.464270961706</v>
      </c>
      <c r="D82" s="15">
        <f>D124*D$49</f>
        <v>1806</v>
      </c>
      <c r="E82" s="14">
        <f>D124*E124*E$49</f>
        <v>945.74200000000008</v>
      </c>
      <c r="F82" s="14">
        <f>IFERROR(D124/F124*100*F$49,0)</f>
        <v>27.545604295039961</v>
      </c>
      <c r="G82" s="13">
        <f>G124*G$49</f>
        <v>3452.1766666666658</v>
      </c>
      <c r="H82" s="15">
        <f>H124*H$49</f>
        <v>1138.6666666666667</v>
      </c>
      <c r="I82" s="13">
        <f>I124*I$49</f>
        <v>63.333333333333336</v>
      </c>
      <c r="J82" s="16">
        <f>J124*J$49</f>
        <v>1247</v>
      </c>
      <c r="K82" s="15">
        <f>K124*K$49</f>
        <v>2196</v>
      </c>
      <c r="L82" s="14">
        <f>L124*L$49</f>
        <v>1292.3333333333333</v>
      </c>
      <c r="M82" s="13">
        <f>M124*M$49</f>
        <v>659.66666666666663</v>
      </c>
    </row>
    <row r="83" spans="1:14" outlineLevel="1" x14ac:dyDescent="0.2">
      <c r="A83" s="20">
        <f>A39</f>
        <v>3581</v>
      </c>
      <c r="B83" s="19" t="str">
        <f>B39</f>
        <v>Lamar</v>
      </c>
      <c r="C83" s="78">
        <f>SUM(D83:M83)</f>
        <v>10793.733373608913</v>
      </c>
      <c r="D83" s="15">
        <f>D125*D$49</f>
        <v>1335.3333333333333</v>
      </c>
      <c r="E83" s="14">
        <f>D125*E125*E$49</f>
        <v>467.81177777777776</v>
      </c>
      <c r="F83" s="14">
        <f>IFERROR(D125/F125*100*F$49,0)</f>
        <v>18.354929164452098</v>
      </c>
      <c r="G83" s="13">
        <f>G125*G$49</f>
        <v>2684.9000000000165</v>
      </c>
      <c r="H83" s="15">
        <f>H125*H$49</f>
        <v>660</v>
      </c>
      <c r="I83" s="13">
        <f>I125*I$49</f>
        <v>34</v>
      </c>
      <c r="J83" s="16">
        <f>J125*J$49</f>
        <v>948.66666666666663</v>
      </c>
      <c r="K83" s="15">
        <f>K125*K$49</f>
        <v>2144.6666666666665</v>
      </c>
      <c r="L83" s="14">
        <f>L125*L$49</f>
        <v>1489</v>
      </c>
      <c r="M83" s="13">
        <f>M125*M$49</f>
        <v>1011</v>
      </c>
    </row>
    <row r="84" spans="1:14" outlineLevel="1" x14ac:dyDescent="0.2">
      <c r="A84" s="20">
        <f>A40</f>
        <v>3606</v>
      </c>
      <c r="B84" s="19" t="str">
        <f>B40</f>
        <v>SHSU</v>
      </c>
      <c r="C84" s="78">
        <f>SUM(D84:M84)</f>
        <v>22037.450098683865</v>
      </c>
      <c r="D84" s="15">
        <f>D126*D$49</f>
        <v>3077.6666666666665</v>
      </c>
      <c r="E84" s="14">
        <f>D126*E126*E$49</f>
        <v>1805.5644444444445</v>
      </c>
      <c r="F84" s="14">
        <f>IFERROR(D126/F126*100*F$49,0)</f>
        <v>24.475654239301015</v>
      </c>
      <c r="G84" s="13">
        <f>G126*G$49</f>
        <v>5837.0766666667887</v>
      </c>
      <c r="H84" s="15">
        <f>H126*H$49</f>
        <v>334</v>
      </c>
      <c r="I84" s="13">
        <f>I126*I$49</f>
        <v>122</v>
      </c>
      <c r="J84" s="16">
        <f>J126*J$49</f>
        <v>2213.6666666666665</v>
      </c>
      <c r="K84" s="15">
        <f>K126*K$49</f>
        <v>3894.3333333333335</v>
      </c>
      <c r="L84" s="14">
        <f>L126*L$49</f>
        <v>2965.3333333333335</v>
      </c>
      <c r="M84" s="13">
        <f>M126*M$49</f>
        <v>1763.3333333333333</v>
      </c>
    </row>
    <row r="85" spans="1:14" outlineLevel="1" x14ac:dyDescent="0.2">
      <c r="A85" s="20">
        <f>A41</f>
        <v>3615</v>
      </c>
      <c r="B85" s="19" t="str">
        <f>B41</f>
        <v>TxStSM</v>
      </c>
      <c r="C85" s="78">
        <f>SUM(D85:M85)</f>
        <v>40367.896558185806</v>
      </c>
      <c r="D85" s="15">
        <f>D127*D$49</f>
        <v>5361</v>
      </c>
      <c r="E85" s="14">
        <f>D127*E127*E$49</f>
        <v>3393.5129999999999</v>
      </c>
      <c r="F85" s="14">
        <f>IFERROR(D127/F127*100*F$49,0)</f>
        <v>23.406891519786395</v>
      </c>
      <c r="G85" s="13">
        <f>G127*G$49</f>
        <v>10437.309999999357</v>
      </c>
      <c r="H85" s="15">
        <f>H127*H$49</f>
        <v>977.33333333333337</v>
      </c>
      <c r="I85" s="13">
        <f>I127*I$49</f>
        <v>133.33333333333334</v>
      </c>
      <c r="J85" s="16">
        <f>J127*J$49</f>
        <v>3675.3333333333335</v>
      </c>
      <c r="K85" s="15">
        <f>K127*K$49</f>
        <v>7470.333333333333</v>
      </c>
      <c r="L85" s="14">
        <f>L127*L$49</f>
        <v>5579</v>
      </c>
      <c r="M85" s="13">
        <f>M127*M$49</f>
        <v>3317.3333333333335</v>
      </c>
    </row>
    <row r="86" spans="1:14" outlineLevel="1" x14ac:dyDescent="0.2">
      <c r="A86" s="20">
        <f>A42</f>
        <v>3625</v>
      </c>
      <c r="B86" s="19" t="str">
        <f>B42</f>
        <v>SRSU</v>
      </c>
      <c r="C86" s="78">
        <f>SUM(D86:M86)</f>
        <v>1482.5048430083239</v>
      </c>
      <c r="D86" s="15">
        <f>D128*D$49</f>
        <v>189.33333333333334</v>
      </c>
      <c r="E86" s="14">
        <f>D128*E128*E$49</f>
        <v>56.989333333333335</v>
      </c>
      <c r="F86" s="14">
        <f>IFERROR(D128/F128*100*F$49,0)</f>
        <v>15.518843008324076</v>
      </c>
      <c r="G86" s="13">
        <f>G128*G$49</f>
        <v>394.32999999999964</v>
      </c>
      <c r="H86" s="15">
        <f>H128*H$49</f>
        <v>25.333333333333332</v>
      </c>
      <c r="I86" s="13">
        <f>I128*I$49</f>
        <v>12.666666666666666</v>
      </c>
      <c r="J86" s="16">
        <f>J128*J$49</f>
        <v>163</v>
      </c>
      <c r="K86" s="15">
        <f>K128*K$49</f>
        <v>300</v>
      </c>
      <c r="L86" s="14">
        <f>L128*L$49</f>
        <v>193.66666666666666</v>
      </c>
      <c r="M86" s="13">
        <f>M128*M$49</f>
        <v>131.66666666666666</v>
      </c>
    </row>
    <row r="87" spans="1:14" outlineLevel="1" x14ac:dyDescent="0.2">
      <c r="A87" s="20">
        <f>A43</f>
        <v>20</v>
      </c>
      <c r="B87" s="19" t="str">
        <f>B43</f>
        <v>SRRG</v>
      </c>
      <c r="C87" s="78">
        <f>SUM(D87:M87)</f>
        <v>1023.799051555038</v>
      </c>
      <c r="D87" s="15">
        <f>D129*D$49</f>
        <v>161.66666666666666</v>
      </c>
      <c r="E87" s="14">
        <f>D129*E129*E$49</f>
        <v>51.365976618337754</v>
      </c>
      <c r="F87" s="14">
        <f>IFERROR(D129/F129*100*F$49,0)</f>
        <v>36.596408270033706</v>
      </c>
      <c r="G87" s="13">
        <f>G129*G$49</f>
        <v>279.16999999999979</v>
      </c>
      <c r="H87" s="15">
        <f>H129*H$49</f>
        <v>12.666666666666666</v>
      </c>
      <c r="I87" s="13">
        <f>I129*I$49</f>
        <v>11.333333333333334</v>
      </c>
      <c r="J87" s="16">
        <f>J129*J$49</f>
        <v>144</v>
      </c>
      <c r="K87" s="15">
        <f>K129*K$49</f>
        <v>230</v>
      </c>
      <c r="L87" s="14">
        <f>L129*L$49</f>
        <v>92.666666666666671</v>
      </c>
      <c r="M87" s="13">
        <f>M129*M$49</f>
        <v>4.333333333333333</v>
      </c>
    </row>
    <row r="88" spans="1:14" ht="13.5" outlineLevel="1" thickBot="1" x14ac:dyDescent="0.25">
      <c r="A88" s="12"/>
      <c r="B88" s="11" t="s">
        <v>11</v>
      </c>
      <c r="C88" s="77">
        <f>SUM(C50:C87)</f>
        <v>640213.99180518941</v>
      </c>
      <c r="D88" s="9">
        <f>SUM(D50:D87)</f>
        <v>84453.499999999985</v>
      </c>
      <c r="E88" s="7">
        <f>SUM(E50:E87)</f>
        <v>49118.168778098283</v>
      </c>
      <c r="F88" s="7">
        <f>SUM(F50:F87)</f>
        <v>1025.6696937595482</v>
      </c>
      <c r="G88" s="3">
        <f>SUM(G50:G87)</f>
        <v>172813.15333333181</v>
      </c>
      <c r="H88" s="5">
        <f>SUM(H50:H87)</f>
        <v>27943.999999999996</v>
      </c>
      <c r="I88" s="3">
        <f>SUM(I50:I87)</f>
        <v>2396.666666666667</v>
      </c>
      <c r="J88" s="6">
        <f>SUM(J50:J87)</f>
        <v>54525.500000000007</v>
      </c>
      <c r="K88" s="5">
        <f>SUM(K50:K87)</f>
        <v>114508.83333333331</v>
      </c>
      <c r="L88" s="4">
        <f>SUM(L50:L87)</f>
        <v>82503.5</v>
      </c>
      <c r="M88" s="3">
        <f>SUM(M50:M87)</f>
        <v>50924.999999999993</v>
      </c>
    </row>
    <row r="89" spans="1:14" ht="13.5" thickBot="1" x14ac:dyDescent="0.25">
      <c r="A89" s="65" t="s">
        <v>29</v>
      </c>
      <c r="B89" s="65"/>
      <c r="C89" s="74"/>
      <c r="D89" s="74"/>
      <c r="E89" s="74"/>
      <c r="F89" s="76"/>
      <c r="H89" s="76"/>
    </row>
    <row r="90" spans="1:14" ht="12.75" customHeight="1" outlineLevel="1" x14ac:dyDescent="0.2">
      <c r="A90" s="64" t="s">
        <v>24</v>
      </c>
      <c r="B90" s="60" t="s">
        <v>23</v>
      </c>
      <c r="C90" s="63"/>
      <c r="D90" s="62" t="s">
        <v>28</v>
      </c>
      <c r="E90" s="61" t="s">
        <v>21</v>
      </c>
      <c r="F90" s="60" t="s">
        <v>20</v>
      </c>
      <c r="G90" s="59" t="s">
        <v>19</v>
      </c>
      <c r="H90" s="58" t="s">
        <v>18</v>
      </c>
      <c r="I90" s="57" t="s">
        <v>17</v>
      </c>
      <c r="J90" s="56" t="s">
        <v>16</v>
      </c>
      <c r="K90" s="55" t="s">
        <v>15</v>
      </c>
      <c r="L90" s="54"/>
      <c r="M90" s="54"/>
    </row>
    <row r="91" spans="1:14" s="41" customFormat="1" ht="41.25" customHeight="1" outlineLevel="1" thickBot="1" x14ac:dyDescent="0.25">
      <c r="A91" s="53"/>
      <c r="B91" s="49"/>
      <c r="C91" s="52"/>
      <c r="D91" s="51"/>
      <c r="E91" s="50"/>
      <c r="F91" s="49"/>
      <c r="G91" s="48"/>
      <c r="H91" s="47"/>
      <c r="I91" s="46"/>
      <c r="J91" s="45"/>
      <c r="K91" s="44" t="s">
        <v>14</v>
      </c>
      <c r="L91" s="43" t="s">
        <v>13</v>
      </c>
      <c r="M91" s="42" t="s">
        <v>12</v>
      </c>
    </row>
    <row r="92" spans="1:14" outlineLevel="1" x14ac:dyDescent="0.2">
      <c r="A92" s="20">
        <f>A50</f>
        <v>3656</v>
      </c>
      <c r="B92" s="19" t="str">
        <f>B50</f>
        <v>UTA</v>
      </c>
      <c r="C92" s="38"/>
      <c r="D92" s="33">
        <f>AVERAGE(D134,D176,D218)</f>
        <v>5018</v>
      </c>
      <c r="E92" s="37">
        <f>AVERAGE(E134,E176,E218)</f>
        <v>0.51833333333333342</v>
      </c>
      <c r="F92" s="32">
        <f>AVERAGE(F134,F176,F218)</f>
        <v>16950.533333333333</v>
      </c>
      <c r="G92" s="31">
        <f>AVERAGE(G134,G176,G218)</f>
        <v>10418.553333333379</v>
      </c>
      <c r="H92" s="36">
        <f>AVERAGE(H134,H176,H218)</f>
        <v>1531.3333333333333</v>
      </c>
      <c r="I92" s="35">
        <f>AVERAGE(I134,I176,I218)</f>
        <v>35</v>
      </c>
      <c r="J92" s="34">
        <f>AVERAGE(J134,J176,J218)</f>
        <v>3116</v>
      </c>
      <c r="K92" s="33">
        <f>AVERAGE(K134,K176,K218)</f>
        <v>6836.333333333333</v>
      </c>
      <c r="L92" s="32">
        <f>AVERAGE(L134,L176,L218)</f>
        <v>3833.6666666666665</v>
      </c>
      <c r="M92" s="31">
        <f>AVERAGE(M134,M176,M218)</f>
        <v>1783.6666666666667</v>
      </c>
      <c r="N92" s="75"/>
    </row>
    <row r="93" spans="1:14" outlineLevel="1" x14ac:dyDescent="0.2">
      <c r="A93" s="20">
        <f>A51</f>
        <v>3658</v>
      </c>
      <c r="B93" s="19" t="str">
        <f>B51</f>
        <v>UT</v>
      </c>
      <c r="C93" s="18"/>
      <c r="D93" s="15">
        <f>AVERAGE(D135,D177,D219)</f>
        <v>8946.3333333333339</v>
      </c>
      <c r="E93" s="21">
        <f>AVERAGE(E135,E177,E219)</f>
        <v>0.82900000000000007</v>
      </c>
      <c r="F93" s="14">
        <f>AVERAGE(F135,F177,F219)</f>
        <v>33762.688888888893</v>
      </c>
      <c r="G93" s="13">
        <f>AVERAGE(G135,G177,G219)</f>
        <v>19398.350000000519</v>
      </c>
      <c r="H93" s="15">
        <f>AVERAGE(H135,H177,H219)</f>
        <v>1876.3333333333333</v>
      </c>
      <c r="I93" s="13">
        <f>AVERAGE(I135,I177,I219)</f>
        <v>66</v>
      </c>
      <c r="J93" s="16">
        <f>AVERAGE(J135,J177,J219)</f>
        <v>3470.3333333333335</v>
      </c>
      <c r="K93" s="15">
        <f>AVERAGE(K135,K177,K219)</f>
        <v>9598.3333333333339</v>
      </c>
      <c r="L93" s="14">
        <f>AVERAGE(L135,L177,L219)</f>
        <v>9005.6666666666661</v>
      </c>
      <c r="M93" s="13">
        <f>AVERAGE(M135,M177,M219)</f>
        <v>7040.333333333333</v>
      </c>
      <c r="N93" s="75"/>
    </row>
    <row r="94" spans="1:14" outlineLevel="1" x14ac:dyDescent="0.2">
      <c r="A94" s="20">
        <f>A52</f>
        <v>9741</v>
      </c>
      <c r="B94" s="19" t="str">
        <f>B52</f>
        <v>UTD</v>
      </c>
      <c r="C94" s="18"/>
      <c r="D94" s="15">
        <f>AVERAGE(D136,D178,D220)</f>
        <v>2393</v>
      </c>
      <c r="E94" s="21">
        <f>AVERAGE(E136,E178,E220)</f>
        <v>0.70299999999999996</v>
      </c>
      <c r="F94" s="14">
        <f>AVERAGE(F136,F178,F220)</f>
        <v>8919.1999999999989</v>
      </c>
      <c r="G94" s="13">
        <f>AVERAGE(G136,G178,G220)</f>
        <v>5101.2033333334393</v>
      </c>
      <c r="H94" s="15">
        <f>AVERAGE(H136,H178,H220)</f>
        <v>421.66666666666669</v>
      </c>
      <c r="I94" s="13">
        <f>AVERAGE(I136,I178,I220)</f>
        <v>32</v>
      </c>
      <c r="J94" s="16">
        <f>AVERAGE(J136,J178,J220)</f>
        <v>1319.6666666666667</v>
      </c>
      <c r="K94" s="15">
        <f>AVERAGE(K136,K178,K220)</f>
        <v>3315</v>
      </c>
      <c r="L94" s="14">
        <f>AVERAGE(L136,L178,L220)</f>
        <v>2134.3333333333335</v>
      </c>
      <c r="M94" s="13">
        <f>AVERAGE(M136,M178,M220)</f>
        <v>1021.3333333333334</v>
      </c>
      <c r="N94" s="75"/>
    </row>
    <row r="95" spans="1:14" outlineLevel="1" x14ac:dyDescent="0.2">
      <c r="A95" s="20">
        <f>A53</f>
        <v>3661</v>
      </c>
      <c r="B95" s="19" t="str">
        <f>B53</f>
        <v>UTEP</v>
      </c>
      <c r="C95" s="18"/>
      <c r="D95" s="15">
        <f>AVERAGE(D137,D179,D221)</f>
        <v>3057</v>
      </c>
      <c r="E95" s="21">
        <f>AVERAGE(E137,E179,E221)</f>
        <v>0.38999999999999996</v>
      </c>
      <c r="F95" s="14">
        <f>AVERAGE(F137,F179,F221)</f>
        <v>13366.333333333334</v>
      </c>
      <c r="G95" s="13">
        <f>AVERAGE(G137,G179,G221)</f>
        <v>6298.0766666668133</v>
      </c>
      <c r="H95" s="15">
        <f>AVERAGE(H137,H179,H221)</f>
        <v>655</v>
      </c>
      <c r="I95" s="13">
        <f>AVERAGE(I137,I179,I221)</f>
        <v>90</v>
      </c>
      <c r="J95" s="16">
        <f>AVERAGE(J137,J179,J221)</f>
        <v>2464.3333333333335</v>
      </c>
      <c r="K95" s="15">
        <f>AVERAGE(K137,K179,K221)</f>
        <v>4362.666666666667</v>
      </c>
      <c r="L95" s="14">
        <f>AVERAGE(L137,L179,L221)</f>
        <v>3358</v>
      </c>
      <c r="M95" s="13">
        <f>AVERAGE(M137,M179,M221)</f>
        <v>1956</v>
      </c>
      <c r="N95" s="75"/>
    </row>
    <row r="96" spans="1:14" outlineLevel="1" x14ac:dyDescent="0.2">
      <c r="A96" s="20">
        <f>A54</f>
        <v>3599</v>
      </c>
      <c r="B96" s="19" t="str">
        <f>B54</f>
        <v>UTPA</v>
      </c>
      <c r="C96" s="18"/>
      <c r="D96" s="15">
        <f>AVERAGE(D138,D180,D222)</f>
        <v>2580</v>
      </c>
      <c r="E96" s="21">
        <f>AVERAGE(E138,E180,E222)</f>
        <v>0.43099999999999999</v>
      </c>
      <c r="F96" s="14">
        <f>AVERAGE(F138,F180,F222)</f>
        <v>12589.977777777778</v>
      </c>
      <c r="G96" s="13">
        <f>AVERAGE(G138,G180,G222)</f>
        <v>5134.1666666667797</v>
      </c>
      <c r="H96" s="15">
        <f>AVERAGE(H138,H180,H222)</f>
        <v>520.33333333333337</v>
      </c>
      <c r="I96" s="13">
        <f>AVERAGE(I138,I180,I222)</f>
        <v>28</v>
      </c>
      <c r="J96" s="16">
        <f>AVERAGE(J138,J180,J222)</f>
        <v>2338.3333333333335</v>
      </c>
      <c r="K96" s="15">
        <f>AVERAGE(K138,K180,K222)</f>
        <v>4075.3333333333335</v>
      </c>
      <c r="L96" s="14">
        <f>AVERAGE(L138,L180,L222)</f>
        <v>3096</v>
      </c>
      <c r="M96" s="13">
        <f>AVERAGE(M138,M180,M222)</f>
        <v>1939.3333333333333</v>
      </c>
      <c r="N96" s="75"/>
    </row>
    <row r="97" spans="1:14" outlineLevel="1" x14ac:dyDescent="0.2">
      <c r="A97" s="20">
        <f>A55</f>
        <v>30646</v>
      </c>
      <c r="B97" s="19" t="str">
        <f>B55</f>
        <v>UTB</v>
      </c>
      <c r="C97" s="18"/>
      <c r="D97" s="15">
        <f>AVERAGE(D139,D181,D223)</f>
        <v>1092</v>
      </c>
      <c r="E97" s="21">
        <f>AVERAGE(E139,E181,E223)</f>
        <v>0.57524809937089749</v>
      </c>
      <c r="F97" s="14">
        <f>AVERAGE(F139,F181,F223)</f>
        <v>3168.7777777777778</v>
      </c>
      <c r="G97" s="13">
        <f>AVERAGE(G139,G181,G223)</f>
        <v>2097.7933333333553</v>
      </c>
      <c r="H97" s="15">
        <f>AVERAGE(H139,H181,H223)</f>
        <v>124.33333333333333</v>
      </c>
      <c r="I97" s="13">
        <f>AVERAGE(I139,I181,I223)</f>
        <v>18.333333333333332</v>
      </c>
      <c r="J97" s="16">
        <f>AVERAGE(J139,J181,J223)</f>
        <v>936.66666666666663</v>
      </c>
      <c r="K97" s="15">
        <f>AVERAGE(K139,K181,K223)</f>
        <v>1326.3333333333333</v>
      </c>
      <c r="L97" s="14">
        <f>AVERAGE(L139,L181,L223)</f>
        <v>556.33333333333337</v>
      </c>
      <c r="M97" s="13">
        <f>AVERAGE(M139,M181,M223)</f>
        <v>100.66666666666667</v>
      </c>
      <c r="N97" s="75"/>
    </row>
    <row r="98" spans="1:14" outlineLevel="1" x14ac:dyDescent="0.2">
      <c r="A98" s="20">
        <f>A56</f>
        <v>9930</v>
      </c>
      <c r="B98" s="19" t="str">
        <f>B56</f>
        <v>UTPB</v>
      </c>
      <c r="C98" s="18"/>
      <c r="D98" s="15">
        <f>AVERAGE(D140,D182,D224)</f>
        <v>533.33333333333337</v>
      </c>
      <c r="E98" s="21">
        <f>AVERAGE(E140,E182,E224)</f>
        <v>0.44400000000000001</v>
      </c>
      <c r="F98" s="14">
        <f>AVERAGE(F140,F182,F224)</f>
        <v>2306.2888888888888</v>
      </c>
      <c r="G98" s="13">
        <f>AVERAGE(G140,G182,G224)</f>
        <v>1001.5166666666704</v>
      </c>
      <c r="H98" s="15">
        <f>AVERAGE(H140,H182,H224)</f>
        <v>41.333333333333336</v>
      </c>
      <c r="I98" s="13">
        <f>AVERAGE(I140,I182,I224)</f>
        <v>10</v>
      </c>
      <c r="J98" s="16">
        <f>AVERAGE(J140,J182,J224)</f>
        <v>399</v>
      </c>
      <c r="K98" s="15">
        <f>AVERAGE(K140,K182,K224)</f>
        <v>785.66666666666663</v>
      </c>
      <c r="L98" s="14">
        <f>AVERAGE(L140,L182,L224)</f>
        <v>491.66666666666669</v>
      </c>
      <c r="M98" s="13">
        <f>AVERAGE(M140,M182,M224)</f>
        <v>194.33333333333334</v>
      </c>
      <c r="N98" s="75"/>
    </row>
    <row r="99" spans="1:14" outlineLevel="1" x14ac:dyDescent="0.2">
      <c r="A99" s="20">
        <f>A57</f>
        <v>10115</v>
      </c>
      <c r="B99" s="19" t="str">
        <f>B57</f>
        <v>UTSA</v>
      </c>
      <c r="C99" s="18"/>
      <c r="D99" s="15">
        <f>AVERAGE(D141,D183,D225)</f>
        <v>4119.666666666667</v>
      </c>
      <c r="E99" s="21">
        <f>AVERAGE(E141,E183,E225)</f>
        <v>0.42166666666666663</v>
      </c>
      <c r="F99" s="14">
        <f>AVERAGE(F141,F183,F225)</f>
        <v>20353.044444444444</v>
      </c>
      <c r="G99" s="13">
        <f>AVERAGE(G141,G183,G225)</f>
        <v>8414.213333333224</v>
      </c>
      <c r="H99" s="15">
        <f>AVERAGE(H141,H183,H225)</f>
        <v>392</v>
      </c>
      <c r="I99" s="13">
        <f>AVERAGE(I141,I183,I225)</f>
        <v>49.666666666666664</v>
      </c>
      <c r="J99" s="16">
        <f>AVERAGE(J141,J183,J225)</f>
        <v>3123.6666666666665</v>
      </c>
      <c r="K99" s="15">
        <f>AVERAGE(K141,K183,K225)</f>
        <v>6809.666666666667</v>
      </c>
      <c r="L99" s="14">
        <f>AVERAGE(L141,L183,L225)</f>
        <v>4458.666666666667</v>
      </c>
      <c r="M99" s="13">
        <f>AVERAGE(M141,M183,M225)</f>
        <v>2615.6666666666665</v>
      </c>
      <c r="N99" s="75"/>
    </row>
    <row r="100" spans="1:14" outlineLevel="1" x14ac:dyDescent="0.2">
      <c r="A100" s="20">
        <f>A58</f>
        <v>11163</v>
      </c>
      <c r="B100" s="19" t="str">
        <f>B58</f>
        <v>UTT</v>
      </c>
      <c r="C100" s="18"/>
      <c r="D100" s="15">
        <f>AVERAGE(D142,D184,D226)</f>
        <v>1190</v>
      </c>
      <c r="E100" s="21">
        <f>AVERAGE(E142,E184,E226)</f>
        <v>0.51566666666666672</v>
      </c>
      <c r="F100" s="14">
        <f>AVERAGE(F142,F184,F226)</f>
        <v>4067.577777777778</v>
      </c>
      <c r="G100" s="13">
        <f>AVERAGE(G142,G184,G226)</f>
        <v>2362.6600000000103</v>
      </c>
      <c r="H100" s="15">
        <f>AVERAGE(H142,H184,H226)</f>
        <v>376.66666666666669</v>
      </c>
      <c r="I100" s="13">
        <f>AVERAGE(I142,I184,I226)</f>
        <v>14</v>
      </c>
      <c r="J100" s="16">
        <f>AVERAGE(J142,J184,J226)</f>
        <v>942.33333333333337</v>
      </c>
      <c r="K100" s="15">
        <f>AVERAGE(K142,K184,K226)</f>
        <v>1436.3333333333333</v>
      </c>
      <c r="L100" s="14">
        <f>AVERAGE(L142,L184,L226)</f>
        <v>890</v>
      </c>
      <c r="M100" s="13">
        <f>AVERAGE(M142,M184,M226)</f>
        <v>387.33333333333331</v>
      </c>
      <c r="N100" s="75"/>
    </row>
    <row r="101" spans="1:14" outlineLevel="1" x14ac:dyDescent="0.2">
      <c r="A101" s="20">
        <f>A59</f>
        <v>3632</v>
      </c>
      <c r="B101" s="19" t="str">
        <f>B59</f>
        <v>TAMU</v>
      </c>
      <c r="C101" s="18"/>
      <c r="D101" s="15">
        <f>AVERAGE(D143,D185,D227)</f>
        <v>8739.6666666666661</v>
      </c>
      <c r="E101" s="21">
        <f>AVERAGE(E143,E185,E227)</f>
        <v>0.84066666666666656</v>
      </c>
      <c r="F101" s="14">
        <f>AVERAGE(F143,F185,F227)</f>
        <v>34623.666666666664</v>
      </c>
      <c r="G101" s="13">
        <f>AVERAGE(G143,G185,G227)</f>
        <v>20104.8166666668</v>
      </c>
      <c r="H101" s="15">
        <f>AVERAGE(H143,H185,H227)</f>
        <v>1763</v>
      </c>
      <c r="I101" s="13">
        <f>AVERAGE(I143,I185,I227)</f>
        <v>126</v>
      </c>
      <c r="J101" s="16">
        <f>AVERAGE(J143,J185,J227)</f>
        <v>3724</v>
      </c>
      <c r="K101" s="15">
        <f>AVERAGE(K143,K185,K227)</f>
        <v>10060.666666666666</v>
      </c>
      <c r="L101" s="14">
        <f>AVERAGE(L143,L185,L227)</f>
        <v>8907.3333333333339</v>
      </c>
      <c r="M101" s="13">
        <f>AVERAGE(M143,M185,M227)</f>
        <v>6897.666666666667</v>
      </c>
      <c r="N101" s="75"/>
    </row>
    <row r="102" spans="1:14" outlineLevel="1" x14ac:dyDescent="0.2">
      <c r="A102" s="20">
        <f>A60</f>
        <v>10298</v>
      </c>
      <c r="B102" s="19" t="str">
        <f>B60</f>
        <v>TAMUG</v>
      </c>
      <c r="C102" s="18"/>
      <c r="D102" s="15">
        <f>AVERAGE(D144,D186,D228)</f>
        <v>275.33333333333331</v>
      </c>
      <c r="E102" s="21">
        <f>AVERAGE(E144,E186,E228)</f>
        <v>0.62733333333333341</v>
      </c>
      <c r="F102" s="14">
        <f>AVERAGE(F144,F186,F228)</f>
        <v>1678.9333333333334</v>
      </c>
      <c r="G102" s="13">
        <f>AVERAGE(G144,G186,G228)</f>
        <v>704.02666666666448</v>
      </c>
      <c r="H102" s="15">
        <f>AVERAGE(H144,H186,H228)</f>
        <v>37.333333333333336</v>
      </c>
      <c r="I102" s="13">
        <f>AVERAGE(I144,I186,I228)</f>
        <v>0</v>
      </c>
      <c r="J102" s="16">
        <f>AVERAGE(J144,J186,J228)</f>
        <v>158</v>
      </c>
      <c r="K102" s="15">
        <f>AVERAGE(K144,K186,K228)</f>
        <v>592.33333333333337</v>
      </c>
      <c r="L102" s="14">
        <f>AVERAGE(L144,L186,L228)</f>
        <v>318</v>
      </c>
      <c r="M102" s="13">
        <f>AVERAGE(M144,M186,M228)</f>
        <v>246</v>
      </c>
      <c r="N102" s="75"/>
    </row>
    <row r="103" spans="1:14" outlineLevel="1" x14ac:dyDescent="0.2">
      <c r="A103" s="20">
        <f>A61</f>
        <v>3630</v>
      </c>
      <c r="B103" s="19" t="str">
        <f>B61</f>
        <v>Prairie View</v>
      </c>
      <c r="C103" s="18"/>
      <c r="D103" s="15">
        <f>AVERAGE(D145,D187,D229)</f>
        <v>936.33333333333337</v>
      </c>
      <c r="E103" s="21">
        <f>AVERAGE(E145,E187,E229)</f>
        <v>0.37166666666666665</v>
      </c>
      <c r="F103" s="14">
        <f>AVERAGE(F145,F187,F229)</f>
        <v>5917.2888888888883</v>
      </c>
      <c r="G103" s="13">
        <f>AVERAGE(G145,G187,G229)</f>
        <v>2072.9000000000092</v>
      </c>
      <c r="H103" s="15">
        <f>AVERAGE(H145,H187,H229)</f>
        <v>315.66666666666669</v>
      </c>
      <c r="I103" s="13">
        <f>AVERAGE(I145,I187,I229)</f>
        <v>9.6666666666666661</v>
      </c>
      <c r="J103" s="16">
        <f>AVERAGE(J145,J187,J229)</f>
        <v>802.66666666666663</v>
      </c>
      <c r="K103" s="15">
        <f>AVERAGE(K145,K187,K229)</f>
        <v>1668</v>
      </c>
      <c r="L103" s="14">
        <f>AVERAGE(L145,L187,L229)</f>
        <v>1181</v>
      </c>
      <c r="M103" s="13">
        <f>AVERAGE(M145,M187,M229)</f>
        <v>905.33333333333337</v>
      </c>
      <c r="N103" s="75"/>
    </row>
    <row r="104" spans="1:14" outlineLevel="1" x14ac:dyDescent="0.2">
      <c r="A104" s="20">
        <f>A62</f>
        <v>3631</v>
      </c>
      <c r="B104" s="19" t="str">
        <f>B62</f>
        <v>Tarleton</v>
      </c>
      <c r="C104" s="18"/>
      <c r="D104" s="15">
        <f>AVERAGE(D146,D188,D230)</f>
        <v>1545.3333333333333</v>
      </c>
      <c r="E104" s="21">
        <f>AVERAGE(E146,E188,E230)</f>
        <v>0.47800000000000004</v>
      </c>
      <c r="F104" s="14">
        <f>AVERAGE(F146,F188,F230)</f>
        <v>6292.1333333333323</v>
      </c>
      <c r="G104" s="13">
        <f>AVERAGE(G146,G188,G230)</f>
        <v>3122.5433333333599</v>
      </c>
      <c r="H104" s="15">
        <f>AVERAGE(H146,H188,H230)</f>
        <v>203</v>
      </c>
      <c r="I104" s="13">
        <f>AVERAGE(I146,I188,I230)</f>
        <v>47.666666666666664</v>
      </c>
      <c r="J104" s="16">
        <f>AVERAGE(J146,J188,J230)</f>
        <v>1195</v>
      </c>
      <c r="K104" s="15">
        <f>AVERAGE(K146,K188,K230)</f>
        <v>2154.3333333333335</v>
      </c>
      <c r="L104" s="14">
        <f>AVERAGE(L146,L188,L230)</f>
        <v>1328.6666666666667</v>
      </c>
      <c r="M104" s="13">
        <f>AVERAGE(M146,M188,M230)</f>
        <v>862.66666666666663</v>
      </c>
      <c r="N104" s="75"/>
    </row>
    <row r="105" spans="1:14" outlineLevel="1" x14ac:dyDescent="0.2">
      <c r="A105" s="27">
        <f>A63</f>
        <v>103631</v>
      </c>
      <c r="B105" s="19" t="str">
        <f>B63</f>
        <v>TAMUCT</v>
      </c>
      <c r="C105" s="18"/>
      <c r="D105" s="15">
        <f>AVERAGE(D147,D189,D231)</f>
        <v>460.33333333333331</v>
      </c>
      <c r="E105" s="21">
        <f>AVERAGE(E147,E189,E231)</f>
        <v>0.47800000000000004</v>
      </c>
      <c r="F105" s="14">
        <f>AVERAGE(F147,F189,F231)</f>
        <v>681.08888888888885</v>
      </c>
      <c r="G105" s="13">
        <f>AVERAGE(G147,G189,G231)</f>
        <v>853.61666666666588</v>
      </c>
      <c r="H105" s="15">
        <f>AVERAGE(H147,H189,H231)</f>
        <v>40.666666666666664</v>
      </c>
      <c r="I105" s="13">
        <f>AVERAGE(I147,I189,I231)</f>
        <v>0</v>
      </c>
      <c r="J105" s="16">
        <f>AVERAGE(J147,J189,J231)</f>
        <v>327</v>
      </c>
      <c r="K105" s="15">
        <f>AVERAGE(K147,K189,K231)</f>
        <v>495</v>
      </c>
      <c r="L105" s="14">
        <f>AVERAGE(L147,L189,L231)</f>
        <v>133</v>
      </c>
      <c r="M105" s="13">
        <f>AVERAGE(M147,M189,M231)</f>
        <v>34</v>
      </c>
      <c r="N105" s="75"/>
    </row>
    <row r="106" spans="1:14" outlineLevel="1" x14ac:dyDescent="0.2">
      <c r="A106" s="20">
        <f>A64</f>
        <v>11161</v>
      </c>
      <c r="B106" s="19" t="str">
        <f>B64</f>
        <v>TAMUCC</v>
      </c>
      <c r="C106" s="18"/>
      <c r="D106" s="15">
        <f>AVERAGE(D148,D190,D232)</f>
        <v>1388.3333333333333</v>
      </c>
      <c r="E106" s="21">
        <f>AVERAGE(E148,E190,E232)</f>
        <v>0.50800000000000001</v>
      </c>
      <c r="F106" s="14">
        <f>AVERAGE(F148,F190,F232)</f>
        <v>6494.666666666667</v>
      </c>
      <c r="G106" s="13">
        <f>AVERAGE(G148,G190,G232)</f>
        <v>2804.2000000000139</v>
      </c>
      <c r="H106" s="15">
        <f>AVERAGE(H148,H190,H232)</f>
        <v>266.33333333333331</v>
      </c>
      <c r="I106" s="13">
        <f>AVERAGE(I148,I190,I232)</f>
        <v>25.666666666666668</v>
      </c>
      <c r="J106" s="16">
        <f>AVERAGE(J148,J190,J232)</f>
        <v>1080</v>
      </c>
      <c r="K106" s="15">
        <f>AVERAGE(K148,K190,K232)</f>
        <v>2054</v>
      </c>
      <c r="L106" s="14">
        <f>AVERAGE(L148,L190,L232)</f>
        <v>1468</v>
      </c>
      <c r="M106" s="13">
        <f>AVERAGE(M148,M190,M232)</f>
        <v>878.33333333333337</v>
      </c>
      <c r="N106" s="75"/>
    </row>
    <row r="107" spans="1:14" outlineLevel="1" x14ac:dyDescent="0.2">
      <c r="A107" s="20">
        <f>A65</f>
        <v>3639</v>
      </c>
      <c r="B107" s="19" t="str">
        <f>B65</f>
        <v>TAMUK</v>
      </c>
      <c r="C107" s="18"/>
      <c r="D107" s="15">
        <f>AVERAGE(D149,D191,D233)</f>
        <v>761.66666666666663</v>
      </c>
      <c r="E107" s="21">
        <f>AVERAGE(E149,E191,E233)</f>
        <v>0.40233333333333338</v>
      </c>
      <c r="F107" s="14">
        <f>AVERAGE(F149,F191,F233)</f>
        <v>4260</v>
      </c>
      <c r="G107" s="13">
        <f>AVERAGE(G149,G191,G233)</f>
        <v>1763.4533333333395</v>
      </c>
      <c r="H107" s="15">
        <f>AVERAGE(H149,H191,H233)</f>
        <v>260</v>
      </c>
      <c r="I107" s="13">
        <f>AVERAGE(I149,I191,I233)</f>
        <v>16.666666666666668</v>
      </c>
      <c r="J107" s="16">
        <f>AVERAGE(J149,J191,J233)</f>
        <v>648.33333333333337</v>
      </c>
      <c r="K107" s="15">
        <f>AVERAGE(K149,K191,K233)</f>
        <v>1227.3333333333333</v>
      </c>
      <c r="L107" s="14">
        <f>AVERAGE(L149,L191,L233)</f>
        <v>859.66666666666663</v>
      </c>
      <c r="M107" s="13">
        <f>AVERAGE(M149,M191,M233)</f>
        <v>558.66666666666663</v>
      </c>
      <c r="N107" s="75"/>
    </row>
    <row r="108" spans="1:14" outlineLevel="1" x14ac:dyDescent="0.2">
      <c r="A108" s="27">
        <f>A66</f>
        <v>103639</v>
      </c>
      <c r="B108" s="19" t="str">
        <f>B66</f>
        <v>TAMUSA</v>
      </c>
      <c r="C108" s="18"/>
      <c r="D108" s="15">
        <f>AVERAGE(D150,D192,D234)</f>
        <v>587.66666666666663</v>
      </c>
      <c r="E108" s="21">
        <f>AVERAGE(E150,E192,E234)</f>
        <v>0.40233333333333338</v>
      </c>
      <c r="F108" s="14">
        <f>AVERAGE(F150,F192,F234)</f>
        <v>1412.711111111111</v>
      </c>
      <c r="G108" s="13">
        <f>AVERAGE(G150,G192,G234)</f>
        <v>1026.0133333333379</v>
      </c>
      <c r="H108" s="15">
        <f>AVERAGE(H150,H192,H234)</f>
        <v>5</v>
      </c>
      <c r="I108" s="13">
        <f>AVERAGE(I150,I192,I234)</f>
        <v>2</v>
      </c>
      <c r="J108" s="16">
        <f>AVERAGE(J150,J192,J234)</f>
        <v>490.33333333333331</v>
      </c>
      <c r="K108" s="15">
        <f>AVERAGE(K150,K192,K234)</f>
        <v>729.66666666666663</v>
      </c>
      <c r="L108" s="14">
        <f>AVERAGE(L150,L192,L234)</f>
        <v>77.333333333333329</v>
      </c>
      <c r="M108" s="13">
        <f>AVERAGE(M150,M192,M234)</f>
        <v>2.6666666666666665</v>
      </c>
      <c r="N108" s="75"/>
    </row>
    <row r="109" spans="1:14" outlineLevel="1" x14ac:dyDescent="0.2">
      <c r="A109" s="20">
        <f>A67</f>
        <v>9651</v>
      </c>
      <c r="B109" s="19" t="str">
        <f>B67</f>
        <v>TAMI</v>
      </c>
      <c r="C109" s="18"/>
      <c r="D109" s="15">
        <f>AVERAGE(D151,D193,D235)</f>
        <v>789.66666666666663</v>
      </c>
      <c r="E109" s="21">
        <f>AVERAGE(E151,E193,E235)</f>
        <v>0.47333333333333333</v>
      </c>
      <c r="F109" s="14">
        <f>AVERAGE(F151,F193,F235)</f>
        <v>4086</v>
      </c>
      <c r="G109" s="13">
        <f>AVERAGE(G151,G193,G235)</f>
        <v>1458.4966666666717</v>
      </c>
      <c r="H109" s="15">
        <f>AVERAGE(H151,H193,H235)</f>
        <v>115.66666666666667</v>
      </c>
      <c r="I109" s="13">
        <f>AVERAGE(I151,I193,I235)</f>
        <v>22.333333333333332</v>
      </c>
      <c r="J109" s="16">
        <f>AVERAGE(J151,J193,J235)</f>
        <v>712.66666666666663</v>
      </c>
      <c r="K109" s="15">
        <f>AVERAGE(K151,K193,K235)</f>
        <v>1406.6666666666667</v>
      </c>
      <c r="L109" s="14">
        <f>AVERAGE(L151,L193,L235)</f>
        <v>1015.6666666666666</v>
      </c>
      <c r="M109" s="13">
        <f>AVERAGE(M151,M193,M235)</f>
        <v>473.66666666666669</v>
      </c>
      <c r="N109" s="75"/>
    </row>
    <row r="110" spans="1:14" outlineLevel="1" x14ac:dyDescent="0.2">
      <c r="A110" s="20">
        <f>A68</f>
        <v>3665</v>
      </c>
      <c r="B110" s="19" t="str">
        <f>B68</f>
        <v>WTAMU</v>
      </c>
      <c r="C110" s="18"/>
      <c r="D110" s="15">
        <f>AVERAGE(D152,D194,D236)</f>
        <v>1255.6666666666667</v>
      </c>
      <c r="E110" s="21">
        <f>AVERAGE(E152,E194,E236)</f>
        <v>0.47066666666666662</v>
      </c>
      <c r="F110" s="14">
        <f>AVERAGE(F152,F194,F236)</f>
        <v>5415.2222222222226</v>
      </c>
      <c r="G110" s="13">
        <f>AVERAGE(G152,G194,G236)</f>
        <v>2503.5766666666836</v>
      </c>
      <c r="H110" s="15">
        <f>AVERAGE(H152,H194,H236)</f>
        <v>191.66666666666666</v>
      </c>
      <c r="I110" s="13">
        <f>AVERAGE(I152,I194,I236)</f>
        <v>60.666666666666664</v>
      </c>
      <c r="J110" s="16">
        <f>AVERAGE(J152,J194,J236)</f>
        <v>889.33333333333337</v>
      </c>
      <c r="K110" s="15">
        <f>AVERAGE(K152,K194,K236)</f>
        <v>1791.6666666666667</v>
      </c>
      <c r="L110" s="14">
        <f>AVERAGE(L152,L194,L236)</f>
        <v>1212.6666666666667</v>
      </c>
      <c r="M110" s="13">
        <f>AVERAGE(M152,M194,M236)</f>
        <v>661.33333333333337</v>
      </c>
      <c r="N110" s="75"/>
    </row>
    <row r="111" spans="1:14" outlineLevel="1" x14ac:dyDescent="0.2">
      <c r="A111" s="20">
        <f>A69</f>
        <v>3565</v>
      </c>
      <c r="B111" s="19" t="str">
        <f>B69</f>
        <v>TAMUC</v>
      </c>
      <c r="C111" s="18"/>
      <c r="D111" s="15">
        <f>AVERAGE(D153,D195,D237)</f>
        <v>1324.3333333333333</v>
      </c>
      <c r="E111" s="21">
        <f>AVERAGE(E153,E195,E237)</f>
        <v>0.44</v>
      </c>
      <c r="F111" s="14">
        <f>AVERAGE(F153,F195,F237)</f>
        <v>4696.9777777777772</v>
      </c>
      <c r="G111" s="13">
        <f>AVERAGE(G153,G195,G237)</f>
        <v>2501.8266666666914</v>
      </c>
      <c r="H111" s="15">
        <f>AVERAGE(H153,H195,H237)</f>
        <v>73</v>
      </c>
      <c r="I111" s="13">
        <f>AVERAGE(I153,I195,I237)</f>
        <v>74.333333333333329</v>
      </c>
      <c r="J111" s="16">
        <f>AVERAGE(J153,J195,J237)</f>
        <v>1019.3333333333334</v>
      </c>
      <c r="K111" s="15">
        <f>AVERAGE(K153,K195,K237)</f>
        <v>1893</v>
      </c>
      <c r="L111" s="14">
        <f>AVERAGE(L153,L195,L237)</f>
        <v>1137.3333333333333</v>
      </c>
      <c r="M111" s="13">
        <f>AVERAGE(M153,M195,M237)</f>
        <v>452.33333333333331</v>
      </c>
      <c r="N111" s="75"/>
    </row>
    <row r="112" spans="1:14" outlineLevel="1" x14ac:dyDescent="0.2">
      <c r="A112" s="20">
        <f>A70</f>
        <v>29269</v>
      </c>
      <c r="B112" s="19" t="str">
        <f>B70</f>
        <v>TAMUT</v>
      </c>
      <c r="C112" s="18"/>
      <c r="D112" s="15">
        <f>AVERAGE(D154,D196,D238)</f>
        <v>345.66666666666669</v>
      </c>
      <c r="E112" s="21">
        <f>AVERAGE(E154,E196,E238)</f>
        <v>0.54202583186163211</v>
      </c>
      <c r="F112" s="14">
        <f>AVERAGE(F154,F196,F238)</f>
        <v>891.66666666666663</v>
      </c>
      <c r="G112" s="13">
        <f>AVERAGE(G154,G196,G238)</f>
        <v>619.90999999999826</v>
      </c>
      <c r="H112" s="15">
        <f>AVERAGE(H154,H196,H238)</f>
        <v>41.666666666666664</v>
      </c>
      <c r="I112" s="13">
        <f>AVERAGE(I154,I196,I238)</f>
        <v>19.333333333333332</v>
      </c>
      <c r="J112" s="16">
        <f>AVERAGE(J154,J196,J238)</f>
        <v>239</v>
      </c>
      <c r="K112" s="15">
        <f>AVERAGE(K154,K196,K238)</f>
        <v>432.66666666666669</v>
      </c>
      <c r="L112" s="14">
        <f>AVERAGE(L154,L196,L238)</f>
        <v>181</v>
      </c>
      <c r="M112" s="13">
        <f>AVERAGE(M154,M196,M238)</f>
        <v>0.66666666666666663</v>
      </c>
      <c r="N112" s="75"/>
    </row>
    <row r="113" spans="1:14" outlineLevel="1" x14ac:dyDescent="0.2">
      <c r="A113" s="20">
        <f>A71</f>
        <v>3652</v>
      </c>
      <c r="B113" s="19" t="str">
        <f>B71</f>
        <v>UH</v>
      </c>
      <c r="C113" s="18"/>
      <c r="D113" s="15">
        <f>AVERAGE(D155,D197,D239)</f>
        <v>5098.666666666667</v>
      </c>
      <c r="E113" s="21">
        <f>AVERAGE(E155,E197,E239)</f>
        <v>0.53633333333333333</v>
      </c>
      <c r="F113" s="14">
        <f>AVERAGE(F155,F197,F239)</f>
        <v>23797.68888888889</v>
      </c>
      <c r="G113" s="13">
        <f>AVERAGE(G155,G197,G239)</f>
        <v>10580.246666665944</v>
      </c>
      <c r="H113" s="15">
        <f>AVERAGE(H155,H197,H239)</f>
        <v>737</v>
      </c>
      <c r="I113" s="13">
        <f>AVERAGE(I155,I197,I239)</f>
        <v>62.666666666666664</v>
      </c>
      <c r="J113" s="16">
        <f>AVERAGE(J155,J197,J239)</f>
        <v>3373</v>
      </c>
      <c r="K113" s="15">
        <f>AVERAGE(K155,K197,K239)</f>
        <v>7602.333333333333</v>
      </c>
      <c r="L113" s="14">
        <f>AVERAGE(L155,L197,L239)</f>
        <v>5690.333333333333</v>
      </c>
      <c r="M113" s="13">
        <f>AVERAGE(M155,M197,M239)</f>
        <v>3307.3333333333335</v>
      </c>
      <c r="N113" s="75"/>
    </row>
    <row r="114" spans="1:14" outlineLevel="1" x14ac:dyDescent="0.2">
      <c r="A114" s="20">
        <f>A72</f>
        <v>11711</v>
      </c>
      <c r="B114" s="19" t="str">
        <f>B72</f>
        <v>UHCL</v>
      </c>
      <c r="C114" s="18"/>
      <c r="D114" s="15">
        <f>AVERAGE(D156,D198,D240)</f>
        <v>1190.6666666666667</v>
      </c>
      <c r="E114" s="21">
        <f>AVERAGE(E156,E198,E240)</f>
        <v>0.52016462432165866</v>
      </c>
      <c r="F114" s="14">
        <f>AVERAGE(F156,F198,F240)</f>
        <v>2999.6444444444446</v>
      </c>
      <c r="G114" s="13">
        <f>AVERAGE(G156,G198,G240)</f>
        <v>2282.9533333333529</v>
      </c>
      <c r="H114" s="15">
        <f>AVERAGE(H156,H198,H240)</f>
        <v>106.66666666666667</v>
      </c>
      <c r="I114" s="13">
        <f>AVERAGE(I156,I198,I240)</f>
        <v>8.3333333333333339</v>
      </c>
      <c r="J114" s="16">
        <f>AVERAGE(J156,J198,J240)</f>
        <v>774.33333333333337</v>
      </c>
      <c r="K114" s="15">
        <f>AVERAGE(K156,K198,K240)</f>
        <v>1391.3333333333333</v>
      </c>
      <c r="L114" s="14">
        <f>AVERAGE(L156,L198,L240)</f>
        <v>953.66666666666663</v>
      </c>
      <c r="M114" s="13">
        <f>AVERAGE(M156,M198,M240)</f>
        <v>57</v>
      </c>
      <c r="N114" s="75"/>
    </row>
    <row r="115" spans="1:14" outlineLevel="1" x14ac:dyDescent="0.2">
      <c r="A115" s="20">
        <f>A73</f>
        <v>12826</v>
      </c>
      <c r="B115" s="19" t="str">
        <f>B73</f>
        <v>UHD</v>
      </c>
      <c r="C115" s="18"/>
      <c r="D115" s="15">
        <f>AVERAGE(D157,D199,D241)</f>
        <v>2382.3333333333335</v>
      </c>
      <c r="E115" s="21">
        <f>AVERAGE(E157,E199,E241)</f>
        <v>0.19000000000000003</v>
      </c>
      <c r="F115" s="14">
        <f>AVERAGE(F157,F199,F241)</f>
        <v>7985.5555555555547</v>
      </c>
      <c r="G115" s="13">
        <f>AVERAGE(G157,G199,G241)</f>
        <v>4271.3166666667212</v>
      </c>
      <c r="H115" s="15">
        <f>AVERAGE(H157,H199,H241)</f>
        <v>129.66666666666666</v>
      </c>
      <c r="I115" s="13">
        <f>AVERAGE(I157,I199,I241)</f>
        <v>1.6666666666666667</v>
      </c>
      <c r="J115" s="16">
        <f>AVERAGE(J157,J199,J241)</f>
        <v>1681</v>
      </c>
      <c r="K115" s="15">
        <f>AVERAGE(K157,K199,K241)</f>
        <v>3105.3333333333335</v>
      </c>
      <c r="L115" s="14">
        <f>AVERAGE(L157,L199,L241)</f>
        <v>1868.3333333333333</v>
      </c>
      <c r="M115" s="13">
        <f>AVERAGE(M157,M199,M241)</f>
        <v>604.66666666666663</v>
      </c>
      <c r="N115" s="75"/>
    </row>
    <row r="116" spans="1:14" outlineLevel="1" x14ac:dyDescent="0.2">
      <c r="A116" s="20">
        <f>A74</f>
        <v>13231</v>
      </c>
      <c r="B116" s="19" t="str">
        <f>B74</f>
        <v>UHV</v>
      </c>
      <c r="C116" s="18"/>
      <c r="D116" s="15">
        <f>AVERAGE(D158,D200,D242)</f>
        <v>576.66666666666663</v>
      </c>
      <c r="E116" s="21">
        <f>AVERAGE(E158,E200,E242)</f>
        <v>0.52057016677259083</v>
      </c>
      <c r="F116" s="14">
        <f>AVERAGE(F158,F200,F242)</f>
        <v>1438.6222222222223</v>
      </c>
      <c r="G116" s="13">
        <f>AVERAGE(G158,G200,G242)</f>
        <v>1084.4800000000012</v>
      </c>
      <c r="H116" s="15">
        <f>AVERAGE(H158,H200,H242)</f>
        <v>108</v>
      </c>
      <c r="I116" s="13">
        <f>AVERAGE(I158,I200,I242)</f>
        <v>7.333333333333333</v>
      </c>
      <c r="J116" s="16">
        <f>AVERAGE(J158,J200,J242)</f>
        <v>384</v>
      </c>
      <c r="K116" s="15">
        <f>AVERAGE(K158,K200,K242)</f>
        <v>716</v>
      </c>
      <c r="L116" s="14">
        <f>AVERAGE(L158,L200,L242)</f>
        <v>296.33333333333331</v>
      </c>
      <c r="M116" s="13">
        <f>AVERAGE(M158,M200,M242)</f>
        <v>6.666666666666667</v>
      </c>
      <c r="N116" s="75"/>
    </row>
    <row r="117" spans="1:14" outlineLevel="1" x14ac:dyDescent="0.2">
      <c r="A117" s="20">
        <f>A75</f>
        <v>3592</v>
      </c>
      <c r="B117" s="19" t="str">
        <f>B75</f>
        <v>Midwestern</v>
      </c>
      <c r="C117" s="18"/>
      <c r="D117" s="15">
        <f>AVERAGE(D159,D201,D243)</f>
        <v>1031.6666666666667</v>
      </c>
      <c r="E117" s="21">
        <f>AVERAGE(E159,E201,E243)</f>
        <v>0.4393333333333333</v>
      </c>
      <c r="F117" s="14">
        <f>AVERAGE(F159,F201,F243)</f>
        <v>4276.7777777777783</v>
      </c>
      <c r="G117" s="13">
        <f>AVERAGE(G159,G201,G243)</f>
        <v>1962.0000000000034</v>
      </c>
      <c r="H117" s="15">
        <f>AVERAGE(H159,H201,H243)</f>
        <v>333.33333333333331</v>
      </c>
      <c r="I117" s="13">
        <f>AVERAGE(I159,I201,I243)</f>
        <v>15</v>
      </c>
      <c r="J117" s="16">
        <f>AVERAGE(J159,J201,J243)</f>
        <v>690.33333333333337</v>
      </c>
      <c r="K117" s="15">
        <f>AVERAGE(K159,K201,K243)</f>
        <v>1438</v>
      </c>
      <c r="L117" s="14">
        <f>AVERAGE(L159,L201,L243)</f>
        <v>1046</v>
      </c>
      <c r="M117" s="13">
        <f>AVERAGE(M159,M201,M243)</f>
        <v>679.66666666666663</v>
      </c>
      <c r="N117" s="75"/>
    </row>
    <row r="118" spans="1:14" outlineLevel="1" x14ac:dyDescent="0.2">
      <c r="A118" s="20">
        <f>A76</f>
        <v>3594</v>
      </c>
      <c r="B118" s="19" t="str">
        <f>B76</f>
        <v>UNT</v>
      </c>
      <c r="C118" s="18"/>
      <c r="D118" s="15">
        <f>AVERAGE(D160,D202,D244)</f>
        <v>6016.666666666667</v>
      </c>
      <c r="E118" s="21">
        <f>AVERAGE(E160,E202,E244)</f>
        <v>0.57633333333333336</v>
      </c>
      <c r="F118" s="14">
        <f>AVERAGE(F160,F202,F244)</f>
        <v>23242.088888888899</v>
      </c>
      <c r="G118" s="13">
        <f>AVERAGE(G160,G202,G244)</f>
        <v>11411.553333332529</v>
      </c>
      <c r="H118" s="15">
        <f>AVERAGE(H160,H202,H244)</f>
        <v>336.66666666666669</v>
      </c>
      <c r="I118" s="13">
        <f>AVERAGE(I160,I202,I244)</f>
        <v>43.333333333333336</v>
      </c>
      <c r="J118" s="16">
        <f>AVERAGE(J160,J202,J244)</f>
        <v>3820</v>
      </c>
      <c r="K118" s="15">
        <f>AVERAGE(K160,K202,K244)</f>
        <v>7864.666666666667</v>
      </c>
      <c r="L118" s="14">
        <f>AVERAGE(L160,L202,L244)</f>
        <v>5642.333333333333</v>
      </c>
      <c r="M118" s="13">
        <f>AVERAGE(M160,M202,M244)</f>
        <v>3337</v>
      </c>
      <c r="N118" s="75"/>
    </row>
    <row r="119" spans="1:14" outlineLevel="1" x14ac:dyDescent="0.2">
      <c r="A119" s="27">
        <f>A77</f>
        <v>113594</v>
      </c>
      <c r="B119" s="19" t="str">
        <f>B77</f>
        <v>UNTD</v>
      </c>
      <c r="C119" s="18"/>
      <c r="D119" s="15">
        <f>AVERAGE(D161,D203,D245)</f>
        <v>403.5</v>
      </c>
      <c r="E119" s="21">
        <f>AVERAGE(E161,E203,E245)</f>
        <v>0.57750000000000001</v>
      </c>
      <c r="F119" s="14">
        <f>AVERAGE(F161,F203,F245)</f>
        <v>946.13333333333333</v>
      </c>
      <c r="G119" s="13">
        <f>AVERAGE(G161,G203,G245)</f>
        <v>705.85999999999717</v>
      </c>
      <c r="H119" s="15">
        <f>AVERAGE(H161,H203,H245)</f>
        <v>12</v>
      </c>
      <c r="I119" s="13">
        <f>AVERAGE(I161,I203,I245)</f>
        <v>0</v>
      </c>
      <c r="J119" s="16">
        <f>AVERAGE(J161,J203,J245)</f>
        <v>308.5</v>
      </c>
      <c r="K119" s="15">
        <f>AVERAGE(K161,K203,K245)</f>
        <v>478</v>
      </c>
      <c r="L119" s="14">
        <f>AVERAGE(L161,L203,L245)</f>
        <v>71.5</v>
      </c>
      <c r="M119" s="13">
        <f>AVERAGE(M161,M203,M245)</f>
        <v>11</v>
      </c>
      <c r="N119" s="75"/>
    </row>
    <row r="120" spans="1:14" outlineLevel="1" x14ac:dyDescent="0.2">
      <c r="A120" s="20">
        <f>A78</f>
        <v>3624</v>
      </c>
      <c r="B120" s="19" t="str">
        <f>B78</f>
        <v>SFA</v>
      </c>
      <c r="C120" s="18"/>
      <c r="D120" s="15">
        <f>AVERAGE(D162,D204,D246)</f>
        <v>1921.6666666666667</v>
      </c>
      <c r="E120" s="21">
        <f>AVERAGE(E162,E204,E246)</f>
        <v>0.55399999999999994</v>
      </c>
      <c r="F120" s="14">
        <f>AVERAGE(F162,F204,F246)</f>
        <v>9486.177777777777</v>
      </c>
      <c r="G120" s="13">
        <f>AVERAGE(G162,G204,G246)</f>
        <v>3721.736666666669</v>
      </c>
      <c r="H120" s="15">
        <f>AVERAGE(H162,H204,H246)</f>
        <v>248</v>
      </c>
      <c r="I120" s="13">
        <f>AVERAGE(I162,I204,I246)</f>
        <v>44.666666666666664</v>
      </c>
      <c r="J120" s="16">
        <f>AVERAGE(J162,J204,J246)</f>
        <v>1460.3333333333333</v>
      </c>
      <c r="K120" s="15">
        <f>AVERAGE(K162,K204,K246)</f>
        <v>2769.3333333333335</v>
      </c>
      <c r="L120" s="14">
        <f>AVERAGE(L162,L204,L246)</f>
        <v>2075</v>
      </c>
      <c r="M120" s="13">
        <f>AVERAGE(M162,M204,M246)</f>
        <v>1397.3333333333333</v>
      </c>
      <c r="N120" s="75"/>
    </row>
    <row r="121" spans="1:14" outlineLevel="1" x14ac:dyDescent="0.2">
      <c r="A121" s="20">
        <f>A79</f>
        <v>3642</v>
      </c>
      <c r="B121" s="19" t="str">
        <f>B79</f>
        <v>TSU</v>
      </c>
      <c r="C121" s="18"/>
      <c r="D121" s="15">
        <f>AVERAGE(D163,D205,D247)</f>
        <v>758.33333333333337</v>
      </c>
      <c r="E121" s="21">
        <f>AVERAGE(E163,E205,E247)</f>
        <v>0.14366666666666664</v>
      </c>
      <c r="F121" s="14">
        <f>AVERAGE(F163,F205,F247)</f>
        <v>5863.2444444444445</v>
      </c>
      <c r="G121" s="13">
        <f>AVERAGE(G163,G205,G247)</f>
        <v>1488.6533333333352</v>
      </c>
      <c r="H121" s="15">
        <f>AVERAGE(H163,H205,H247)</f>
        <v>134.33333333333334</v>
      </c>
      <c r="I121" s="13">
        <f>AVERAGE(I163,I205,I247)</f>
        <v>3</v>
      </c>
      <c r="J121" s="16">
        <f>AVERAGE(J163,J205,J247)</f>
        <v>666.33333333333337</v>
      </c>
      <c r="K121" s="15">
        <f>AVERAGE(K163,K205,K247)</f>
        <v>1637.3333333333333</v>
      </c>
      <c r="L121" s="14">
        <f>AVERAGE(L163,L205,L247)</f>
        <v>1133</v>
      </c>
      <c r="M121" s="13">
        <f>AVERAGE(M163,M205,M247)</f>
        <v>848.66666666666663</v>
      </c>
      <c r="N121" s="75"/>
    </row>
    <row r="122" spans="1:14" outlineLevel="1" x14ac:dyDescent="0.2">
      <c r="A122" s="20">
        <f>A80</f>
        <v>3644</v>
      </c>
      <c r="B122" s="19" t="str">
        <f>B80</f>
        <v>TTU</v>
      </c>
      <c r="C122" s="18"/>
      <c r="D122" s="15">
        <f>AVERAGE(D164,D206,D248)</f>
        <v>4674</v>
      </c>
      <c r="E122" s="21">
        <f>AVERAGE(E164,E206,E248)</f>
        <v>0.73199999999999987</v>
      </c>
      <c r="F122" s="14">
        <f>AVERAGE(F164,F206,F248)</f>
        <v>22192.42222222222</v>
      </c>
      <c r="G122" s="13">
        <f>AVERAGE(G164,G206,G248)</f>
        <v>10128.113333332682</v>
      </c>
      <c r="H122" s="15">
        <f>AVERAGE(H164,H206,H248)</f>
        <v>727.33333333333337</v>
      </c>
      <c r="I122" s="13">
        <f>AVERAGE(I164,I206,I248)</f>
        <v>57.333333333333336</v>
      </c>
      <c r="J122" s="16">
        <f>AVERAGE(J164,J206,J248)</f>
        <v>2778</v>
      </c>
      <c r="K122" s="15">
        <f>AVERAGE(K164,K206,K248)</f>
        <v>6485.333333333333</v>
      </c>
      <c r="L122" s="14">
        <f>AVERAGE(L164,L206,L248)</f>
        <v>5278.333333333333</v>
      </c>
      <c r="M122" s="13">
        <f>AVERAGE(M164,M206,M248)</f>
        <v>3945.6666666666665</v>
      </c>
      <c r="N122" s="75"/>
    </row>
    <row r="123" spans="1:14" outlineLevel="1" x14ac:dyDescent="0.2">
      <c r="A123" s="20">
        <f>A81</f>
        <v>3541</v>
      </c>
      <c r="B123" s="19" t="str">
        <f>B81</f>
        <v>Angelo</v>
      </c>
      <c r="C123" s="18"/>
      <c r="D123" s="15">
        <f>AVERAGE(D165,D207,D249)</f>
        <v>991.33333333333337</v>
      </c>
      <c r="E123" s="21">
        <f>AVERAGE(E165,E207,E249)</f>
        <v>0.42966666666666664</v>
      </c>
      <c r="F123" s="14">
        <f>AVERAGE(F165,F207,F249)</f>
        <v>4882.0444444444447</v>
      </c>
      <c r="G123" s="13">
        <f>AVERAGE(G165,G207,G249)</f>
        <v>1977.3500000000051</v>
      </c>
      <c r="H123" s="15">
        <f>AVERAGE(H165,H207,H249)</f>
        <v>254.33333333333334</v>
      </c>
      <c r="I123" s="13">
        <f>AVERAGE(I165,I207,I249)</f>
        <v>19.333333333333332</v>
      </c>
      <c r="J123" s="16">
        <f>AVERAGE(J165,J207,J249)</f>
        <v>723</v>
      </c>
      <c r="K123" s="15">
        <f>AVERAGE(K165,K207,K249)</f>
        <v>1438.6666666666667</v>
      </c>
      <c r="L123" s="14">
        <f>AVERAGE(L165,L207,L249)</f>
        <v>1033.6666666666667</v>
      </c>
      <c r="M123" s="13">
        <f>AVERAGE(M165,M207,M249)</f>
        <v>707.66666666666663</v>
      </c>
      <c r="N123" s="75"/>
    </row>
    <row r="124" spans="1:14" outlineLevel="1" x14ac:dyDescent="0.2">
      <c r="A124" s="20">
        <f>A82</f>
        <v>3646</v>
      </c>
      <c r="B124" s="19" t="str">
        <f>B82</f>
        <v>TWU</v>
      </c>
      <c r="C124" s="18"/>
      <c r="D124" s="15">
        <f>AVERAGE(D166,D208,D250)</f>
        <v>1806</v>
      </c>
      <c r="E124" s="21">
        <f>AVERAGE(E166,E208,E250)</f>
        <v>0.52366666666666672</v>
      </c>
      <c r="F124" s="14">
        <f>AVERAGE(F166,F208,F250)</f>
        <v>6556.4000000000005</v>
      </c>
      <c r="G124" s="13">
        <f>AVERAGE(G166,G208,G250)</f>
        <v>3452.1766666666658</v>
      </c>
      <c r="H124" s="15">
        <f>AVERAGE(H166,H208,H250)</f>
        <v>569.33333333333337</v>
      </c>
      <c r="I124" s="13">
        <f>AVERAGE(I166,I208,I250)</f>
        <v>31.666666666666668</v>
      </c>
      <c r="J124" s="16">
        <f>AVERAGE(J166,J208,J250)</f>
        <v>1247</v>
      </c>
      <c r="K124" s="15">
        <f>AVERAGE(K166,K208,K250)</f>
        <v>2196</v>
      </c>
      <c r="L124" s="14">
        <f>AVERAGE(L166,L208,L250)</f>
        <v>1292.3333333333333</v>
      </c>
      <c r="M124" s="13">
        <f>AVERAGE(M166,M208,M250)</f>
        <v>659.66666666666663</v>
      </c>
      <c r="N124" s="75"/>
    </row>
    <row r="125" spans="1:14" outlineLevel="1" x14ac:dyDescent="0.2">
      <c r="A125" s="20">
        <f>A83</f>
        <v>3581</v>
      </c>
      <c r="B125" s="19" t="str">
        <f>B83</f>
        <v>Lamar</v>
      </c>
      <c r="C125" s="18"/>
      <c r="D125" s="15">
        <f>AVERAGE(D167,D209,D251)</f>
        <v>1335.3333333333333</v>
      </c>
      <c r="E125" s="21">
        <f>AVERAGE(E167,E209,E251)</f>
        <v>0.35033333333333333</v>
      </c>
      <c r="F125" s="14">
        <f>AVERAGE(F167,F209,F251)</f>
        <v>7275.0666666666666</v>
      </c>
      <c r="G125" s="13">
        <f>AVERAGE(G167,G209,G251)</f>
        <v>2684.9000000000165</v>
      </c>
      <c r="H125" s="15">
        <f>AVERAGE(H167,H209,H251)</f>
        <v>330</v>
      </c>
      <c r="I125" s="13">
        <f>AVERAGE(I167,I209,I251)</f>
        <v>17</v>
      </c>
      <c r="J125" s="16">
        <f>AVERAGE(J167,J209,J251)</f>
        <v>948.66666666666663</v>
      </c>
      <c r="K125" s="15">
        <f>AVERAGE(K167,K209,K251)</f>
        <v>2144.6666666666665</v>
      </c>
      <c r="L125" s="14">
        <f>AVERAGE(L167,L209,L251)</f>
        <v>1489</v>
      </c>
      <c r="M125" s="13">
        <f>AVERAGE(M167,M209,M251)</f>
        <v>1011</v>
      </c>
      <c r="N125" s="75"/>
    </row>
    <row r="126" spans="1:14" outlineLevel="1" x14ac:dyDescent="0.2">
      <c r="A126" s="20">
        <f>A84</f>
        <v>3606</v>
      </c>
      <c r="B126" s="19" t="str">
        <f>B84</f>
        <v>SHSU</v>
      </c>
      <c r="C126" s="18"/>
      <c r="D126" s="15">
        <f>AVERAGE(D168,D210,D252)</f>
        <v>3077.6666666666665</v>
      </c>
      <c r="E126" s="21">
        <f>AVERAGE(E168,E210,E252)</f>
        <v>0.58666666666666667</v>
      </c>
      <c r="F126" s="14">
        <f>AVERAGE(F168,F210,F252)</f>
        <v>12574.4</v>
      </c>
      <c r="G126" s="13">
        <f>AVERAGE(G168,G210,G252)</f>
        <v>5837.0766666667887</v>
      </c>
      <c r="H126" s="15">
        <f>AVERAGE(H168,H210,H252)</f>
        <v>167</v>
      </c>
      <c r="I126" s="13">
        <f>AVERAGE(I168,I210,I252)</f>
        <v>61</v>
      </c>
      <c r="J126" s="16">
        <f>AVERAGE(J168,J210,J252)</f>
        <v>2213.6666666666665</v>
      </c>
      <c r="K126" s="15">
        <f>AVERAGE(K168,K210,K252)</f>
        <v>3894.3333333333335</v>
      </c>
      <c r="L126" s="14">
        <f>AVERAGE(L168,L210,L252)</f>
        <v>2965.3333333333335</v>
      </c>
      <c r="M126" s="13">
        <f>AVERAGE(M168,M210,M252)</f>
        <v>1763.3333333333333</v>
      </c>
      <c r="N126" s="75"/>
    </row>
    <row r="127" spans="1:14" outlineLevel="1" x14ac:dyDescent="0.2">
      <c r="A127" s="20">
        <f>A85</f>
        <v>3615</v>
      </c>
      <c r="B127" s="19" t="str">
        <f>B85</f>
        <v>TxStSM</v>
      </c>
      <c r="C127" s="18"/>
      <c r="D127" s="15">
        <f>AVERAGE(D169,D211,D253)</f>
        <v>5361</v>
      </c>
      <c r="E127" s="21">
        <f>AVERAGE(E169,E211,E253)</f>
        <v>0.63300000000000001</v>
      </c>
      <c r="F127" s="14">
        <f>AVERAGE(F169,F211,F253)</f>
        <v>22903.511111111107</v>
      </c>
      <c r="G127" s="13">
        <f>AVERAGE(G169,G211,G253)</f>
        <v>10437.309999999357</v>
      </c>
      <c r="H127" s="15">
        <f>AVERAGE(H169,H211,H253)</f>
        <v>488.66666666666669</v>
      </c>
      <c r="I127" s="13">
        <f>AVERAGE(I169,I211,I253)</f>
        <v>66.666666666666671</v>
      </c>
      <c r="J127" s="16">
        <f>AVERAGE(J169,J211,J253)</f>
        <v>3675.3333333333335</v>
      </c>
      <c r="K127" s="15">
        <f>AVERAGE(K169,K211,K253)</f>
        <v>7470.333333333333</v>
      </c>
      <c r="L127" s="14">
        <f>AVERAGE(L169,L211,L253)</f>
        <v>5579</v>
      </c>
      <c r="M127" s="13">
        <f>AVERAGE(M169,M211,M253)</f>
        <v>3317.3333333333335</v>
      </c>
      <c r="N127" s="75"/>
    </row>
    <row r="128" spans="1:14" outlineLevel="1" x14ac:dyDescent="0.2">
      <c r="A128" s="20">
        <f>A86</f>
        <v>3625</v>
      </c>
      <c r="B128" s="19" t="str">
        <f>B86</f>
        <v>SRSU</v>
      </c>
      <c r="C128" s="18"/>
      <c r="D128" s="15">
        <f>AVERAGE(D170,D212,D254)</f>
        <v>189.33333333333334</v>
      </c>
      <c r="E128" s="21">
        <f>AVERAGE(E170,E212,E254)</f>
        <v>0.30099999999999999</v>
      </c>
      <c r="F128" s="14">
        <f>AVERAGE(F170,F212,F254)</f>
        <v>1220.0222222222221</v>
      </c>
      <c r="G128" s="13">
        <f>AVERAGE(G170,G212,G254)</f>
        <v>394.32999999999964</v>
      </c>
      <c r="H128" s="15">
        <f>AVERAGE(H170,H212,H254)</f>
        <v>12.666666666666666</v>
      </c>
      <c r="I128" s="13">
        <f>AVERAGE(I170,I212,I254)</f>
        <v>6.333333333333333</v>
      </c>
      <c r="J128" s="16">
        <f>AVERAGE(J170,J212,J254)</f>
        <v>163</v>
      </c>
      <c r="K128" s="15">
        <f>AVERAGE(K170,K212,K254)</f>
        <v>300</v>
      </c>
      <c r="L128" s="14">
        <f>AVERAGE(L170,L212,L254)</f>
        <v>193.66666666666666</v>
      </c>
      <c r="M128" s="13">
        <f>AVERAGE(M170,M212,M254)</f>
        <v>131.66666666666666</v>
      </c>
      <c r="N128" s="75"/>
    </row>
    <row r="129" spans="1:14" outlineLevel="1" x14ac:dyDescent="0.2">
      <c r="A129" s="20">
        <f>A87</f>
        <v>20</v>
      </c>
      <c r="B129" s="19" t="str">
        <f>B87</f>
        <v>SRRG</v>
      </c>
      <c r="C129" s="18"/>
      <c r="D129" s="15">
        <f>AVERAGE(D171,D213,D255)</f>
        <v>161.66666666666666</v>
      </c>
      <c r="E129" s="21">
        <f>AVERAGE(E171,E213,E255)</f>
        <v>0.31772769042270776</v>
      </c>
      <c r="F129" s="14">
        <f>AVERAGE(F171,F213,F255)</f>
        <v>441.75555555555553</v>
      </c>
      <c r="G129" s="13">
        <f>AVERAGE(G171,G213,G255)</f>
        <v>279.16999999999979</v>
      </c>
      <c r="H129" s="15">
        <f>AVERAGE(H171,H213,H255)</f>
        <v>6.333333333333333</v>
      </c>
      <c r="I129" s="13">
        <f>AVERAGE(I171,I213,I255)</f>
        <v>5.666666666666667</v>
      </c>
      <c r="J129" s="16">
        <f>AVERAGE(J171,J213,J255)</f>
        <v>144</v>
      </c>
      <c r="K129" s="15">
        <f>AVERAGE(K171,K213,K255)</f>
        <v>230</v>
      </c>
      <c r="L129" s="14">
        <f>AVERAGE(L171,L213,L255)</f>
        <v>92.666666666666671</v>
      </c>
      <c r="M129" s="13">
        <f>AVERAGE(M171,M213,M255)</f>
        <v>4.333333333333333</v>
      </c>
      <c r="N129" s="75"/>
    </row>
    <row r="130" spans="1:14" ht="13.5" outlineLevel="1" thickBot="1" x14ac:dyDescent="0.25">
      <c r="A130" s="12"/>
      <c r="B130" s="11" t="s">
        <v>11</v>
      </c>
      <c r="C130" s="10"/>
      <c r="D130" s="9">
        <f>SUM(D92:D129)</f>
        <v>84315.833333333314</v>
      </c>
      <c r="E130" s="8">
        <v>0.55900000000000005</v>
      </c>
      <c r="F130" s="7">
        <f>SUM(F92:F129)</f>
        <v>350016.33333333331</v>
      </c>
      <c r="G130" s="3">
        <f>SUM(G92:G129)</f>
        <v>172461.13999999844</v>
      </c>
      <c r="H130" s="5">
        <f>SUM(H92:H129)</f>
        <v>13953.333333333332</v>
      </c>
      <c r="I130" s="3">
        <f>SUM(I92:I129)</f>
        <v>1198.3333333333335</v>
      </c>
      <c r="J130" s="6">
        <f>SUM(J92:J129)</f>
        <v>54446.500000000007</v>
      </c>
      <c r="K130" s="5">
        <f>SUM(K92:K129)</f>
        <v>114212.66666666664</v>
      </c>
      <c r="L130" s="4">
        <f>SUM(L92:L129)</f>
        <v>82344.5</v>
      </c>
      <c r="M130" s="3">
        <f>SUM(M92:M129)</f>
        <v>50801.999999999993</v>
      </c>
      <c r="N130" s="75"/>
    </row>
    <row r="131" spans="1:14" ht="13.5" thickBot="1" x14ac:dyDescent="0.25">
      <c r="A131" s="65" t="s">
        <v>27</v>
      </c>
      <c r="B131" s="65"/>
      <c r="C131" s="65"/>
      <c r="D131" s="74"/>
      <c r="F131" s="74"/>
      <c r="J131" s="74"/>
    </row>
    <row r="132" spans="1:14" ht="12.75" customHeight="1" outlineLevel="1" x14ac:dyDescent="0.2">
      <c r="A132" s="64" t="s">
        <v>24</v>
      </c>
      <c r="B132" s="60" t="s">
        <v>23</v>
      </c>
      <c r="C132" s="63"/>
      <c r="D132" s="62" t="s">
        <v>22</v>
      </c>
      <c r="E132" s="61" t="s">
        <v>21</v>
      </c>
      <c r="F132" s="60" t="s">
        <v>20</v>
      </c>
      <c r="G132" s="59" t="s">
        <v>19</v>
      </c>
      <c r="H132" s="58" t="s">
        <v>18</v>
      </c>
      <c r="I132" s="57" t="s">
        <v>17</v>
      </c>
      <c r="J132" s="56" t="s">
        <v>16</v>
      </c>
      <c r="K132" s="55" t="s">
        <v>15</v>
      </c>
      <c r="L132" s="54"/>
      <c r="M132" s="54"/>
    </row>
    <row r="133" spans="1:14" s="41" customFormat="1" ht="36" customHeight="1" outlineLevel="1" thickBot="1" x14ac:dyDescent="0.25">
      <c r="A133" s="53"/>
      <c r="B133" s="49"/>
      <c r="C133" s="52"/>
      <c r="D133" s="51"/>
      <c r="E133" s="50"/>
      <c r="F133" s="49"/>
      <c r="G133" s="48"/>
      <c r="H133" s="47"/>
      <c r="I133" s="46"/>
      <c r="J133" s="45"/>
      <c r="K133" s="44" t="s">
        <v>14</v>
      </c>
      <c r="L133" s="43" t="s">
        <v>13</v>
      </c>
      <c r="M133" s="42" t="s">
        <v>12</v>
      </c>
    </row>
    <row r="134" spans="1:14" outlineLevel="1" x14ac:dyDescent="0.2">
      <c r="A134" s="40">
        <f>A92</f>
        <v>3656</v>
      </c>
      <c r="B134" s="39" t="str">
        <f>B92</f>
        <v>UTA</v>
      </c>
      <c r="C134" s="38"/>
      <c r="D134" s="33">
        <v>5773</v>
      </c>
      <c r="E134" s="37">
        <v>0.55500000000000005</v>
      </c>
      <c r="F134" s="32">
        <v>17781.466666666667</v>
      </c>
      <c r="G134" s="71">
        <v>12087.560000000249</v>
      </c>
      <c r="H134" s="36">
        <v>2140</v>
      </c>
      <c r="I134" s="35">
        <v>43</v>
      </c>
      <c r="J134" s="34">
        <v>3528</v>
      </c>
      <c r="K134" s="73">
        <v>6893</v>
      </c>
      <c r="L134" s="72">
        <v>3962</v>
      </c>
      <c r="M134" s="71">
        <v>1894</v>
      </c>
    </row>
    <row r="135" spans="1:14" outlineLevel="1" x14ac:dyDescent="0.2">
      <c r="A135" s="20">
        <f>A93</f>
        <v>3658</v>
      </c>
      <c r="B135" s="19" t="str">
        <f>B93</f>
        <v>UT</v>
      </c>
      <c r="C135" s="18"/>
      <c r="D135" s="15">
        <v>8860</v>
      </c>
      <c r="E135" s="21">
        <v>0.82499999999999996</v>
      </c>
      <c r="F135" s="14">
        <v>33841.466666666667</v>
      </c>
      <c r="G135" s="28">
        <v>19542.67999999996</v>
      </c>
      <c r="H135" s="15">
        <v>1981</v>
      </c>
      <c r="I135" s="13">
        <v>83</v>
      </c>
      <c r="J135" s="16">
        <v>3501</v>
      </c>
      <c r="K135" s="30">
        <v>9260</v>
      </c>
      <c r="L135" s="29">
        <v>8373</v>
      </c>
      <c r="M135" s="28">
        <v>6348</v>
      </c>
    </row>
    <row r="136" spans="1:14" outlineLevel="1" x14ac:dyDescent="0.2">
      <c r="A136" s="20">
        <f>A94</f>
        <v>9741</v>
      </c>
      <c r="B136" s="19" t="str">
        <f>B94</f>
        <v>UTD</v>
      </c>
      <c r="C136" s="18"/>
      <c r="D136" s="15">
        <v>2510</v>
      </c>
      <c r="E136" s="21">
        <v>0.71900000000000008</v>
      </c>
      <c r="F136" s="14">
        <v>9826.5333333333328</v>
      </c>
      <c r="G136" s="28">
        <v>5443.8700000002518</v>
      </c>
      <c r="H136" s="15">
        <v>449</v>
      </c>
      <c r="I136" s="13">
        <v>33</v>
      </c>
      <c r="J136" s="16">
        <v>1410</v>
      </c>
      <c r="K136" s="30">
        <v>3522</v>
      </c>
      <c r="L136" s="29">
        <v>2348</v>
      </c>
      <c r="M136" s="28">
        <v>1065</v>
      </c>
    </row>
    <row r="137" spans="1:14" outlineLevel="1" x14ac:dyDescent="0.2">
      <c r="A137" s="20">
        <f>A95</f>
        <v>3661</v>
      </c>
      <c r="B137" s="19" t="str">
        <f>B95</f>
        <v>UTEP</v>
      </c>
      <c r="C137" s="18"/>
      <c r="D137" s="15">
        <v>3132</v>
      </c>
      <c r="E137" s="21">
        <v>0.41200000000000003</v>
      </c>
      <c r="F137" s="14">
        <v>13931.066666666668</v>
      </c>
      <c r="G137" s="28">
        <v>6456.0600000003096</v>
      </c>
      <c r="H137" s="15">
        <v>643</v>
      </c>
      <c r="I137" s="13">
        <v>86</v>
      </c>
      <c r="J137" s="16">
        <v>2590</v>
      </c>
      <c r="K137" s="30">
        <v>4400</v>
      </c>
      <c r="L137" s="29">
        <v>3304</v>
      </c>
      <c r="M137" s="28">
        <v>1986</v>
      </c>
    </row>
    <row r="138" spans="1:14" outlineLevel="1" x14ac:dyDescent="0.2">
      <c r="A138" s="20">
        <f>A96</f>
        <v>3599</v>
      </c>
      <c r="B138" s="19" t="str">
        <f>B96</f>
        <v>UTPA</v>
      </c>
      <c r="C138" s="18"/>
      <c r="D138" s="15">
        <v>2462</v>
      </c>
      <c r="E138" s="21">
        <v>0.44</v>
      </c>
      <c r="F138" s="14">
        <v>12698.333333333334</v>
      </c>
      <c r="G138" s="28">
        <v>5000.2800000001325</v>
      </c>
      <c r="H138" s="15">
        <v>547</v>
      </c>
      <c r="I138" s="13">
        <v>19</v>
      </c>
      <c r="J138" s="16">
        <v>2247</v>
      </c>
      <c r="K138" s="30">
        <v>3730</v>
      </c>
      <c r="L138" s="29">
        <v>2862</v>
      </c>
      <c r="M138" s="28">
        <v>1896</v>
      </c>
    </row>
    <row r="139" spans="1:14" outlineLevel="1" x14ac:dyDescent="0.2">
      <c r="A139" s="20">
        <f>A97</f>
        <v>30646</v>
      </c>
      <c r="B139" s="19" t="str">
        <f>B97</f>
        <v>UTB</v>
      </c>
      <c r="C139" s="18"/>
      <c r="D139" s="15">
        <v>1149</v>
      </c>
      <c r="E139" s="17">
        <v>0.52783109404990403</v>
      </c>
      <c r="F139" s="14">
        <v>3400.5333333333333</v>
      </c>
      <c r="G139" s="28">
        <v>2236.3100000000127</v>
      </c>
      <c r="H139" s="15">
        <v>133</v>
      </c>
      <c r="I139" s="13">
        <v>21</v>
      </c>
      <c r="J139" s="16">
        <v>978</v>
      </c>
      <c r="K139" s="30">
        <v>1243</v>
      </c>
      <c r="L139" s="29">
        <v>486</v>
      </c>
      <c r="M139" s="28">
        <v>99</v>
      </c>
    </row>
    <row r="140" spans="1:14" outlineLevel="1" x14ac:dyDescent="0.2">
      <c r="A140" s="20">
        <f>A98</f>
        <v>9930</v>
      </c>
      <c r="B140" s="19" t="str">
        <f>B98</f>
        <v>UTPB</v>
      </c>
      <c r="C140" s="18"/>
      <c r="D140" s="15">
        <v>546</v>
      </c>
      <c r="E140" s="21">
        <v>0.47899999999999998</v>
      </c>
      <c r="F140" s="14">
        <v>2343.2666666666669</v>
      </c>
      <c r="G140" s="28">
        <v>1054.6599999999951</v>
      </c>
      <c r="H140" s="15">
        <v>51</v>
      </c>
      <c r="I140" s="13">
        <v>7</v>
      </c>
      <c r="J140" s="16">
        <v>411</v>
      </c>
      <c r="K140" s="30">
        <v>742</v>
      </c>
      <c r="L140" s="29">
        <v>535</v>
      </c>
      <c r="M140" s="28">
        <v>210</v>
      </c>
    </row>
    <row r="141" spans="1:14" outlineLevel="1" x14ac:dyDescent="0.2">
      <c r="A141" s="20">
        <f>A99</f>
        <v>10115</v>
      </c>
      <c r="B141" s="19" t="str">
        <f>B99</f>
        <v>UTSA</v>
      </c>
      <c r="C141" s="18"/>
      <c r="D141" s="15">
        <v>4243</v>
      </c>
      <c r="E141" s="21">
        <v>0.43099999999999999</v>
      </c>
      <c r="F141" s="14">
        <v>21066.866666666665</v>
      </c>
      <c r="G141" s="28">
        <v>8736.7000000001954</v>
      </c>
      <c r="H141" s="15">
        <v>407</v>
      </c>
      <c r="I141" s="13">
        <v>63</v>
      </c>
      <c r="J141" s="16">
        <v>3204</v>
      </c>
      <c r="K141" s="30">
        <v>6815</v>
      </c>
      <c r="L141" s="29">
        <v>4371</v>
      </c>
      <c r="M141" s="28">
        <v>2560</v>
      </c>
    </row>
    <row r="142" spans="1:14" outlineLevel="1" x14ac:dyDescent="0.2">
      <c r="A142" s="20">
        <f>A100</f>
        <v>11163</v>
      </c>
      <c r="B142" s="19" t="str">
        <f>B100</f>
        <v>UTT</v>
      </c>
      <c r="C142" s="18"/>
      <c r="D142" s="15">
        <v>1144</v>
      </c>
      <c r="E142" s="21">
        <v>0.51800000000000002</v>
      </c>
      <c r="F142" s="14">
        <v>4086.7333333333331</v>
      </c>
      <c r="G142" s="28">
        <v>2263.8699999999944</v>
      </c>
      <c r="H142" s="15">
        <v>392</v>
      </c>
      <c r="I142" s="13">
        <v>23</v>
      </c>
      <c r="J142" s="16">
        <v>886</v>
      </c>
      <c r="K142" s="30">
        <v>1409</v>
      </c>
      <c r="L142" s="29">
        <v>844</v>
      </c>
      <c r="M142" s="28">
        <v>383</v>
      </c>
    </row>
    <row r="143" spans="1:14" outlineLevel="1" x14ac:dyDescent="0.2">
      <c r="A143" s="20">
        <f>A101</f>
        <v>3632</v>
      </c>
      <c r="B143" s="19" t="str">
        <f>B101</f>
        <v>TAMU</v>
      </c>
      <c r="C143" s="18"/>
      <c r="D143" s="15">
        <v>9020</v>
      </c>
      <c r="E143" s="21">
        <v>0.84200000000000008</v>
      </c>
      <c r="F143" s="14">
        <v>35116.666666666664</v>
      </c>
      <c r="G143" s="28">
        <v>21108.189999999984</v>
      </c>
      <c r="H143" s="15">
        <v>1934</v>
      </c>
      <c r="I143" s="13">
        <v>137</v>
      </c>
      <c r="J143" s="16">
        <v>3915</v>
      </c>
      <c r="K143" s="30">
        <v>10547</v>
      </c>
      <c r="L143" s="29">
        <v>8924</v>
      </c>
      <c r="M143" s="28">
        <v>6938</v>
      </c>
    </row>
    <row r="144" spans="1:14" outlineLevel="1" x14ac:dyDescent="0.2">
      <c r="A144" s="20">
        <f>A102</f>
        <v>10298</v>
      </c>
      <c r="B144" s="19" t="str">
        <f>B102</f>
        <v>TAMUG</v>
      </c>
      <c r="C144" s="18"/>
      <c r="D144" s="15">
        <v>314</v>
      </c>
      <c r="E144" s="21">
        <v>0.626</v>
      </c>
      <c r="F144" s="14">
        <v>1769.4666666666667</v>
      </c>
      <c r="G144" s="28">
        <v>826.3399999999923</v>
      </c>
      <c r="H144" s="15">
        <v>46</v>
      </c>
      <c r="I144" s="13">
        <v>0</v>
      </c>
      <c r="J144" s="16">
        <v>186</v>
      </c>
      <c r="K144" s="30">
        <v>607</v>
      </c>
      <c r="L144" s="29">
        <v>296</v>
      </c>
      <c r="M144" s="28">
        <v>263</v>
      </c>
    </row>
    <row r="145" spans="1:13" outlineLevel="1" x14ac:dyDescent="0.2">
      <c r="A145" s="20">
        <f>A103</f>
        <v>3630</v>
      </c>
      <c r="B145" s="19" t="str">
        <f>B103</f>
        <v>Prairie View</v>
      </c>
      <c r="C145" s="18"/>
      <c r="D145" s="15">
        <v>1026</v>
      </c>
      <c r="E145" s="21">
        <v>0.40299999999999997</v>
      </c>
      <c r="F145" s="14">
        <v>5822.8</v>
      </c>
      <c r="G145" s="28">
        <v>2288.9700000000062</v>
      </c>
      <c r="H145" s="15">
        <v>373</v>
      </c>
      <c r="I145" s="13">
        <v>11</v>
      </c>
      <c r="J145" s="16">
        <v>877</v>
      </c>
      <c r="K145" s="30">
        <v>1701</v>
      </c>
      <c r="L145" s="29">
        <v>1132</v>
      </c>
      <c r="M145" s="28">
        <v>871</v>
      </c>
    </row>
    <row r="146" spans="1:13" outlineLevel="1" x14ac:dyDescent="0.2">
      <c r="A146" s="20">
        <f>A104</f>
        <v>3631</v>
      </c>
      <c r="B146" s="19" t="str">
        <f>B104</f>
        <v>Tarleton</v>
      </c>
      <c r="C146" s="18"/>
      <c r="D146" s="15">
        <v>1662</v>
      </c>
      <c r="E146" s="21">
        <v>0.47600000000000003</v>
      </c>
      <c r="F146" s="14">
        <v>6766.4</v>
      </c>
      <c r="G146" s="28">
        <v>3337.2399999999966</v>
      </c>
      <c r="H146" s="15">
        <v>229</v>
      </c>
      <c r="I146" s="13">
        <v>49</v>
      </c>
      <c r="J146" s="16">
        <v>1296</v>
      </c>
      <c r="K146" s="30">
        <v>2227</v>
      </c>
      <c r="L146" s="29">
        <v>1216</v>
      </c>
      <c r="M146" s="28">
        <v>845</v>
      </c>
    </row>
    <row r="147" spans="1:13" outlineLevel="1" x14ac:dyDescent="0.2">
      <c r="A147" s="27">
        <f>A105</f>
        <v>103631</v>
      </c>
      <c r="B147" s="19" t="str">
        <f>B105</f>
        <v>TAMUCT</v>
      </c>
      <c r="C147" s="18"/>
      <c r="D147" s="15">
        <v>469</v>
      </c>
      <c r="E147" s="21">
        <f>E146</f>
        <v>0.47600000000000003</v>
      </c>
      <c r="F147" s="14">
        <v>684.13333333333333</v>
      </c>
      <c r="G147" s="28">
        <v>882.20999999999208</v>
      </c>
      <c r="H147" s="15">
        <v>42</v>
      </c>
      <c r="I147" s="13">
        <v>0</v>
      </c>
      <c r="J147" s="16">
        <v>329</v>
      </c>
      <c r="K147" s="30">
        <v>550</v>
      </c>
      <c r="L147" s="29">
        <v>119</v>
      </c>
      <c r="M147" s="28">
        <v>5</v>
      </c>
    </row>
    <row r="148" spans="1:13" outlineLevel="1" x14ac:dyDescent="0.2">
      <c r="A148" s="20">
        <f>A106</f>
        <v>11161</v>
      </c>
      <c r="B148" s="19" t="str">
        <f>B106</f>
        <v>TAMUCC</v>
      </c>
      <c r="C148" s="18"/>
      <c r="D148" s="15">
        <v>1515</v>
      </c>
      <c r="E148" s="21">
        <v>0.51</v>
      </c>
      <c r="F148" s="14">
        <v>6742.2</v>
      </c>
      <c r="G148" s="28">
        <v>3028.8999999999978</v>
      </c>
      <c r="H148" s="15">
        <v>310</v>
      </c>
      <c r="I148" s="13">
        <v>23</v>
      </c>
      <c r="J148" s="16">
        <v>1182</v>
      </c>
      <c r="K148" s="30">
        <v>1957</v>
      </c>
      <c r="L148" s="29">
        <v>1470</v>
      </c>
      <c r="M148" s="28">
        <v>959</v>
      </c>
    </row>
    <row r="149" spans="1:13" outlineLevel="1" x14ac:dyDescent="0.2">
      <c r="A149" s="20">
        <f>A107</f>
        <v>3639</v>
      </c>
      <c r="B149" s="19" t="str">
        <f>B107</f>
        <v>TAMUK</v>
      </c>
      <c r="C149" s="18"/>
      <c r="D149" s="15">
        <v>855</v>
      </c>
      <c r="E149" s="21">
        <v>0.39200000000000002</v>
      </c>
      <c r="F149" s="14">
        <v>4577.5333333333338</v>
      </c>
      <c r="G149" s="28">
        <v>1952.6200000000099</v>
      </c>
      <c r="H149" s="15">
        <v>298</v>
      </c>
      <c r="I149" s="13">
        <v>19</v>
      </c>
      <c r="J149" s="16">
        <v>742</v>
      </c>
      <c r="K149" s="30">
        <v>1343</v>
      </c>
      <c r="L149" s="29">
        <v>910</v>
      </c>
      <c r="M149" s="28">
        <v>571</v>
      </c>
    </row>
    <row r="150" spans="1:13" outlineLevel="1" x14ac:dyDescent="0.2">
      <c r="A150" s="27">
        <f>A108</f>
        <v>103639</v>
      </c>
      <c r="B150" s="19" t="str">
        <f>B108</f>
        <v>TAMUSA</v>
      </c>
      <c r="C150" s="18"/>
      <c r="D150" s="15">
        <v>647</v>
      </c>
      <c r="E150" s="21">
        <f>E149</f>
        <v>0.39200000000000002</v>
      </c>
      <c r="F150" s="14">
        <v>1673.0666666666666</v>
      </c>
      <c r="G150" s="28">
        <v>1155.5399999999984</v>
      </c>
      <c r="H150" s="15">
        <v>10</v>
      </c>
      <c r="I150" s="13">
        <v>4</v>
      </c>
      <c r="J150" s="16">
        <v>549</v>
      </c>
      <c r="K150" s="30">
        <v>887</v>
      </c>
      <c r="L150" s="29">
        <v>190</v>
      </c>
      <c r="M150" s="28">
        <v>1</v>
      </c>
    </row>
    <row r="151" spans="1:13" outlineLevel="1" x14ac:dyDescent="0.2">
      <c r="A151" s="20">
        <f>A109</f>
        <v>9651</v>
      </c>
      <c r="B151" s="19" t="str">
        <f>B109</f>
        <v>TAMI</v>
      </c>
      <c r="C151" s="18"/>
      <c r="D151" s="15">
        <v>805</v>
      </c>
      <c r="E151" s="21">
        <v>0.45700000000000002</v>
      </c>
      <c r="F151" s="14">
        <v>4312.1333333333332</v>
      </c>
      <c r="G151" s="28">
        <v>1498.7699999999936</v>
      </c>
      <c r="H151" s="15">
        <v>142</v>
      </c>
      <c r="I151" s="13">
        <v>23</v>
      </c>
      <c r="J151" s="16">
        <v>737</v>
      </c>
      <c r="K151" s="30">
        <v>1292</v>
      </c>
      <c r="L151" s="29">
        <v>1039</v>
      </c>
      <c r="M151" s="28">
        <v>488</v>
      </c>
    </row>
    <row r="152" spans="1:13" outlineLevel="1" x14ac:dyDescent="0.2">
      <c r="A152" s="20">
        <f>A110</f>
        <v>3665</v>
      </c>
      <c r="B152" s="19" t="str">
        <f>B110</f>
        <v>WTAMU</v>
      </c>
      <c r="C152" s="18"/>
      <c r="D152" s="15">
        <v>1253</v>
      </c>
      <c r="E152" s="21">
        <v>0.48200000000000004</v>
      </c>
      <c r="F152" s="14">
        <v>5523.2</v>
      </c>
      <c r="G152" s="28">
        <v>2523.9800000000132</v>
      </c>
      <c r="H152" s="15">
        <v>175</v>
      </c>
      <c r="I152" s="13">
        <v>60</v>
      </c>
      <c r="J152" s="16">
        <v>902</v>
      </c>
      <c r="K152" s="30">
        <v>1631</v>
      </c>
      <c r="L152" s="29">
        <v>1213</v>
      </c>
      <c r="M152" s="28">
        <v>689</v>
      </c>
    </row>
    <row r="153" spans="1:13" outlineLevel="1" x14ac:dyDescent="0.2">
      <c r="A153" s="20">
        <f>A111</f>
        <v>3565</v>
      </c>
      <c r="B153" s="19" t="str">
        <f>B111</f>
        <v>TAMUC</v>
      </c>
      <c r="C153" s="18"/>
      <c r="D153" s="15">
        <v>1507</v>
      </c>
      <c r="E153" s="21">
        <v>0.44600000000000001</v>
      </c>
      <c r="F153" s="14">
        <v>5135.2666666666664</v>
      </c>
      <c r="G153" s="28">
        <v>2861.9500000000121</v>
      </c>
      <c r="H153" s="15">
        <v>89</v>
      </c>
      <c r="I153" s="13">
        <v>81</v>
      </c>
      <c r="J153" s="16">
        <v>1172</v>
      </c>
      <c r="K153" s="30">
        <v>2056</v>
      </c>
      <c r="L153" s="29">
        <v>1174</v>
      </c>
      <c r="M153" s="28">
        <v>457</v>
      </c>
    </row>
    <row r="154" spans="1:13" outlineLevel="1" x14ac:dyDescent="0.2">
      <c r="A154" s="20">
        <f>A112</f>
        <v>29269</v>
      </c>
      <c r="B154" s="19" t="str">
        <f>B112</f>
        <v>TAMUT</v>
      </c>
      <c r="C154" s="18"/>
      <c r="D154" s="15">
        <v>376</v>
      </c>
      <c r="E154" s="17">
        <v>0.49242424242424243</v>
      </c>
      <c r="F154" s="14">
        <v>1101.2666666666667</v>
      </c>
      <c r="G154" s="28">
        <v>680.4399999999946</v>
      </c>
      <c r="H154" s="15">
        <v>47</v>
      </c>
      <c r="I154" s="13">
        <v>25</v>
      </c>
      <c r="J154" s="16">
        <v>277</v>
      </c>
      <c r="K154" s="30">
        <v>484</v>
      </c>
      <c r="L154" s="29">
        <v>219</v>
      </c>
      <c r="M154" s="28">
        <v>1</v>
      </c>
    </row>
    <row r="155" spans="1:13" outlineLevel="1" x14ac:dyDescent="0.2">
      <c r="A155" s="20">
        <f>A113</f>
        <v>3652</v>
      </c>
      <c r="B155" s="19" t="str">
        <f>B113</f>
        <v>UH</v>
      </c>
      <c r="C155" s="18"/>
      <c r="D155" s="15">
        <v>5426</v>
      </c>
      <c r="E155" s="21">
        <v>0.53600000000000003</v>
      </c>
      <c r="F155" s="14">
        <v>24760.400000000001</v>
      </c>
      <c r="G155" s="28">
        <v>11378.949999999324</v>
      </c>
      <c r="H155" s="15">
        <v>835</v>
      </c>
      <c r="I155" s="13">
        <v>60</v>
      </c>
      <c r="J155" s="16">
        <v>3688</v>
      </c>
      <c r="K155" s="30">
        <v>7823</v>
      </c>
      <c r="L155" s="29">
        <v>5667</v>
      </c>
      <c r="M155" s="28">
        <v>3232</v>
      </c>
    </row>
    <row r="156" spans="1:13" outlineLevel="1" x14ac:dyDescent="0.2">
      <c r="A156" s="20">
        <f>A114</f>
        <v>11711</v>
      </c>
      <c r="B156" s="19" t="str">
        <f>B114</f>
        <v>UHCL</v>
      </c>
      <c r="C156" s="18"/>
      <c r="D156" s="15">
        <v>1251</v>
      </c>
      <c r="E156" s="17">
        <v>0.51671732522796354</v>
      </c>
      <c r="F156" s="14">
        <v>3079.2666666666669</v>
      </c>
      <c r="G156" s="28">
        <v>2423.7000000000025</v>
      </c>
      <c r="H156" s="15">
        <v>119</v>
      </c>
      <c r="I156" s="13">
        <v>9</v>
      </c>
      <c r="J156" s="16">
        <v>839</v>
      </c>
      <c r="K156" s="30">
        <v>1391</v>
      </c>
      <c r="L156" s="29">
        <v>1014</v>
      </c>
      <c r="M156" s="28">
        <v>37</v>
      </c>
    </row>
    <row r="157" spans="1:13" outlineLevel="1" x14ac:dyDescent="0.2">
      <c r="A157" s="20">
        <f>A115</f>
        <v>12826</v>
      </c>
      <c r="B157" s="19" t="str">
        <f>B115</f>
        <v>UHD</v>
      </c>
      <c r="C157" s="18"/>
      <c r="D157" s="15">
        <v>2351</v>
      </c>
      <c r="E157" s="21">
        <v>0.17399999999999999</v>
      </c>
      <c r="F157" s="14">
        <v>8043.8</v>
      </c>
      <c r="G157" s="28">
        <v>4292.430000000033</v>
      </c>
      <c r="H157" s="15">
        <v>134</v>
      </c>
      <c r="I157" s="13">
        <v>3</v>
      </c>
      <c r="J157" s="16">
        <v>1694</v>
      </c>
      <c r="K157" s="30">
        <v>3011</v>
      </c>
      <c r="L157" s="29">
        <v>1820</v>
      </c>
      <c r="M157" s="28">
        <v>590</v>
      </c>
    </row>
    <row r="158" spans="1:13" outlineLevel="1" x14ac:dyDescent="0.2">
      <c r="A158" s="20">
        <f>A116</f>
        <v>13231</v>
      </c>
      <c r="B158" s="19" t="str">
        <f>B116</f>
        <v>UHV</v>
      </c>
      <c r="C158" s="18"/>
      <c r="D158" s="15">
        <v>619</v>
      </c>
      <c r="E158" s="17">
        <v>0.47520661157024796</v>
      </c>
      <c r="F158" s="14">
        <v>1685.8666666666666</v>
      </c>
      <c r="G158" s="28">
        <v>1187.5899999999924</v>
      </c>
      <c r="H158" s="15">
        <v>134</v>
      </c>
      <c r="I158" s="13">
        <v>9</v>
      </c>
      <c r="J158" s="16">
        <v>418</v>
      </c>
      <c r="K158" s="30">
        <v>776</v>
      </c>
      <c r="L158" s="29">
        <v>334</v>
      </c>
      <c r="M158" s="28">
        <v>6</v>
      </c>
    </row>
    <row r="159" spans="1:13" outlineLevel="1" x14ac:dyDescent="0.2">
      <c r="A159" s="20">
        <f>A117</f>
        <v>3592</v>
      </c>
      <c r="B159" s="19" t="str">
        <f>B117</f>
        <v>Midwestern</v>
      </c>
      <c r="C159" s="18"/>
      <c r="D159" s="15">
        <v>1066</v>
      </c>
      <c r="E159" s="21">
        <v>0.46299999999999997</v>
      </c>
      <c r="F159" s="14">
        <v>4147.7333333333336</v>
      </c>
      <c r="G159" s="28">
        <v>2062.1399999999949</v>
      </c>
      <c r="H159" s="15">
        <v>358</v>
      </c>
      <c r="I159" s="13">
        <v>15</v>
      </c>
      <c r="J159" s="16">
        <v>723</v>
      </c>
      <c r="K159" s="30">
        <v>1310</v>
      </c>
      <c r="L159" s="29">
        <v>979</v>
      </c>
      <c r="M159" s="28">
        <v>683</v>
      </c>
    </row>
    <row r="160" spans="1:13" outlineLevel="1" x14ac:dyDescent="0.2">
      <c r="A160" s="20">
        <f>A118</f>
        <v>3594</v>
      </c>
      <c r="B160" s="19" t="str">
        <f>B118</f>
        <v>UNT</v>
      </c>
      <c r="C160" s="18"/>
      <c r="D160" s="15">
        <v>5843</v>
      </c>
      <c r="E160" s="21">
        <v>0.56799999999999995</v>
      </c>
      <c r="F160" s="14">
        <v>23213.466666666667</v>
      </c>
      <c r="G160" s="28">
        <v>11338.869999999399</v>
      </c>
      <c r="H160" s="15">
        <v>368</v>
      </c>
      <c r="I160" s="13">
        <v>56</v>
      </c>
      <c r="J160" s="16">
        <v>3771</v>
      </c>
      <c r="K160" s="30">
        <v>7310</v>
      </c>
      <c r="L160" s="29">
        <v>5432</v>
      </c>
      <c r="M160" s="28">
        <v>3116</v>
      </c>
    </row>
    <row r="161" spans="1:13" outlineLevel="1" x14ac:dyDescent="0.2">
      <c r="A161" s="27">
        <f>A119</f>
        <v>113594</v>
      </c>
      <c r="B161" s="19" t="str">
        <f>B119</f>
        <v>UNTD</v>
      </c>
      <c r="C161" s="18"/>
      <c r="D161" s="15">
        <v>419</v>
      </c>
      <c r="E161" s="21">
        <f>E160</f>
        <v>0.56799999999999995</v>
      </c>
      <c r="F161" s="14">
        <v>983.4666666666667</v>
      </c>
      <c r="G161" s="28">
        <v>742.11999999999398</v>
      </c>
      <c r="H161" s="15">
        <v>14</v>
      </c>
      <c r="I161" s="13">
        <v>0</v>
      </c>
      <c r="J161" s="16">
        <v>313</v>
      </c>
      <c r="K161" s="30">
        <v>469</v>
      </c>
      <c r="L161" s="29">
        <v>80</v>
      </c>
      <c r="M161" s="28">
        <v>4</v>
      </c>
    </row>
    <row r="162" spans="1:13" outlineLevel="1" x14ac:dyDescent="0.2">
      <c r="A162" s="20">
        <f>A120</f>
        <v>3624</v>
      </c>
      <c r="B162" s="19" t="str">
        <f>B120</f>
        <v>SFA</v>
      </c>
      <c r="C162" s="18"/>
      <c r="D162" s="15">
        <v>2011</v>
      </c>
      <c r="E162" s="21">
        <v>0.55299999999999994</v>
      </c>
      <c r="F162" s="14">
        <v>9507.3333333333339</v>
      </c>
      <c r="G162" s="28">
        <v>3932.9399999999569</v>
      </c>
      <c r="H162" s="15">
        <v>273</v>
      </c>
      <c r="I162" s="13">
        <v>42</v>
      </c>
      <c r="J162" s="16">
        <v>1513</v>
      </c>
      <c r="K162" s="30">
        <v>2605</v>
      </c>
      <c r="L162" s="29">
        <v>2125</v>
      </c>
      <c r="M162" s="28">
        <v>1473</v>
      </c>
    </row>
    <row r="163" spans="1:13" outlineLevel="1" x14ac:dyDescent="0.2">
      <c r="A163" s="20">
        <f>A121</f>
        <v>3642</v>
      </c>
      <c r="B163" s="19" t="str">
        <f>B121</f>
        <v>TSU</v>
      </c>
      <c r="C163" s="18"/>
      <c r="D163" s="15">
        <v>737</v>
      </c>
      <c r="E163" s="21">
        <v>0.14099999999999999</v>
      </c>
      <c r="F163" s="14">
        <v>5767.1333333333332</v>
      </c>
      <c r="G163" s="28">
        <v>1478.8299999999929</v>
      </c>
      <c r="H163" s="15">
        <v>154</v>
      </c>
      <c r="I163" s="13">
        <v>5</v>
      </c>
      <c r="J163" s="16">
        <v>641</v>
      </c>
      <c r="K163" s="30">
        <v>1349</v>
      </c>
      <c r="L163" s="29">
        <v>988</v>
      </c>
      <c r="M163" s="28">
        <v>760</v>
      </c>
    </row>
    <row r="164" spans="1:13" outlineLevel="1" x14ac:dyDescent="0.2">
      <c r="A164" s="20">
        <f>A122</f>
        <v>3644</v>
      </c>
      <c r="B164" s="19" t="str">
        <f>B122</f>
        <v>TTU</v>
      </c>
      <c r="C164" s="18"/>
      <c r="D164" s="15">
        <v>4941</v>
      </c>
      <c r="E164" s="21">
        <v>0.73599999999999999</v>
      </c>
      <c r="F164" s="14">
        <v>22627.599999999999</v>
      </c>
      <c r="G164" s="28">
        <v>10741.019999999262</v>
      </c>
      <c r="H164" s="15">
        <v>839</v>
      </c>
      <c r="I164" s="13">
        <v>67</v>
      </c>
      <c r="J164" s="16">
        <v>3071</v>
      </c>
      <c r="K164" s="30">
        <v>6449</v>
      </c>
      <c r="L164" s="29">
        <v>5332</v>
      </c>
      <c r="M164" s="28">
        <v>4048</v>
      </c>
    </row>
    <row r="165" spans="1:13" outlineLevel="1" x14ac:dyDescent="0.2">
      <c r="A165" s="20">
        <f>A123</f>
        <v>3541</v>
      </c>
      <c r="B165" s="19" t="str">
        <f>B123</f>
        <v>Angelo</v>
      </c>
      <c r="C165" s="18"/>
      <c r="D165" s="15">
        <v>1073</v>
      </c>
      <c r="E165" s="21">
        <v>0.40799999999999997</v>
      </c>
      <c r="F165" s="14">
        <v>4921.333333333333</v>
      </c>
      <c r="G165" s="28">
        <v>2141.5100000000025</v>
      </c>
      <c r="H165" s="15">
        <v>304</v>
      </c>
      <c r="I165" s="13">
        <v>19</v>
      </c>
      <c r="J165" s="16">
        <v>773</v>
      </c>
      <c r="K165" s="30">
        <v>1398</v>
      </c>
      <c r="L165" s="29">
        <v>1022</v>
      </c>
      <c r="M165" s="28">
        <v>707</v>
      </c>
    </row>
    <row r="166" spans="1:13" outlineLevel="1" x14ac:dyDescent="0.2">
      <c r="A166" s="20">
        <f>A124</f>
        <v>3646</v>
      </c>
      <c r="B166" s="19" t="str">
        <f>B124</f>
        <v>TWU</v>
      </c>
      <c r="C166" s="18"/>
      <c r="D166" s="15">
        <v>1919</v>
      </c>
      <c r="E166" s="21">
        <v>0.54200000000000004</v>
      </c>
      <c r="F166" s="14">
        <v>6999.5333333333338</v>
      </c>
      <c r="G166" s="28">
        <v>3704.3199999999606</v>
      </c>
      <c r="H166" s="15">
        <v>571</v>
      </c>
      <c r="I166" s="13">
        <v>30</v>
      </c>
      <c r="J166" s="16">
        <v>1326</v>
      </c>
      <c r="K166" s="30">
        <v>2425</v>
      </c>
      <c r="L166" s="29">
        <v>1247</v>
      </c>
      <c r="M166" s="28">
        <v>703</v>
      </c>
    </row>
    <row r="167" spans="1:13" outlineLevel="1" x14ac:dyDescent="0.2">
      <c r="A167" s="20">
        <f>A125</f>
        <v>3581</v>
      </c>
      <c r="B167" s="19" t="str">
        <f>B125</f>
        <v>Lamar</v>
      </c>
      <c r="C167" s="18"/>
      <c r="D167" s="15">
        <v>1380</v>
      </c>
      <c r="E167" s="21">
        <v>0.35899999999999999</v>
      </c>
      <c r="F167" s="14">
        <v>7404.4666666666662</v>
      </c>
      <c r="G167" s="28">
        <v>2721.5300000000057</v>
      </c>
      <c r="H167" s="15">
        <v>318</v>
      </c>
      <c r="I167" s="13">
        <v>18</v>
      </c>
      <c r="J167" s="16">
        <v>995</v>
      </c>
      <c r="K167" s="30">
        <v>2074</v>
      </c>
      <c r="L167" s="29">
        <v>1486</v>
      </c>
      <c r="M167" s="28">
        <v>1002</v>
      </c>
    </row>
    <row r="168" spans="1:13" outlineLevel="1" x14ac:dyDescent="0.2">
      <c r="A168" s="20">
        <f>A126</f>
        <v>3606</v>
      </c>
      <c r="B168" s="19" t="str">
        <f>B126</f>
        <v>SHSU</v>
      </c>
      <c r="C168" s="18"/>
      <c r="D168" s="15">
        <v>2978</v>
      </c>
      <c r="E168" s="21">
        <v>0.57799999999999996</v>
      </c>
      <c r="F168" s="14">
        <v>12574.466666666667</v>
      </c>
      <c r="G168" s="28">
        <v>5694.020000000286</v>
      </c>
      <c r="H168" s="15">
        <v>172</v>
      </c>
      <c r="I168" s="13">
        <v>51</v>
      </c>
      <c r="J168" s="16">
        <v>2163</v>
      </c>
      <c r="K168" s="30">
        <v>3894</v>
      </c>
      <c r="L168" s="29">
        <v>2915</v>
      </c>
      <c r="M168" s="28">
        <v>1704</v>
      </c>
    </row>
    <row r="169" spans="1:13" outlineLevel="1" x14ac:dyDescent="0.2">
      <c r="A169" s="20">
        <f>A127</f>
        <v>3615</v>
      </c>
      <c r="B169" s="19" t="str">
        <f>B127</f>
        <v>TxStSM</v>
      </c>
      <c r="C169" s="18"/>
      <c r="D169" s="15">
        <v>5435</v>
      </c>
      <c r="E169" s="21">
        <v>0.61399999999999999</v>
      </c>
      <c r="F169" s="14">
        <v>24028</v>
      </c>
      <c r="G169" s="28">
        <v>10677.06999999951</v>
      </c>
      <c r="H169" s="15">
        <v>582</v>
      </c>
      <c r="I169" s="13">
        <v>67</v>
      </c>
      <c r="J169" s="16">
        <v>3816</v>
      </c>
      <c r="K169" s="30">
        <v>7425</v>
      </c>
      <c r="L169" s="29">
        <v>5561</v>
      </c>
      <c r="M169" s="28">
        <v>3333</v>
      </c>
    </row>
    <row r="170" spans="1:13" outlineLevel="1" x14ac:dyDescent="0.2">
      <c r="A170" s="20">
        <f>A128</f>
        <v>3625</v>
      </c>
      <c r="B170" s="19" t="str">
        <f>B128</f>
        <v>SRSU</v>
      </c>
      <c r="C170" s="18"/>
      <c r="D170" s="15">
        <v>191</v>
      </c>
      <c r="E170" s="21">
        <v>0.32600000000000001</v>
      </c>
      <c r="F170" s="14">
        <v>1229</v>
      </c>
      <c r="G170" s="28">
        <v>409.0499999999999</v>
      </c>
      <c r="H170" s="15">
        <v>10</v>
      </c>
      <c r="I170" s="13">
        <v>5</v>
      </c>
      <c r="J170" s="16">
        <v>167</v>
      </c>
      <c r="K170" s="30">
        <v>284</v>
      </c>
      <c r="L170" s="29">
        <v>188</v>
      </c>
      <c r="M170" s="28">
        <v>144</v>
      </c>
    </row>
    <row r="171" spans="1:13" outlineLevel="1" x14ac:dyDescent="0.2">
      <c r="A171" s="20">
        <f>A129</f>
        <v>20</v>
      </c>
      <c r="B171" s="19" t="str">
        <f>B129</f>
        <v>SRRG</v>
      </c>
      <c r="C171" s="18"/>
      <c r="D171" s="15">
        <v>154</v>
      </c>
      <c r="E171" s="17">
        <v>0.25423728813559321</v>
      </c>
      <c r="F171" s="14">
        <v>436.8</v>
      </c>
      <c r="G171" s="28">
        <v>268.06000000000023</v>
      </c>
      <c r="H171" s="15">
        <v>6</v>
      </c>
      <c r="I171" s="13">
        <v>1</v>
      </c>
      <c r="J171" s="16">
        <v>138</v>
      </c>
      <c r="K171" s="30">
        <v>215</v>
      </c>
      <c r="L171" s="29">
        <v>91</v>
      </c>
      <c r="M171" s="28">
        <v>6</v>
      </c>
    </row>
    <row r="172" spans="1:13" ht="13.5" outlineLevel="1" thickBot="1" x14ac:dyDescent="0.25">
      <c r="A172" s="12"/>
      <c r="B172" s="11" t="s">
        <v>11</v>
      </c>
      <c r="C172" s="10"/>
      <c r="D172" s="9">
        <f>SUM(D134:D171)</f>
        <v>87062</v>
      </c>
      <c r="E172" s="8">
        <v>0.58700000000000008</v>
      </c>
      <c r="F172" s="7">
        <f>SUM(F134:F171)</f>
        <v>359610.06666666665</v>
      </c>
      <c r="G172" s="3">
        <f>SUM(G134:G171)</f>
        <v>180161.28999999876</v>
      </c>
      <c r="H172" s="5">
        <f>SUM(H134:H171)</f>
        <v>15629</v>
      </c>
      <c r="I172" s="3">
        <f>SUM(I134:I171)</f>
        <v>1267</v>
      </c>
      <c r="J172" s="6">
        <f>SUM(J134:J171)</f>
        <v>56968</v>
      </c>
      <c r="K172" s="5">
        <f>SUM(K134:K171)</f>
        <v>113504</v>
      </c>
      <c r="L172" s="4">
        <f>SUM(L134:L171)</f>
        <v>81268</v>
      </c>
      <c r="M172" s="3">
        <f>SUM(M134:M171)</f>
        <v>50077</v>
      </c>
    </row>
    <row r="173" spans="1:13" ht="13.5" thickBot="1" x14ac:dyDescent="0.25">
      <c r="A173" s="65" t="s">
        <v>26</v>
      </c>
      <c r="B173" s="65"/>
      <c r="C173" s="65"/>
      <c r="D173" s="65"/>
      <c r="F173" s="65"/>
      <c r="J173" s="65"/>
    </row>
    <row r="174" spans="1:13" ht="12.75" customHeight="1" outlineLevel="1" x14ac:dyDescent="0.2">
      <c r="A174" s="64" t="s">
        <v>24</v>
      </c>
      <c r="B174" s="60" t="s">
        <v>23</v>
      </c>
      <c r="C174" s="63"/>
      <c r="D174" s="62" t="s">
        <v>22</v>
      </c>
      <c r="E174" s="61" t="s">
        <v>21</v>
      </c>
      <c r="F174" s="60" t="s">
        <v>20</v>
      </c>
      <c r="G174" s="59" t="s">
        <v>19</v>
      </c>
      <c r="H174" s="58" t="s">
        <v>18</v>
      </c>
      <c r="I174" s="57" t="s">
        <v>17</v>
      </c>
      <c r="J174" s="56" t="s">
        <v>16</v>
      </c>
      <c r="K174" s="55" t="s">
        <v>15</v>
      </c>
      <c r="L174" s="54"/>
      <c r="M174" s="54"/>
    </row>
    <row r="175" spans="1:13" s="41" customFormat="1" ht="40.5" customHeight="1" outlineLevel="1" thickBot="1" x14ac:dyDescent="0.25">
      <c r="A175" s="53"/>
      <c r="B175" s="49"/>
      <c r="C175" s="52"/>
      <c r="D175" s="51"/>
      <c r="E175" s="50"/>
      <c r="F175" s="49"/>
      <c r="G175" s="48"/>
      <c r="H175" s="47"/>
      <c r="I175" s="46"/>
      <c r="J175" s="45"/>
      <c r="K175" s="44" t="s">
        <v>14</v>
      </c>
      <c r="L175" s="43" t="s">
        <v>13</v>
      </c>
      <c r="M175" s="42" t="s">
        <v>12</v>
      </c>
    </row>
    <row r="176" spans="1:13" outlineLevel="1" x14ac:dyDescent="0.2">
      <c r="A176" s="40">
        <f>A134</f>
        <v>3656</v>
      </c>
      <c r="B176" s="39" t="str">
        <f>B134</f>
        <v>UTA</v>
      </c>
      <c r="C176" s="38"/>
      <c r="D176" s="33">
        <v>5103</v>
      </c>
      <c r="E176" s="37">
        <v>0.49299999999999999</v>
      </c>
      <c r="F176" s="32">
        <v>17372</v>
      </c>
      <c r="G176" s="31">
        <v>10527.860000000002</v>
      </c>
      <c r="H176" s="36">
        <v>1620</v>
      </c>
      <c r="I176" s="35">
        <v>26</v>
      </c>
      <c r="J176" s="34">
        <v>3158</v>
      </c>
      <c r="K176" s="33">
        <v>6986</v>
      </c>
      <c r="L176" s="32">
        <v>3903</v>
      </c>
      <c r="M176" s="31">
        <v>1733</v>
      </c>
    </row>
    <row r="177" spans="1:13" outlineLevel="1" x14ac:dyDescent="0.2">
      <c r="A177" s="20">
        <f>A135</f>
        <v>3658</v>
      </c>
      <c r="B177" s="19" t="str">
        <f>B135</f>
        <v>UT</v>
      </c>
      <c r="C177" s="18"/>
      <c r="D177" s="15">
        <v>9027</v>
      </c>
      <c r="E177" s="21">
        <v>0.83299999999999996</v>
      </c>
      <c r="F177" s="14">
        <v>33709.866666666669</v>
      </c>
      <c r="G177" s="13">
        <v>19422.050000001858</v>
      </c>
      <c r="H177" s="15">
        <v>1894</v>
      </c>
      <c r="I177" s="13">
        <v>60</v>
      </c>
      <c r="J177" s="16">
        <v>3475</v>
      </c>
      <c r="K177" s="15">
        <v>9939</v>
      </c>
      <c r="L177" s="14">
        <v>8895</v>
      </c>
      <c r="M177" s="13">
        <v>7485</v>
      </c>
    </row>
    <row r="178" spans="1:13" outlineLevel="1" x14ac:dyDescent="0.2">
      <c r="A178" s="20">
        <f>A136</f>
        <v>9741</v>
      </c>
      <c r="B178" s="19" t="str">
        <f>B136</f>
        <v>UTD</v>
      </c>
      <c r="C178" s="18"/>
      <c r="D178" s="15">
        <v>2314</v>
      </c>
      <c r="E178" s="21">
        <v>0.68299999999999994</v>
      </c>
      <c r="F178" s="14">
        <v>8822.2000000000007</v>
      </c>
      <c r="G178" s="13">
        <v>4904.1700000000228</v>
      </c>
      <c r="H178" s="15">
        <v>424</v>
      </c>
      <c r="I178" s="13">
        <v>27</v>
      </c>
      <c r="J178" s="16">
        <v>1294</v>
      </c>
      <c r="K178" s="15">
        <v>3345</v>
      </c>
      <c r="L178" s="14">
        <v>2105</v>
      </c>
      <c r="M178" s="13">
        <v>1076</v>
      </c>
    </row>
    <row r="179" spans="1:13" outlineLevel="1" x14ac:dyDescent="0.2">
      <c r="A179" s="20">
        <f>A137</f>
        <v>3661</v>
      </c>
      <c r="B179" s="19" t="str">
        <f>B137</f>
        <v>UTEP</v>
      </c>
      <c r="C179" s="18"/>
      <c r="D179" s="15">
        <v>3008</v>
      </c>
      <c r="E179" s="21">
        <v>0.38400000000000001</v>
      </c>
      <c r="F179" s="14">
        <v>13376</v>
      </c>
      <c r="G179" s="13">
        <v>6142.7200000000885</v>
      </c>
      <c r="H179" s="15">
        <v>613</v>
      </c>
      <c r="I179" s="13">
        <v>91</v>
      </c>
      <c r="J179" s="16">
        <v>2409</v>
      </c>
      <c r="K179" s="15">
        <v>4488</v>
      </c>
      <c r="L179" s="14">
        <v>3404</v>
      </c>
      <c r="M179" s="13">
        <v>1910</v>
      </c>
    </row>
    <row r="180" spans="1:13" outlineLevel="1" x14ac:dyDescent="0.2">
      <c r="A180" s="20">
        <f>A138</f>
        <v>3599</v>
      </c>
      <c r="B180" s="19" t="str">
        <f>B138</f>
        <v>UTPA</v>
      </c>
      <c r="C180" s="18"/>
      <c r="D180" s="15">
        <v>2658</v>
      </c>
      <c r="E180" s="21">
        <v>0.46399999999999997</v>
      </c>
      <c r="F180" s="14">
        <v>12499.266666666666</v>
      </c>
      <c r="G180" s="13">
        <v>5231.3300000001427</v>
      </c>
      <c r="H180" s="15">
        <v>534</v>
      </c>
      <c r="I180" s="13">
        <v>34</v>
      </c>
      <c r="J180" s="16">
        <v>2427</v>
      </c>
      <c r="K180" s="15">
        <v>4142</v>
      </c>
      <c r="L180" s="14">
        <v>3290</v>
      </c>
      <c r="M180" s="13">
        <v>1998</v>
      </c>
    </row>
    <row r="181" spans="1:13" outlineLevel="1" x14ac:dyDescent="0.2">
      <c r="A181" s="20">
        <f>A139</f>
        <v>30646</v>
      </c>
      <c r="B181" s="19" t="str">
        <f>B139</f>
        <v>UTB</v>
      </c>
      <c r="C181" s="18"/>
      <c r="D181" s="15">
        <v>1075</v>
      </c>
      <c r="E181" s="17">
        <v>0.55124653739612184</v>
      </c>
      <c r="F181" s="14">
        <v>3116.2</v>
      </c>
      <c r="G181" s="13">
        <v>2052.0600000000218</v>
      </c>
      <c r="H181" s="15">
        <v>132</v>
      </c>
      <c r="I181" s="13">
        <v>15</v>
      </c>
      <c r="J181" s="16">
        <v>916</v>
      </c>
      <c r="K181" s="15">
        <v>1359</v>
      </c>
      <c r="L181" s="14">
        <v>600</v>
      </c>
      <c r="M181" s="13">
        <v>131</v>
      </c>
    </row>
    <row r="182" spans="1:13" outlineLevel="1" x14ac:dyDescent="0.2">
      <c r="A182" s="20">
        <f>A140</f>
        <v>9930</v>
      </c>
      <c r="B182" s="19" t="str">
        <f>B140</f>
        <v>UTPB</v>
      </c>
      <c r="C182" s="18"/>
      <c r="D182" s="15">
        <v>541</v>
      </c>
      <c r="E182" s="21">
        <v>0.40700000000000003</v>
      </c>
      <c r="F182" s="14">
        <v>2416</v>
      </c>
      <c r="G182" s="13">
        <v>1005.1500000000051</v>
      </c>
      <c r="H182" s="15">
        <v>40</v>
      </c>
      <c r="I182" s="13">
        <v>10</v>
      </c>
      <c r="J182" s="16">
        <v>407</v>
      </c>
      <c r="K182" s="15">
        <v>908</v>
      </c>
      <c r="L182" s="14">
        <v>490</v>
      </c>
      <c r="M182" s="13">
        <v>191</v>
      </c>
    </row>
    <row r="183" spans="1:13" outlineLevel="1" x14ac:dyDescent="0.2">
      <c r="A183" s="20">
        <f>A141</f>
        <v>10115</v>
      </c>
      <c r="B183" s="19" t="str">
        <f>B141</f>
        <v>UTSA</v>
      </c>
      <c r="C183" s="18"/>
      <c r="D183" s="15">
        <v>4148</v>
      </c>
      <c r="E183" s="21">
        <v>0.39400000000000002</v>
      </c>
      <c r="F183" s="14">
        <v>20284.733333333334</v>
      </c>
      <c r="G183" s="13">
        <v>8398.8499999997166</v>
      </c>
      <c r="H183" s="15">
        <v>394</v>
      </c>
      <c r="I183" s="13">
        <v>47</v>
      </c>
      <c r="J183" s="16">
        <v>3211</v>
      </c>
      <c r="K183" s="15">
        <v>6802</v>
      </c>
      <c r="L183" s="14">
        <v>4390</v>
      </c>
      <c r="M183" s="13">
        <v>2699</v>
      </c>
    </row>
    <row r="184" spans="1:13" outlineLevel="1" x14ac:dyDescent="0.2">
      <c r="A184" s="20">
        <f>A142</f>
        <v>11163</v>
      </c>
      <c r="B184" s="19" t="str">
        <f>B142</f>
        <v>UTT</v>
      </c>
      <c r="C184" s="18"/>
      <c r="D184" s="15">
        <v>1188</v>
      </c>
      <c r="E184" s="21">
        <v>0.53300000000000003</v>
      </c>
      <c r="F184" s="14">
        <v>4030.7333333333331</v>
      </c>
      <c r="G184" s="13">
        <v>2364.9800000000037</v>
      </c>
      <c r="H184" s="15">
        <v>366</v>
      </c>
      <c r="I184" s="13">
        <v>9</v>
      </c>
      <c r="J184" s="16">
        <v>939</v>
      </c>
      <c r="K184" s="15">
        <v>1496</v>
      </c>
      <c r="L184" s="14">
        <v>905</v>
      </c>
      <c r="M184" s="13">
        <v>401</v>
      </c>
    </row>
    <row r="185" spans="1:13" outlineLevel="1" x14ac:dyDescent="0.2">
      <c r="A185" s="20">
        <f>A143</f>
        <v>3632</v>
      </c>
      <c r="B185" s="19" t="str">
        <f>B143</f>
        <v>TAMU</v>
      </c>
      <c r="C185" s="18"/>
      <c r="D185" s="15">
        <v>8748</v>
      </c>
      <c r="E185" s="21">
        <v>0.84399999999999997</v>
      </c>
      <c r="F185" s="14">
        <v>34425.133333333331</v>
      </c>
      <c r="G185" s="13">
        <v>20060.050000001262</v>
      </c>
      <c r="H185" s="15">
        <v>1775</v>
      </c>
      <c r="I185" s="13">
        <v>133</v>
      </c>
      <c r="J185" s="16">
        <v>3727</v>
      </c>
      <c r="K185" s="15">
        <v>9623</v>
      </c>
      <c r="L185" s="14">
        <v>8962</v>
      </c>
      <c r="M185" s="13">
        <v>6823</v>
      </c>
    </row>
    <row r="186" spans="1:13" outlineLevel="1" x14ac:dyDescent="0.2">
      <c r="A186" s="20">
        <f>A144</f>
        <v>10298</v>
      </c>
      <c r="B186" s="19" t="str">
        <f>B144</f>
        <v>TAMUG</v>
      </c>
      <c r="C186" s="18"/>
      <c r="D186" s="15">
        <v>250</v>
      </c>
      <c r="E186" s="21">
        <v>0.66400000000000003</v>
      </c>
      <c r="F186" s="14">
        <v>1668.1333333333334</v>
      </c>
      <c r="G186" s="13">
        <v>648.89999999999895</v>
      </c>
      <c r="H186" s="15">
        <v>35</v>
      </c>
      <c r="I186" s="13">
        <v>0</v>
      </c>
      <c r="J186" s="16">
        <v>151</v>
      </c>
      <c r="K186" s="15">
        <v>600</v>
      </c>
      <c r="L186" s="14">
        <v>336</v>
      </c>
      <c r="M186" s="13">
        <v>234</v>
      </c>
    </row>
    <row r="187" spans="1:13" outlineLevel="1" x14ac:dyDescent="0.2">
      <c r="A187" s="20">
        <f>A145</f>
        <v>3630</v>
      </c>
      <c r="B187" s="19" t="str">
        <f>B145</f>
        <v>Prairie View</v>
      </c>
      <c r="C187" s="18"/>
      <c r="D187" s="15">
        <v>904</v>
      </c>
      <c r="E187" s="21">
        <v>0.37</v>
      </c>
      <c r="F187" s="69">
        <v>6088.2666666666664</v>
      </c>
      <c r="G187" s="13">
        <v>1934.240000000003</v>
      </c>
      <c r="H187" s="15">
        <v>279</v>
      </c>
      <c r="I187" s="13">
        <v>10</v>
      </c>
      <c r="J187" s="16">
        <v>775</v>
      </c>
      <c r="K187" s="15">
        <v>1660</v>
      </c>
      <c r="L187" s="14">
        <v>1237</v>
      </c>
      <c r="M187" s="13">
        <v>905</v>
      </c>
    </row>
    <row r="188" spans="1:13" outlineLevel="1" x14ac:dyDescent="0.2">
      <c r="A188" s="20">
        <f>A146</f>
        <v>3631</v>
      </c>
      <c r="B188" s="19" t="str">
        <f>B146</f>
        <v>Tarleton</v>
      </c>
      <c r="C188" s="18"/>
      <c r="D188" s="15">
        <v>1552</v>
      </c>
      <c r="E188" s="21">
        <v>0.48299999999999998</v>
      </c>
      <c r="F188" s="69">
        <v>6264.4666666666662</v>
      </c>
      <c r="G188" s="13">
        <v>3063.9600000000341</v>
      </c>
      <c r="H188" s="15">
        <v>197</v>
      </c>
      <c r="I188" s="68">
        <v>56</v>
      </c>
      <c r="J188" s="16">
        <v>1196</v>
      </c>
      <c r="K188" s="70">
        <v>2096</v>
      </c>
      <c r="L188" s="69">
        <v>1464</v>
      </c>
      <c r="M188" s="68">
        <v>840</v>
      </c>
    </row>
    <row r="189" spans="1:13" outlineLevel="1" x14ac:dyDescent="0.2">
      <c r="A189" s="27">
        <f>A147</f>
        <v>103631</v>
      </c>
      <c r="B189" s="19" t="str">
        <f>B147</f>
        <v>TAMUCT</v>
      </c>
      <c r="C189" s="18"/>
      <c r="D189" s="15">
        <v>462</v>
      </c>
      <c r="E189" s="21">
        <v>0.48299999999999998</v>
      </c>
      <c r="F189" s="69">
        <v>700.66666666666663</v>
      </c>
      <c r="G189" s="13">
        <v>846.68000000000006</v>
      </c>
      <c r="H189" s="15">
        <v>36</v>
      </c>
      <c r="I189" s="68">
        <v>0</v>
      </c>
      <c r="J189" s="16">
        <v>330</v>
      </c>
      <c r="K189" s="70">
        <v>555</v>
      </c>
      <c r="L189" s="69">
        <v>143</v>
      </c>
      <c r="M189" s="68">
        <v>66</v>
      </c>
    </row>
    <row r="190" spans="1:13" outlineLevel="1" x14ac:dyDescent="0.2">
      <c r="A190" s="20">
        <f>A148</f>
        <v>11161</v>
      </c>
      <c r="B190" s="19" t="str">
        <f>B148</f>
        <v>TAMUCC</v>
      </c>
      <c r="C190" s="18"/>
      <c r="D190" s="15">
        <v>1315</v>
      </c>
      <c r="E190" s="21">
        <v>0.51100000000000001</v>
      </c>
      <c r="F190" s="69">
        <v>6609.8666666666668</v>
      </c>
      <c r="G190" s="13">
        <v>2639.1300000000101</v>
      </c>
      <c r="H190" s="15">
        <v>252</v>
      </c>
      <c r="I190" s="68">
        <v>25</v>
      </c>
      <c r="J190" s="16">
        <v>1034</v>
      </c>
      <c r="K190" s="15">
        <v>2126</v>
      </c>
      <c r="L190" s="14">
        <v>1577</v>
      </c>
      <c r="M190" s="13">
        <v>864</v>
      </c>
    </row>
    <row r="191" spans="1:13" outlineLevel="1" x14ac:dyDescent="0.2">
      <c r="A191" s="20">
        <f>A149</f>
        <v>3639</v>
      </c>
      <c r="B191" s="19" t="str">
        <f>B149</f>
        <v>TAMUK</v>
      </c>
      <c r="C191" s="18"/>
      <c r="D191" s="15">
        <v>738</v>
      </c>
      <c r="E191" s="21">
        <v>0.39799999999999996</v>
      </c>
      <c r="F191" s="69">
        <v>4394.2</v>
      </c>
      <c r="G191" s="13">
        <v>1735.8600000000065</v>
      </c>
      <c r="H191" s="15">
        <v>246</v>
      </c>
      <c r="I191" s="68">
        <v>16</v>
      </c>
      <c r="J191" s="16">
        <v>613</v>
      </c>
      <c r="K191" s="70">
        <v>1180</v>
      </c>
      <c r="L191" s="69">
        <v>879</v>
      </c>
      <c r="M191" s="68">
        <v>555</v>
      </c>
    </row>
    <row r="192" spans="1:13" outlineLevel="1" x14ac:dyDescent="0.2">
      <c r="A192" s="27">
        <f>A150</f>
        <v>103639</v>
      </c>
      <c r="B192" s="19" t="str">
        <f>B150</f>
        <v>TAMUSA</v>
      </c>
      <c r="C192" s="18"/>
      <c r="D192" s="15">
        <v>620</v>
      </c>
      <c r="E192" s="21">
        <v>0.39799999999999996</v>
      </c>
      <c r="F192" s="69">
        <v>1492.4</v>
      </c>
      <c r="G192" s="13">
        <v>1078.0000000000073</v>
      </c>
      <c r="H192" s="15">
        <v>1</v>
      </c>
      <c r="I192" s="68">
        <v>0</v>
      </c>
      <c r="J192" s="16">
        <v>520</v>
      </c>
      <c r="K192" s="70">
        <v>995</v>
      </c>
      <c r="L192" s="69">
        <v>37</v>
      </c>
      <c r="M192" s="68">
        <v>2</v>
      </c>
    </row>
    <row r="193" spans="1:13" outlineLevel="1" x14ac:dyDescent="0.2">
      <c r="A193" s="20">
        <f>A151</f>
        <v>9651</v>
      </c>
      <c r="B193" s="19" t="str">
        <f>B151</f>
        <v>TAMI</v>
      </c>
      <c r="C193" s="18"/>
      <c r="D193" s="15">
        <v>766</v>
      </c>
      <c r="E193" s="21">
        <v>0.503</v>
      </c>
      <c r="F193" s="14">
        <v>4126.8</v>
      </c>
      <c r="G193" s="13">
        <v>1400.4200000000046</v>
      </c>
      <c r="H193" s="15">
        <v>120</v>
      </c>
      <c r="I193" s="13">
        <v>18</v>
      </c>
      <c r="J193" s="16">
        <v>688</v>
      </c>
      <c r="K193" s="15">
        <v>1515</v>
      </c>
      <c r="L193" s="14">
        <v>1027</v>
      </c>
      <c r="M193" s="13">
        <v>486</v>
      </c>
    </row>
    <row r="194" spans="1:13" outlineLevel="1" x14ac:dyDescent="0.2">
      <c r="A194" s="20">
        <f>A152</f>
        <v>3665</v>
      </c>
      <c r="B194" s="19" t="str">
        <f>B152</f>
        <v>WTAMU</v>
      </c>
      <c r="C194" s="18"/>
      <c r="D194" s="15">
        <v>1294</v>
      </c>
      <c r="E194" s="21">
        <v>0.47399999999999998</v>
      </c>
      <c r="F194" s="14">
        <v>5457.666666666667</v>
      </c>
      <c r="G194" s="13">
        <v>2570.7800000000157</v>
      </c>
      <c r="H194" s="15">
        <v>184</v>
      </c>
      <c r="I194" s="13">
        <v>58</v>
      </c>
      <c r="J194" s="16">
        <v>913</v>
      </c>
      <c r="K194" s="15">
        <v>1871</v>
      </c>
      <c r="L194" s="14">
        <v>1264</v>
      </c>
      <c r="M194" s="13">
        <v>664</v>
      </c>
    </row>
    <row r="195" spans="1:13" outlineLevel="1" x14ac:dyDescent="0.2">
      <c r="A195" s="20">
        <f>A153</f>
        <v>3565</v>
      </c>
      <c r="B195" s="19" t="str">
        <f>B153</f>
        <v>TAMUC</v>
      </c>
      <c r="C195" s="18"/>
      <c r="D195" s="15">
        <v>1313</v>
      </c>
      <c r="E195" s="21">
        <v>0.42600000000000005</v>
      </c>
      <c r="F195" s="14">
        <v>4783.5333333333338</v>
      </c>
      <c r="G195" s="13">
        <v>2463.6900000000296</v>
      </c>
      <c r="H195" s="15">
        <v>71</v>
      </c>
      <c r="I195" s="13">
        <v>77</v>
      </c>
      <c r="J195" s="16">
        <v>1002</v>
      </c>
      <c r="K195" s="15">
        <v>1911</v>
      </c>
      <c r="L195" s="14">
        <v>1200</v>
      </c>
      <c r="M195" s="13">
        <v>477</v>
      </c>
    </row>
    <row r="196" spans="1:13" outlineLevel="1" x14ac:dyDescent="0.2">
      <c r="A196" s="20">
        <f>A154</f>
        <v>29269</v>
      </c>
      <c r="B196" s="19" t="str">
        <f>B154</f>
        <v>TAMUT</v>
      </c>
      <c r="C196" s="18"/>
      <c r="D196" s="15">
        <v>335</v>
      </c>
      <c r="E196" s="17">
        <v>0.56028368794326244</v>
      </c>
      <c r="F196" s="14">
        <v>879.13333333333333</v>
      </c>
      <c r="G196" s="13">
        <v>609.83000000000015</v>
      </c>
      <c r="H196" s="15">
        <v>48</v>
      </c>
      <c r="I196" s="13">
        <v>18</v>
      </c>
      <c r="J196" s="16">
        <v>230</v>
      </c>
      <c r="K196" s="15">
        <v>411</v>
      </c>
      <c r="L196" s="14">
        <v>186</v>
      </c>
      <c r="M196" s="13">
        <v>1</v>
      </c>
    </row>
    <row r="197" spans="1:13" outlineLevel="1" x14ac:dyDescent="0.2">
      <c r="A197" s="20">
        <f>A155</f>
        <v>3652</v>
      </c>
      <c r="B197" s="19" t="str">
        <f>B155</f>
        <v>UH</v>
      </c>
      <c r="C197" s="18"/>
      <c r="D197" s="15">
        <v>5092</v>
      </c>
      <c r="E197" s="21">
        <v>0.54200000000000004</v>
      </c>
      <c r="F197" s="14">
        <v>23853.933333333334</v>
      </c>
      <c r="G197" s="13">
        <v>10569.339999999527</v>
      </c>
      <c r="H197" s="15">
        <v>720</v>
      </c>
      <c r="I197" s="13">
        <v>74</v>
      </c>
      <c r="J197" s="16">
        <v>3340</v>
      </c>
      <c r="K197" s="15">
        <v>7467</v>
      </c>
      <c r="L197" s="14">
        <v>5804</v>
      </c>
      <c r="M197" s="13">
        <v>3314</v>
      </c>
    </row>
    <row r="198" spans="1:13" outlineLevel="1" x14ac:dyDescent="0.2">
      <c r="A198" s="20">
        <f>A156</f>
        <v>11711</v>
      </c>
      <c r="B198" s="19" t="str">
        <f>B156</f>
        <v>UHCL</v>
      </c>
      <c r="C198" s="18"/>
      <c r="D198" s="15">
        <v>1197</v>
      </c>
      <c r="E198" s="17">
        <v>0.53820033955857383</v>
      </c>
      <c r="F198" s="14">
        <v>3046.8</v>
      </c>
      <c r="G198" s="13">
        <v>2293.9500000000248</v>
      </c>
      <c r="H198" s="15">
        <v>113</v>
      </c>
      <c r="I198" s="13">
        <v>8</v>
      </c>
      <c r="J198" s="16">
        <v>777</v>
      </c>
      <c r="K198" s="15">
        <v>1434</v>
      </c>
      <c r="L198" s="14">
        <v>959</v>
      </c>
      <c r="M198" s="13">
        <v>53</v>
      </c>
    </row>
    <row r="199" spans="1:13" outlineLevel="1" x14ac:dyDescent="0.2">
      <c r="A199" s="20">
        <f>A157</f>
        <v>12826</v>
      </c>
      <c r="B199" s="19" t="str">
        <f>B157</f>
        <v>UHD</v>
      </c>
      <c r="C199" s="18"/>
      <c r="D199" s="15">
        <v>2437</v>
      </c>
      <c r="E199" s="21">
        <v>0.215</v>
      </c>
      <c r="F199" s="14">
        <v>7949.2666666666664</v>
      </c>
      <c r="G199" s="13">
        <v>4368.2100000000464</v>
      </c>
      <c r="H199" s="15">
        <v>143</v>
      </c>
      <c r="I199" s="13">
        <v>0</v>
      </c>
      <c r="J199" s="16">
        <v>1730</v>
      </c>
      <c r="K199" s="15">
        <v>3223</v>
      </c>
      <c r="L199" s="14">
        <v>1896</v>
      </c>
      <c r="M199" s="13">
        <v>618</v>
      </c>
    </row>
    <row r="200" spans="1:13" outlineLevel="1" x14ac:dyDescent="0.2">
      <c r="A200" s="20">
        <f>A158</f>
        <v>13231</v>
      </c>
      <c r="B200" s="19" t="str">
        <f>B158</f>
        <v>UHV</v>
      </c>
      <c r="C200" s="18"/>
      <c r="D200" s="15">
        <v>596</v>
      </c>
      <c r="E200" s="17">
        <v>0.5339366515837104</v>
      </c>
      <c r="F200" s="14">
        <v>1494.2</v>
      </c>
      <c r="G200" s="13">
        <v>1103.6999999999998</v>
      </c>
      <c r="H200" s="15">
        <v>118</v>
      </c>
      <c r="I200" s="13">
        <v>11</v>
      </c>
      <c r="J200" s="16">
        <v>397</v>
      </c>
      <c r="K200" s="15">
        <v>718</v>
      </c>
      <c r="L200" s="14">
        <v>286</v>
      </c>
      <c r="M200" s="13">
        <v>6</v>
      </c>
    </row>
    <row r="201" spans="1:13" outlineLevel="1" x14ac:dyDescent="0.2">
      <c r="A201" s="20">
        <f>A159</f>
        <v>3592</v>
      </c>
      <c r="B201" s="19" t="str">
        <f>B159</f>
        <v>Midwestern</v>
      </c>
      <c r="C201" s="18"/>
      <c r="D201" s="15">
        <v>1027</v>
      </c>
      <c r="E201" s="21">
        <v>0.443</v>
      </c>
      <c r="F201" s="14">
        <v>4387.7333333333336</v>
      </c>
      <c r="G201" s="13">
        <v>1924.84</v>
      </c>
      <c r="H201" s="15">
        <v>340</v>
      </c>
      <c r="I201" s="13">
        <v>11</v>
      </c>
      <c r="J201" s="16">
        <v>675</v>
      </c>
      <c r="K201" s="15">
        <v>1507</v>
      </c>
      <c r="L201" s="14">
        <v>1079</v>
      </c>
      <c r="M201" s="13">
        <v>734</v>
      </c>
    </row>
    <row r="202" spans="1:13" outlineLevel="1" x14ac:dyDescent="0.2">
      <c r="A202" s="20">
        <f>A160</f>
        <v>3594</v>
      </c>
      <c r="B202" s="19" t="str">
        <f>B160</f>
        <v>UNT</v>
      </c>
      <c r="C202" s="18"/>
      <c r="D202" s="15">
        <v>6183</v>
      </c>
      <c r="E202" s="21">
        <v>0.58700000000000008</v>
      </c>
      <c r="F202" s="14">
        <v>23168.733333333334</v>
      </c>
      <c r="G202" s="13">
        <v>11731.089999999795</v>
      </c>
      <c r="H202" s="15">
        <v>345</v>
      </c>
      <c r="I202" s="13">
        <v>47</v>
      </c>
      <c r="J202" s="16">
        <v>3942</v>
      </c>
      <c r="K202" s="15">
        <v>7957</v>
      </c>
      <c r="L202" s="14">
        <v>5891</v>
      </c>
      <c r="M202" s="13">
        <v>3310</v>
      </c>
    </row>
    <row r="203" spans="1:13" outlineLevel="1" x14ac:dyDescent="0.2">
      <c r="A203" s="27">
        <f>A161</f>
        <v>113594</v>
      </c>
      <c r="B203" s="19" t="str">
        <f>B161</f>
        <v>UNTD</v>
      </c>
      <c r="C203" s="18"/>
      <c r="D203" s="30">
        <v>388</v>
      </c>
      <c r="E203" s="67">
        <v>0.58700000000000008</v>
      </c>
      <c r="F203" s="29">
        <v>908.8</v>
      </c>
      <c r="G203" s="28">
        <v>669.60000000000036</v>
      </c>
      <c r="H203" s="30">
        <v>10</v>
      </c>
      <c r="I203" s="28"/>
      <c r="J203" s="66">
        <v>304</v>
      </c>
      <c r="K203" s="30">
        <v>487</v>
      </c>
      <c r="L203" s="29">
        <v>63</v>
      </c>
      <c r="M203" s="28">
        <v>18</v>
      </c>
    </row>
    <row r="204" spans="1:13" outlineLevel="1" x14ac:dyDescent="0.2">
      <c r="A204" s="20">
        <f>A162</f>
        <v>3624</v>
      </c>
      <c r="B204" s="19" t="str">
        <f>B162</f>
        <v>SFA</v>
      </c>
      <c r="C204" s="18"/>
      <c r="D204" s="15">
        <v>1880</v>
      </c>
      <c r="E204" s="21">
        <v>0.53900000000000003</v>
      </c>
      <c r="F204" s="14">
        <v>9440.9333333333325</v>
      </c>
      <c r="G204" s="13">
        <v>3606.8600000000297</v>
      </c>
      <c r="H204" s="15">
        <v>241</v>
      </c>
      <c r="I204" s="13">
        <v>49</v>
      </c>
      <c r="J204" s="16">
        <v>1446</v>
      </c>
      <c r="K204" s="15">
        <v>3040</v>
      </c>
      <c r="L204" s="14">
        <v>2166</v>
      </c>
      <c r="M204" s="13">
        <v>1402</v>
      </c>
    </row>
    <row r="205" spans="1:13" outlineLevel="1" x14ac:dyDescent="0.2">
      <c r="A205" s="20">
        <f>A163</f>
        <v>3642</v>
      </c>
      <c r="B205" s="19" t="str">
        <f>B163</f>
        <v>TSU</v>
      </c>
      <c r="C205" s="18"/>
      <c r="D205" s="15">
        <v>721</v>
      </c>
      <c r="E205" s="21">
        <v>0.14099999999999999</v>
      </c>
      <c r="F205" s="14">
        <v>5912.8</v>
      </c>
      <c r="G205" s="13">
        <v>1385.6100000000063</v>
      </c>
      <c r="H205" s="15">
        <v>122</v>
      </c>
      <c r="I205" s="13">
        <v>2</v>
      </c>
      <c r="J205" s="16">
        <v>635</v>
      </c>
      <c r="K205" s="15">
        <v>1692</v>
      </c>
      <c r="L205" s="14">
        <v>1274</v>
      </c>
      <c r="M205" s="13">
        <v>870</v>
      </c>
    </row>
    <row r="206" spans="1:13" outlineLevel="1" x14ac:dyDescent="0.2">
      <c r="A206" s="20">
        <f>A164</f>
        <v>3644</v>
      </c>
      <c r="B206" s="19" t="str">
        <f>B164</f>
        <v>TTU</v>
      </c>
      <c r="C206" s="18"/>
      <c r="D206" s="15">
        <v>4605</v>
      </c>
      <c r="E206" s="21">
        <v>0.7320000000000001</v>
      </c>
      <c r="F206" s="14">
        <v>22527.466666666667</v>
      </c>
      <c r="G206" s="13">
        <v>9815.7899999997753</v>
      </c>
      <c r="H206" s="15">
        <v>687</v>
      </c>
      <c r="I206" s="13">
        <v>62</v>
      </c>
      <c r="J206" s="16">
        <v>2724</v>
      </c>
      <c r="K206" s="15">
        <v>6577</v>
      </c>
      <c r="L206" s="14">
        <v>5355</v>
      </c>
      <c r="M206" s="13">
        <v>3957</v>
      </c>
    </row>
    <row r="207" spans="1:13" outlineLevel="1" x14ac:dyDescent="0.2">
      <c r="A207" s="20">
        <f>A165</f>
        <v>3541</v>
      </c>
      <c r="B207" s="19" t="str">
        <f>B165</f>
        <v>Angelo</v>
      </c>
      <c r="C207" s="18"/>
      <c r="D207" s="15">
        <v>960</v>
      </c>
      <c r="E207" s="21">
        <v>0.441</v>
      </c>
      <c r="F207" s="14">
        <v>4895.666666666667</v>
      </c>
      <c r="G207" s="13">
        <v>1856.9499999999953</v>
      </c>
      <c r="H207" s="15">
        <v>242</v>
      </c>
      <c r="I207" s="13">
        <v>21</v>
      </c>
      <c r="J207" s="16">
        <v>720</v>
      </c>
      <c r="K207" s="15">
        <v>1444</v>
      </c>
      <c r="L207" s="14">
        <v>1071</v>
      </c>
      <c r="M207" s="13">
        <v>708</v>
      </c>
    </row>
    <row r="208" spans="1:13" outlineLevel="1" x14ac:dyDescent="0.2">
      <c r="A208" s="20">
        <f>A166</f>
        <v>3646</v>
      </c>
      <c r="B208" s="19" t="str">
        <f>B166</f>
        <v>TWU</v>
      </c>
      <c r="C208" s="18"/>
      <c r="D208" s="15">
        <v>1725</v>
      </c>
      <c r="E208" s="21">
        <v>0.48399999999999999</v>
      </c>
      <c r="F208" s="14">
        <v>6598.2</v>
      </c>
      <c r="G208" s="13">
        <v>3227.0100000000139</v>
      </c>
      <c r="H208" s="15">
        <v>523</v>
      </c>
      <c r="I208" s="13">
        <v>34</v>
      </c>
      <c r="J208" s="16">
        <v>1201</v>
      </c>
      <c r="K208" s="15">
        <v>2121</v>
      </c>
      <c r="L208" s="14">
        <v>1259</v>
      </c>
      <c r="M208" s="13">
        <v>608</v>
      </c>
    </row>
    <row r="209" spans="1:15" outlineLevel="1" x14ac:dyDescent="0.2">
      <c r="A209" s="20">
        <f>A167</f>
        <v>3581</v>
      </c>
      <c r="B209" s="19" t="str">
        <f>B167</f>
        <v>Lamar</v>
      </c>
      <c r="C209" s="18"/>
      <c r="D209" s="15">
        <v>1340</v>
      </c>
      <c r="E209" s="21">
        <v>0.35399999999999998</v>
      </c>
      <c r="F209" s="14">
        <v>7247.8</v>
      </c>
      <c r="G209" s="13">
        <v>2695.0800000000122</v>
      </c>
      <c r="H209" s="15">
        <v>358</v>
      </c>
      <c r="I209" s="13">
        <v>16</v>
      </c>
      <c r="J209" s="16">
        <v>943</v>
      </c>
      <c r="K209" s="15">
        <v>2317</v>
      </c>
      <c r="L209" s="14">
        <v>1577</v>
      </c>
      <c r="M209" s="13">
        <v>1000</v>
      </c>
    </row>
    <row r="210" spans="1:15" outlineLevel="1" x14ac:dyDescent="0.2">
      <c r="A210" s="20">
        <f>A168</f>
        <v>3606</v>
      </c>
      <c r="B210" s="19" t="str">
        <f>B168</f>
        <v>SHSU</v>
      </c>
      <c r="C210" s="18"/>
      <c r="D210" s="15">
        <v>3013</v>
      </c>
      <c r="E210" s="21">
        <v>0.60299999999999998</v>
      </c>
      <c r="F210" s="14">
        <v>12631.666666666666</v>
      </c>
      <c r="G210" s="13">
        <v>5628.5800000000427</v>
      </c>
      <c r="H210" s="15">
        <v>166</v>
      </c>
      <c r="I210" s="13">
        <v>63</v>
      </c>
      <c r="J210" s="16">
        <v>2160</v>
      </c>
      <c r="K210" s="15">
        <v>3940</v>
      </c>
      <c r="L210" s="14">
        <v>2970</v>
      </c>
      <c r="M210" s="13">
        <v>1716</v>
      </c>
    </row>
    <row r="211" spans="1:15" outlineLevel="1" x14ac:dyDescent="0.2">
      <c r="A211" s="20">
        <f>A169</f>
        <v>3615</v>
      </c>
      <c r="B211" s="19" t="str">
        <f>B169</f>
        <v>TxStSM</v>
      </c>
      <c r="C211" s="18"/>
      <c r="D211" s="15">
        <v>5349</v>
      </c>
      <c r="E211" s="21">
        <v>0.6409999999999999</v>
      </c>
      <c r="F211" s="14">
        <v>22917.933333333334</v>
      </c>
      <c r="G211" s="13">
        <v>10250.389999999717</v>
      </c>
      <c r="H211" s="15">
        <v>445</v>
      </c>
      <c r="I211" s="13">
        <v>65</v>
      </c>
      <c r="J211" s="16">
        <v>3665</v>
      </c>
      <c r="K211" s="15">
        <v>7685</v>
      </c>
      <c r="L211" s="14">
        <v>5748</v>
      </c>
      <c r="M211" s="13">
        <v>3317</v>
      </c>
    </row>
    <row r="212" spans="1:15" outlineLevel="1" x14ac:dyDescent="0.2">
      <c r="A212" s="20">
        <f>A170</f>
        <v>3625</v>
      </c>
      <c r="B212" s="19" t="str">
        <f>B170</f>
        <v>SRSU</v>
      </c>
      <c r="C212" s="18"/>
      <c r="D212" s="15">
        <v>196</v>
      </c>
      <c r="E212" s="21">
        <v>0.29199999999999998</v>
      </c>
      <c r="F212" s="14">
        <v>1200.1333333333334</v>
      </c>
      <c r="G212" s="13">
        <v>405.49999999999949</v>
      </c>
      <c r="H212" s="15">
        <v>18</v>
      </c>
      <c r="I212" s="13">
        <v>4</v>
      </c>
      <c r="J212" s="16">
        <v>166</v>
      </c>
      <c r="K212" s="15">
        <v>298</v>
      </c>
      <c r="L212" s="14">
        <v>217</v>
      </c>
      <c r="M212" s="13">
        <v>136</v>
      </c>
    </row>
    <row r="213" spans="1:15" outlineLevel="1" x14ac:dyDescent="0.2">
      <c r="A213" s="20">
        <f>A171</f>
        <v>20</v>
      </c>
      <c r="B213" s="19" t="str">
        <f>B171</f>
        <v>SRRG</v>
      </c>
      <c r="C213" s="18"/>
      <c r="D213" s="15">
        <v>163</v>
      </c>
      <c r="E213" s="17">
        <v>0.33750000000000002</v>
      </c>
      <c r="F213" s="14">
        <v>472.13333333333333</v>
      </c>
      <c r="G213" s="13">
        <v>281.52999999999975</v>
      </c>
      <c r="H213" s="15">
        <v>5</v>
      </c>
      <c r="I213" s="13">
        <v>7</v>
      </c>
      <c r="J213" s="16">
        <v>145</v>
      </c>
      <c r="K213" s="15">
        <v>224</v>
      </c>
      <c r="L213" s="14">
        <v>97</v>
      </c>
      <c r="M213" s="13">
        <v>2</v>
      </c>
    </row>
    <row r="214" spans="1:15" ht="13.5" outlineLevel="1" thickBot="1" x14ac:dyDescent="0.25">
      <c r="A214" s="12"/>
      <c r="B214" s="11" t="s">
        <v>11</v>
      </c>
      <c r="C214" s="10"/>
      <c r="D214" s="9">
        <f>SUM(D176:D213)</f>
        <v>84231</v>
      </c>
      <c r="E214" s="8">
        <v>0.58399999999999996</v>
      </c>
      <c r="F214" s="7">
        <f>SUM(F176:F213)</f>
        <v>351171.46666666673</v>
      </c>
      <c r="G214" s="3">
        <f>SUM(G176:G213)</f>
        <v>170914.74000000223</v>
      </c>
      <c r="H214" s="5">
        <f>SUM(H176:H213)</f>
        <v>13857</v>
      </c>
      <c r="I214" s="3">
        <f>SUM(I176:I213)</f>
        <v>1204</v>
      </c>
      <c r="J214" s="6">
        <f>SUM(J176:J213)</f>
        <v>54385</v>
      </c>
      <c r="K214" s="5">
        <f>SUM(K176:K213)</f>
        <v>116139</v>
      </c>
      <c r="L214" s="4">
        <f>SUM(L176:L213)</f>
        <v>84006</v>
      </c>
      <c r="M214" s="3">
        <f>SUM(M176:M213)</f>
        <v>51310</v>
      </c>
    </row>
    <row r="215" spans="1:15" ht="13.5" thickBot="1" x14ac:dyDescent="0.25">
      <c r="A215" s="65" t="s">
        <v>25</v>
      </c>
      <c r="B215" s="65"/>
      <c r="C215" s="65"/>
      <c r="D215" s="65"/>
      <c r="F215" s="65"/>
      <c r="J215" s="65"/>
    </row>
    <row r="216" spans="1:15" ht="12.75" customHeight="1" outlineLevel="1" x14ac:dyDescent="0.2">
      <c r="A216" s="64" t="s">
        <v>24</v>
      </c>
      <c r="B216" s="60" t="s">
        <v>23</v>
      </c>
      <c r="C216" s="63"/>
      <c r="D216" s="62" t="s">
        <v>22</v>
      </c>
      <c r="E216" s="61" t="s">
        <v>21</v>
      </c>
      <c r="F216" s="60" t="s">
        <v>20</v>
      </c>
      <c r="G216" s="59" t="s">
        <v>19</v>
      </c>
      <c r="H216" s="58" t="s">
        <v>18</v>
      </c>
      <c r="I216" s="57" t="s">
        <v>17</v>
      </c>
      <c r="J216" s="56" t="s">
        <v>16</v>
      </c>
      <c r="K216" s="55" t="s">
        <v>15</v>
      </c>
      <c r="L216" s="54"/>
      <c r="M216" s="54"/>
    </row>
    <row r="217" spans="1:15" s="41" customFormat="1" ht="39.75" customHeight="1" outlineLevel="1" thickBot="1" x14ac:dyDescent="0.25">
      <c r="A217" s="53"/>
      <c r="B217" s="49"/>
      <c r="C217" s="52"/>
      <c r="D217" s="51"/>
      <c r="E217" s="50"/>
      <c r="F217" s="49"/>
      <c r="G217" s="48"/>
      <c r="H217" s="47"/>
      <c r="I217" s="46"/>
      <c r="J217" s="45"/>
      <c r="K217" s="44" t="s">
        <v>14</v>
      </c>
      <c r="L217" s="43" t="s">
        <v>13</v>
      </c>
      <c r="M217" s="42" t="s">
        <v>12</v>
      </c>
    </row>
    <row r="218" spans="1:15" outlineLevel="1" x14ac:dyDescent="0.2">
      <c r="A218" s="40">
        <f>A176</f>
        <v>3656</v>
      </c>
      <c r="B218" s="39" t="str">
        <f>B176</f>
        <v>UTA</v>
      </c>
      <c r="C218" s="38"/>
      <c r="D218" s="33">
        <v>4178</v>
      </c>
      <c r="E218" s="37">
        <v>0.50700000000000001</v>
      </c>
      <c r="F218" s="32">
        <v>15698.133333333333</v>
      </c>
      <c r="G218" s="31">
        <v>8640.2399999998797</v>
      </c>
      <c r="H218" s="36">
        <v>834</v>
      </c>
      <c r="I218" s="35">
        <v>36</v>
      </c>
      <c r="J218" s="34">
        <v>2662</v>
      </c>
      <c r="K218" s="33">
        <v>6630</v>
      </c>
      <c r="L218" s="32">
        <v>3636</v>
      </c>
      <c r="M218" s="31">
        <v>1724</v>
      </c>
    </row>
    <row r="219" spans="1:15" outlineLevel="1" x14ac:dyDescent="0.2">
      <c r="A219" s="20">
        <f>A177</f>
        <v>3658</v>
      </c>
      <c r="B219" s="19" t="str">
        <f>B177</f>
        <v>UT</v>
      </c>
      <c r="C219" s="18"/>
      <c r="D219" s="15">
        <v>8952</v>
      </c>
      <c r="E219" s="21">
        <v>0.82899999999999996</v>
      </c>
      <c r="F219" s="14">
        <v>33736.73333333333</v>
      </c>
      <c r="G219" s="13">
        <v>19230.319999999745</v>
      </c>
      <c r="H219" s="15">
        <v>1754</v>
      </c>
      <c r="I219" s="13">
        <v>55</v>
      </c>
      <c r="J219" s="16">
        <v>3435</v>
      </c>
      <c r="K219" s="15">
        <v>9596</v>
      </c>
      <c r="L219" s="14">
        <v>9749</v>
      </c>
      <c r="M219" s="13">
        <v>7288</v>
      </c>
      <c r="O219" s="2"/>
    </row>
    <row r="220" spans="1:15" outlineLevel="1" x14ac:dyDescent="0.2">
      <c r="A220" s="20">
        <f>A178</f>
        <v>9741</v>
      </c>
      <c r="B220" s="19" t="str">
        <f>B178</f>
        <v>UTD</v>
      </c>
      <c r="C220" s="18"/>
      <c r="D220" s="15">
        <v>2355</v>
      </c>
      <c r="E220" s="21">
        <v>0.70699999999999996</v>
      </c>
      <c r="F220" s="14">
        <v>8108.8666666666668</v>
      </c>
      <c r="G220" s="13">
        <v>4955.5700000000443</v>
      </c>
      <c r="H220" s="15">
        <v>392</v>
      </c>
      <c r="I220" s="13">
        <v>36</v>
      </c>
      <c r="J220" s="16">
        <v>1255</v>
      </c>
      <c r="K220" s="15">
        <v>3078</v>
      </c>
      <c r="L220" s="14">
        <v>1950</v>
      </c>
      <c r="M220" s="13">
        <v>923</v>
      </c>
      <c r="O220" s="2"/>
    </row>
    <row r="221" spans="1:15" outlineLevel="1" x14ac:dyDescent="0.2">
      <c r="A221" s="20">
        <f>A179</f>
        <v>3661</v>
      </c>
      <c r="B221" s="19" t="str">
        <f>B179</f>
        <v>UTEP</v>
      </c>
      <c r="C221" s="18"/>
      <c r="D221" s="15">
        <v>3031</v>
      </c>
      <c r="E221" s="21">
        <v>0.374</v>
      </c>
      <c r="F221" s="14">
        <v>12791.933333333332</v>
      </c>
      <c r="G221" s="13">
        <v>6295.4500000000389</v>
      </c>
      <c r="H221" s="15">
        <v>709</v>
      </c>
      <c r="I221" s="13">
        <v>93</v>
      </c>
      <c r="J221" s="16">
        <v>2394</v>
      </c>
      <c r="K221" s="15">
        <v>4200</v>
      </c>
      <c r="L221" s="14">
        <v>3366</v>
      </c>
      <c r="M221" s="13">
        <v>1972</v>
      </c>
      <c r="O221" s="2"/>
    </row>
    <row r="222" spans="1:15" outlineLevel="1" x14ac:dyDescent="0.2">
      <c r="A222" s="20">
        <f>A180</f>
        <v>3599</v>
      </c>
      <c r="B222" s="19" t="str">
        <f>B180</f>
        <v>UTPA</v>
      </c>
      <c r="C222" s="18"/>
      <c r="D222" s="15">
        <v>2620</v>
      </c>
      <c r="E222" s="21">
        <v>0.38900000000000001</v>
      </c>
      <c r="F222" s="14">
        <v>12572.333333333334</v>
      </c>
      <c r="G222" s="13">
        <v>5170.8900000000631</v>
      </c>
      <c r="H222" s="15">
        <v>480</v>
      </c>
      <c r="I222" s="13">
        <v>31</v>
      </c>
      <c r="J222" s="16">
        <v>2341</v>
      </c>
      <c r="K222" s="15">
        <v>4354</v>
      </c>
      <c r="L222" s="14">
        <v>3136</v>
      </c>
      <c r="M222" s="13">
        <v>1924</v>
      </c>
      <c r="O222" s="2"/>
    </row>
    <row r="223" spans="1:15" outlineLevel="1" x14ac:dyDescent="0.2">
      <c r="A223" s="20">
        <f>A181</f>
        <v>30646</v>
      </c>
      <c r="B223" s="19" t="str">
        <f>B181</f>
        <v>UTB</v>
      </c>
      <c r="C223" s="18"/>
      <c r="D223" s="15">
        <v>1052</v>
      </c>
      <c r="E223" s="17">
        <v>0.64666666666666661</v>
      </c>
      <c r="F223" s="14">
        <v>2989.6</v>
      </c>
      <c r="G223" s="13">
        <v>2005.0100000000309</v>
      </c>
      <c r="H223" s="15">
        <v>108</v>
      </c>
      <c r="I223" s="13">
        <v>19</v>
      </c>
      <c r="J223" s="16">
        <v>916</v>
      </c>
      <c r="K223" s="15">
        <v>1377</v>
      </c>
      <c r="L223" s="14">
        <v>583</v>
      </c>
      <c r="M223" s="13">
        <v>72</v>
      </c>
      <c r="O223" s="2"/>
    </row>
    <row r="224" spans="1:15" outlineLevel="1" x14ac:dyDescent="0.2">
      <c r="A224" s="20">
        <f>A182</f>
        <v>9930</v>
      </c>
      <c r="B224" s="19" t="str">
        <f>B182</f>
        <v>UTPB</v>
      </c>
      <c r="C224" s="18"/>
      <c r="D224" s="15">
        <v>513</v>
      </c>
      <c r="E224" s="21">
        <v>0.44600000000000001</v>
      </c>
      <c r="F224" s="14">
        <v>2159.6</v>
      </c>
      <c r="G224" s="13">
        <v>944.74000000001092</v>
      </c>
      <c r="H224" s="15">
        <v>33</v>
      </c>
      <c r="I224" s="13">
        <v>13</v>
      </c>
      <c r="J224" s="16">
        <v>379</v>
      </c>
      <c r="K224" s="15">
        <v>707</v>
      </c>
      <c r="L224" s="14">
        <v>450</v>
      </c>
      <c r="M224" s="13">
        <v>182</v>
      </c>
      <c r="O224" s="2"/>
    </row>
    <row r="225" spans="1:15" outlineLevel="1" x14ac:dyDescent="0.2">
      <c r="A225" s="20">
        <f>A183</f>
        <v>10115</v>
      </c>
      <c r="B225" s="19" t="str">
        <f>B183</f>
        <v>UTSA</v>
      </c>
      <c r="C225" s="18"/>
      <c r="D225" s="15">
        <v>3968</v>
      </c>
      <c r="E225" s="21">
        <v>0.44</v>
      </c>
      <c r="F225" s="14">
        <v>19707.533333333333</v>
      </c>
      <c r="G225" s="13">
        <v>8107.0899999997582</v>
      </c>
      <c r="H225" s="15">
        <v>375</v>
      </c>
      <c r="I225" s="13">
        <v>39</v>
      </c>
      <c r="J225" s="16">
        <v>2956</v>
      </c>
      <c r="K225" s="15">
        <v>6812</v>
      </c>
      <c r="L225" s="14">
        <v>4615</v>
      </c>
      <c r="M225" s="13">
        <v>2588</v>
      </c>
      <c r="O225" s="2"/>
    </row>
    <row r="226" spans="1:15" outlineLevel="1" x14ac:dyDescent="0.2">
      <c r="A226" s="20">
        <f>A184</f>
        <v>11163</v>
      </c>
      <c r="B226" s="19" t="str">
        <f>B184</f>
        <v>UTT</v>
      </c>
      <c r="C226" s="18"/>
      <c r="D226" s="15">
        <v>1238</v>
      </c>
      <c r="E226" s="21">
        <v>0.496</v>
      </c>
      <c r="F226" s="14">
        <v>4085.2666666666669</v>
      </c>
      <c r="G226" s="13">
        <v>2459.1300000000315</v>
      </c>
      <c r="H226" s="15">
        <v>372</v>
      </c>
      <c r="I226" s="13">
        <v>10</v>
      </c>
      <c r="J226" s="16">
        <v>1002</v>
      </c>
      <c r="K226" s="15">
        <v>1404</v>
      </c>
      <c r="L226" s="14">
        <v>921</v>
      </c>
      <c r="M226" s="13">
        <v>378</v>
      </c>
      <c r="O226" s="2"/>
    </row>
    <row r="227" spans="1:15" outlineLevel="1" x14ac:dyDescent="0.2">
      <c r="A227" s="20">
        <f>A185</f>
        <v>3632</v>
      </c>
      <c r="B227" s="19" t="str">
        <f>B185</f>
        <v>TAMU</v>
      </c>
      <c r="C227" s="18"/>
      <c r="D227" s="15">
        <v>8451</v>
      </c>
      <c r="E227" s="21">
        <v>0.83599999999999997</v>
      </c>
      <c r="F227" s="14">
        <v>34329.199999999997</v>
      </c>
      <c r="G227" s="13">
        <v>19146.209999999159</v>
      </c>
      <c r="H227" s="15">
        <v>1580</v>
      </c>
      <c r="I227" s="13">
        <v>108</v>
      </c>
      <c r="J227" s="16">
        <v>3530</v>
      </c>
      <c r="K227" s="15">
        <v>10012</v>
      </c>
      <c r="L227" s="14">
        <v>8836</v>
      </c>
      <c r="M227" s="13">
        <v>6932</v>
      </c>
      <c r="O227" s="2"/>
    </row>
    <row r="228" spans="1:15" outlineLevel="1" x14ac:dyDescent="0.2">
      <c r="A228" s="20">
        <f>A186</f>
        <v>10298</v>
      </c>
      <c r="B228" s="19" t="str">
        <f>B186</f>
        <v>TAMUG</v>
      </c>
      <c r="C228" s="18"/>
      <c r="D228" s="15">
        <v>262</v>
      </c>
      <c r="E228" s="21">
        <v>0.59199999999999997</v>
      </c>
      <c r="F228" s="14">
        <v>1599.2</v>
      </c>
      <c r="G228" s="13">
        <v>636.84000000000231</v>
      </c>
      <c r="H228" s="15">
        <v>31</v>
      </c>
      <c r="I228" s="13">
        <v>0</v>
      </c>
      <c r="J228" s="16">
        <v>137</v>
      </c>
      <c r="K228" s="15">
        <v>570</v>
      </c>
      <c r="L228" s="14">
        <v>322</v>
      </c>
      <c r="M228" s="13">
        <v>241</v>
      </c>
      <c r="O228" s="2"/>
    </row>
    <row r="229" spans="1:15" outlineLevel="1" x14ac:dyDescent="0.2">
      <c r="A229" s="20">
        <f>A187</f>
        <v>3630</v>
      </c>
      <c r="B229" s="19" t="str">
        <f>B187</f>
        <v>Prairie View</v>
      </c>
      <c r="C229" s="18"/>
      <c r="D229" s="15">
        <v>879</v>
      </c>
      <c r="E229" s="21">
        <v>0.34200000000000003</v>
      </c>
      <c r="F229" s="14">
        <v>5840.8</v>
      </c>
      <c r="G229" s="13">
        <v>1995.4900000000189</v>
      </c>
      <c r="H229" s="15">
        <v>295</v>
      </c>
      <c r="I229" s="13">
        <v>8</v>
      </c>
      <c r="J229" s="16">
        <v>756</v>
      </c>
      <c r="K229" s="15">
        <v>1643</v>
      </c>
      <c r="L229" s="14">
        <v>1174</v>
      </c>
      <c r="M229" s="13">
        <v>940</v>
      </c>
      <c r="O229" s="2"/>
    </row>
    <row r="230" spans="1:15" outlineLevel="1" x14ac:dyDescent="0.2">
      <c r="A230" s="20">
        <f>A188</f>
        <v>3631</v>
      </c>
      <c r="B230" s="19" t="str">
        <f>B188</f>
        <v>Tarleton</v>
      </c>
      <c r="C230" s="18"/>
      <c r="D230" s="15">
        <v>1422</v>
      </c>
      <c r="E230" s="21">
        <v>0.47499999999999998</v>
      </c>
      <c r="F230" s="14">
        <v>5845.5333333333338</v>
      </c>
      <c r="G230" s="13">
        <v>2966.430000000048</v>
      </c>
      <c r="H230" s="15">
        <v>183</v>
      </c>
      <c r="I230" s="13">
        <v>38</v>
      </c>
      <c r="J230" s="16">
        <v>1093</v>
      </c>
      <c r="K230" s="15">
        <v>2140</v>
      </c>
      <c r="L230" s="14">
        <v>1306</v>
      </c>
      <c r="M230" s="13">
        <v>903</v>
      </c>
      <c r="O230" s="2"/>
    </row>
    <row r="231" spans="1:15" outlineLevel="1" x14ac:dyDescent="0.2">
      <c r="A231" s="27">
        <f>A189</f>
        <v>103631</v>
      </c>
      <c r="B231" s="19" t="str">
        <f>B189</f>
        <v>TAMUCT</v>
      </c>
      <c r="C231" s="18"/>
      <c r="D231" s="15">
        <v>450</v>
      </c>
      <c r="E231" s="21">
        <v>0.47499999999999998</v>
      </c>
      <c r="F231" s="14">
        <v>658.4666666666667</v>
      </c>
      <c r="G231" s="13">
        <v>831.96000000000549</v>
      </c>
      <c r="H231" s="15">
        <v>44</v>
      </c>
      <c r="I231" s="13"/>
      <c r="J231" s="16">
        <v>322</v>
      </c>
      <c r="K231" s="15">
        <v>380</v>
      </c>
      <c r="L231" s="14">
        <v>137</v>
      </c>
      <c r="M231" s="13">
        <v>31</v>
      </c>
      <c r="O231" s="2"/>
    </row>
    <row r="232" spans="1:15" outlineLevel="1" x14ac:dyDescent="0.2">
      <c r="A232" s="20">
        <f>A190</f>
        <v>11161</v>
      </c>
      <c r="B232" s="19" t="str">
        <f>B190</f>
        <v>TAMUCC</v>
      </c>
      <c r="C232" s="18"/>
      <c r="D232" s="15">
        <v>1335</v>
      </c>
      <c r="E232" s="21">
        <v>0.503</v>
      </c>
      <c r="F232" s="14">
        <v>6131.9333333333334</v>
      </c>
      <c r="G232" s="13">
        <v>2744.5700000000347</v>
      </c>
      <c r="H232" s="15">
        <v>237</v>
      </c>
      <c r="I232" s="13">
        <v>29</v>
      </c>
      <c r="J232" s="16">
        <v>1024</v>
      </c>
      <c r="K232" s="15">
        <v>2079</v>
      </c>
      <c r="L232" s="14">
        <v>1357</v>
      </c>
      <c r="M232" s="13">
        <v>812</v>
      </c>
      <c r="O232" s="2"/>
    </row>
    <row r="233" spans="1:15" outlineLevel="1" x14ac:dyDescent="0.2">
      <c r="A233" s="20">
        <f>A191</f>
        <v>3639</v>
      </c>
      <c r="B233" s="19" t="str">
        <f>B191</f>
        <v>TAMUK</v>
      </c>
      <c r="C233" s="18"/>
      <c r="D233" s="15">
        <v>692</v>
      </c>
      <c r="E233" s="21">
        <v>0.41699999999999998</v>
      </c>
      <c r="F233" s="14">
        <v>3808.2666666666669</v>
      </c>
      <c r="G233" s="13">
        <v>1601.8800000000022</v>
      </c>
      <c r="H233" s="15">
        <v>236</v>
      </c>
      <c r="I233" s="13">
        <v>15</v>
      </c>
      <c r="J233" s="16">
        <v>590</v>
      </c>
      <c r="K233" s="15">
        <v>1159</v>
      </c>
      <c r="L233" s="14">
        <v>790</v>
      </c>
      <c r="M233" s="13">
        <v>550</v>
      </c>
      <c r="O233" s="2"/>
    </row>
    <row r="234" spans="1:15" outlineLevel="1" x14ac:dyDescent="0.2">
      <c r="A234" s="27">
        <f>A192</f>
        <v>103639</v>
      </c>
      <c r="B234" s="19" t="str">
        <f>B192</f>
        <v>TAMUSA</v>
      </c>
      <c r="C234" s="18"/>
      <c r="D234" s="15">
        <v>496</v>
      </c>
      <c r="E234" s="21">
        <v>0.41699999999999998</v>
      </c>
      <c r="F234" s="14">
        <v>1072.6666666666667</v>
      </c>
      <c r="G234" s="13">
        <v>844.50000000000807</v>
      </c>
      <c r="H234" s="15">
        <v>4</v>
      </c>
      <c r="I234" s="13"/>
      <c r="J234" s="16">
        <v>402</v>
      </c>
      <c r="K234" s="15">
        <v>307</v>
      </c>
      <c r="L234" s="14">
        <v>5</v>
      </c>
      <c r="M234" s="13">
        <v>5</v>
      </c>
      <c r="O234" s="2"/>
    </row>
    <row r="235" spans="1:15" outlineLevel="1" x14ac:dyDescent="0.2">
      <c r="A235" s="20">
        <f>A193</f>
        <v>9651</v>
      </c>
      <c r="B235" s="19" t="str">
        <f>B193</f>
        <v>TAMI</v>
      </c>
      <c r="C235" s="18"/>
      <c r="D235" s="15">
        <v>798</v>
      </c>
      <c r="E235" s="21">
        <v>0.46</v>
      </c>
      <c r="F235" s="14">
        <v>3819.0666666666666</v>
      </c>
      <c r="G235" s="13">
        <v>1476.3000000000168</v>
      </c>
      <c r="H235" s="15">
        <v>85</v>
      </c>
      <c r="I235" s="13">
        <v>26</v>
      </c>
      <c r="J235" s="16">
        <v>713</v>
      </c>
      <c r="K235" s="15">
        <v>1413</v>
      </c>
      <c r="L235" s="14">
        <v>981</v>
      </c>
      <c r="M235" s="13">
        <v>447</v>
      </c>
      <c r="O235" s="2"/>
    </row>
    <row r="236" spans="1:15" outlineLevel="1" x14ac:dyDescent="0.2">
      <c r="A236" s="20">
        <f>A194</f>
        <v>3665</v>
      </c>
      <c r="B236" s="19" t="str">
        <f>B194</f>
        <v>WTAMU</v>
      </c>
      <c r="C236" s="18"/>
      <c r="D236" s="15">
        <v>1220</v>
      </c>
      <c r="E236" s="21">
        <v>0.45600000000000002</v>
      </c>
      <c r="F236" s="14">
        <v>5264.8</v>
      </c>
      <c r="G236" s="13">
        <v>2415.9700000000216</v>
      </c>
      <c r="H236" s="15">
        <v>216</v>
      </c>
      <c r="I236" s="13">
        <v>64</v>
      </c>
      <c r="J236" s="16">
        <v>853</v>
      </c>
      <c r="K236" s="15">
        <v>1873</v>
      </c>
      <c r="L236" s="14">
        <v>1161</v>
      </c>
      <c r="M236" s="13">
        <v>631</v>
      </c>
      <c r="O236" s="2"/>
    </row>
    <row r="237" spans="1:15" outlineLevel="1" x14ac:dyDescent="0.2">
      <c r="A237" s="20">
        <f>A195</f>
        <v>3565</v>
      </c>
      <c r="B237" s="19" t="str">
        <f>B195</f>
        <v>TAMUC</v>
      </c>
      <c r="C237" s="18"/>
      <c r="D237" s="15">
        <v>1153</v>
      </c>
      <c r="E237" s="21">
        <v>0.44800000000000001</v>
      </c>
      <c r="F237" s="14">
        <v>4172.1333333333332</v>
      </c>
      <c r="G237" s="13">
        <v>2179.8400000000324</v>
      </c>
      <c r="H237" s="15">
        <v>59</v>
      </c>
      <c r="I237" s="13">
        <v>65</v>
      </c>
      <c r="J237" s="16">
        <v>884</v>
      </c>
      <c r="K237" s="15">
        <v>1712</v>
      </c>
      <c r="L237" s="14">
        <v>1038</v>
      </c>
      <c r="M237" s="13">
        <v>423</v>
      </c>
      <c r="O237" s="2"/>
    </row>
    <row r="238" spans="1:15" outlineLevel="1" x14ac:dyDescent="0.2">
      <c r="A238" s="20">
        <f>A196</f>
        <v>29269</v>
      </c>
      <c r="B238" s="19" t="str">
        <f>B196</f>
        <v>TAMUT</v>
      </c>
      <c r="C238" s="18"/>
      <c r="D238" s="15">
        <v>326</v>
      </c>
      <c r="E238" s="17">
        <v>0.57336956521739135</v>
      </c>
      <c r="F238" s="14">
        <v>694.6</v>
      </c>
      <c r="G238" s="13">
        <v>569.46</v>
      </c>
      <c r="H238" s="15">
        <v>30</v>
      </c>
      <c r="I238" s="13">
        <v>15</v>
      </c>
      <c r="J238" s="16">
        <v>210</v>
      </c>
      <c r="K238" s="15">
        <v>403</v>
      </c>
      <c r="L238" s="14">
        <v>138</v>
      </c>
      <c r="M238" s="13">
        <v>0</v>
      </c>
      <c r="O238" s="2"/>
    </row>
    <row r="239" spans="1:15" outlineLevel="1" x14ac:dyDescent="0.2">
      <c r="A239" s="20">
        <f>A197</f>
        <v>3652</v>
      </c>
      <c r="B239" s="19" t="str">
        <f>B197</f>
        <v>UH</v>
      </c>
      <c r="C239" s="18"/>
      <c r="D239" s="15">
        <v>4778</v>
      </c>
      <c r="E239" s="21">
        <v>0.53100000000000003</v>
      </c>
      <c r="F239" s="14">
        <v>22778.733333333334</v>
      </c>
      <c r="G239" s="13">
        <v>9792.4499999989821</v>
      </c>
      <c r="H239" s="15">
        <v>656</v>
      </c>
      <c r="I239" s="13">
        <v>54</v>
      </c>
      <c r="J239" s="16">
        <v>3091</v>
      </c>
      <c r="K239" s="15">
        <v>7517</v>
      </c>
      <c r="L239" s="14">
        <v>5600</v>
      </c>
      <c r="M239" s="13">
        <v>3376</v>
      </c>
      <c r="O239" s="2"/>
    </row>
    <row r="240" spans="1:15" outlineLevel="1" x14ac:dyDescent="0.2">
      <c r="A240" s="20">
        <f>A198</f>
        <v>11711</v>
      </c>
      <c r="B240" s="19" t="str">
        <f>B198</f>
        <v>UHCL</v>
      </c>
      <c r="C240" s="18"/>
      <c r="D240" s="15">
        <v>1124</v>
      </c>
      <c r="E240" s="17">
        <v>0.50557620817843862</v>
      </c>
      <c r="F240" s="14">
        <v>2872.8666666666668</v>
      </c>
      <c r="G240" s="13">
        <v>2131.2100000000323</v>
      </c>
      <c r="H240" s="15">
        <v>88</v>
      </c>
      <c r="I240" s="13">
        <v>8</v>
      </c>
      <c r="J240" s="16">
        <v>707</v>
      </c>
      <c r="K240" s="15">
        <v>1349</v>
      </c>
      <c r="L240" s="14">
        <v>888</v>
      </c>
      <c r="M240" s="13">
        <v>81</v>
      </c>
      <c r="O240" s="2"/>
    </row>
    <row r="241" spans="1:15" outlineLevel="1" x14ac:dyDescent="0.2">
      <c r="A241" s="20">
        <f>A199</f>
        <v>12826</v>
      </c>
      <c r="B241" s="19" t="str">
        <f>B199</f>
        <v>UHD</v>
      </c>
      <c r="C241" s="18"/>
      <c r="D241" s="15">
        <v>2359</v>
      </c>
      <c r="E241" s="21">
        <v>0.18099999999999999</v>
      </c>
      <c r="F241" s="14">
        <v>7963.6</v>
      </c>
      <c r="G241" s="13">
        <v>4153.3100000000841</v>
      </c>
      <c r="H241" s="15">
        <v>112</v>
      </c>
      <c r="I241" s="13">
        <v>2</v>
      </c>
      <c r="J241" s="16">
        <v>1619</v>
      </c>
      <c r="K241" s="15">
        <v>3082</v>
      </c>
      <c r="L241" s="14">
        <v>1889</v>
      </c>
      <c r="M241" s="13">
        <v>606</v>
      </c>
      <c r="O241" s="2"/>
    </row>
    <row r="242" spans="1:15" outlineLevel="1" x14ac:dyDescent="0.2">
      <c r="A242" s="20">
        <f>A200</f>
        <v>13231</v>
      </c>
      <c r="B242" s="19" t="str">
        <f>B200</f>
        <v>UHV</v>
      </c>
      <c r="C242" s="18"/>
      <c r="D242" s="15">
        <v>515</v>
      </c>
      <c r="E242" s="17">
        <v>0.55256723716381417</v>
      </c>
      <c r="F242" s="14">
        <v>1135.8</v>
      </c>
      <c r="G242" s="13">
        <v>962.15000000001089</v>
      </c>
      <c r="H242" s="15">
        <v>72</v>
      </c>
      <c r="I242" s="13">
        <v>2</v>
      </c>
      <c r="J242" s="16">
        <v>337</v>
      </c>
      <c r="K242" s="15">
        <v>654</v>
      </c>
      <c r="L242" s="14">
        <v>269</v>
      </c>
      <c r="M242" s="13">
        <v>8</v>
      </c>
      <c r="O242" s="2"/>
    </row>
    <row r="243" spans="1:15" outlineLevel="1" x14ac:dyDescent="0.2">
      <c r="A243" s="20">
        <f>A201</f>
        <v>3592</v>
      </c>
      <c r="B243" s="19" t="str">
        <f>B201</f>
        <v>Midwestern</v>
      </c>
      <c r="C243" s="18"/>
      <c r="D243" s="15">
        <v>1002</v>
      </c>
      <c r="E243" s="21">
        <v>0.41199999999999998</v>
      </c>
      <c r="F243" s="14">
        <v>4294.8666666666668</v>
      </c>
      <c r="G243" s="13">
        <v>1899.0200000000148</v>
      </c>
      <c r="H243" s="15">
        <v>302</v>
      </c>
      <c r="I243" s="13">
        <v>19</v>
      </c>
      <c r="J243" s="16">
        <v>673</v>
      </c>
      <c r="K243" s="15">
        <v>1497</v>
      </c>
      <c r="L243" s="14">
        <v>1080</v>
      </c>
      <c r="M243" s="13">
        <v>622</v>
      </c>
      <c r="O243" s="2"/>
    </row>
    <row r="244" spans="1:15" outlineLevel="1" x14ac:dyDescent="0.2">
      <c r="A244" s="20">
        <f>A202</f>
        <v>3594</v>
      </c>
      <c r="B244" s="19" t="str">
        <f>B202</f>
        <v>UNT</v>
      </c>
      <c r="C244" s="18"/>
      <c r="D244" s="15">
        <v>6024</v>
      </c>
      <c r="E244" s="21">
        <v>0.57399999999999995</v>
      </c>
      <c r="F244" s="14">
        <f>22506.0666666667+838</f>
        <v>23344.066666666698</v>
      </c>
      <c r="G244" s="13">
        <v>11164.699999998398</v>
      </c>
      <c r="H244" s="15">
        <v>297</v>
      </c>
      <c r="I244" s="13">
        <v>27</v>
      </c>
      <c r="J244" s="16">
        <v>3747</v>
      </c>
      <c r="K244" s="30">
        <v>8327</v>
      </c>
      <c r="L244" s="29">
        <v>5604</v>
      </c>
      <c r="M244" s="28">
        <v>3585</v>
      </c>
      <c r="O244" s="2"/>
    </row>
    <row r="245" spans="1:15" outlineLevel="1" x14ac:dyDescent="0.2">
      <c r="A245" s="27">
        <f>A203</f>
        <v>113594</v>
      </c>
      <c r="B245" s="19" t="str">
        <f>B203</f>
        <v>UNTD</v>
      </c>
      <c r="C245" s="18"/>
      <c r="D245" s="24"/>
      <c r="E245" s="26"/>
      <c r="F245" s="23"/>
      <c r="G245" s="22"/>
      <c r="H245" s="24"/>
      <c r="I245" s="22"/>
      <c r="J245" s="25"/>
      <c r="K245" s="24"/>
      <c r="L245" s="23"/>
      <c r="M245" s="22"/>
      <c r="O245" s="2"/>
    </row>
    <row r="246" spans="1:15" outlineLevel="1" x14ac:dyDescent="0.2">
      <c r="A246" s="20">
        <f>A204</f>
        <v>3624</v>
      </c>
      <c r="B246" s="19" t="str">
        <f>B204</f>
        <v>SFA</v>
      </c>
      <c r="C246" s="18"/>
      <c r="D246" s="15">
        <v>1874</v>
      </c>
      <c r="E246" s="21">
        <v>0.56999999999999995</v>
      </c>
      <c r="F246" s="14">
        <v>9510.2666666666664</v>
      </c>
      <c r="G246" s="13">
        <v>3625.4100000000203</v>
      </c>
      <c r="H246" s="15">
        <v>230</v>
      </c>
      <c r="I246" s="13">
        <v>43</v>
      </c>
      <c r="J246" s="16">
        <v>1422</v>
      </c>
      <c r="K246" s="15">
        <v>2663</v>
      </c>
      <c r="L246" s="14">
        <v>1934</v>
      </c>
      <c r="M246" s="13">
        <v>1317</v>
      </c>
      <c r="O246" s="2"/>
    </row>
    <row r="247" spans="1:15" outlineLevel="1" x14ac:dyDescent="0.2">
      <c r="A247" s="20">
        <f>A205</f>
        <v>3642</v>
      </c>
      <c r="B247" s="19" t="str">
        <f>B205</f>
        <v>TSU</v>
      </c>
      <c r="C247" s="18"/>
      <c r="D247" s="15">
        <v>817</v>
      </c>
      <c r="E247" s="21">
        <v>0.14899999999999999</v>
      </c>
      <c r="F247" s="14">
        <v>5909.8</v>
      </c>
      <c r="G247" s="13">
        <v>1601.5200000000066</v>
      </c>
      <c r="H247" s="15">
        <v>127</v>
      </c>
      <c r="I247" s="13">
        <v>2</v>
      </c>
      <c r="J247" s="16">
        <v>723</v>
      </c>
      <c r="K247" s="15">
        <v>1871</v>
      </c>
      <c r="L247" s="14">
        <v>1137</v>
      </c>
      <c r="M247" s="13">
        <v>916</v>
      </c>
      <c r="O247" s="2"/>
    </row>
    <row r="248" spans="1:15" outlineLevel="1" x14ac:dyDescent="0.2">
      <c r="A248" s="20">
        <f>A206</f>
        <v>3644</v>
      </c>
      <c r="B248" s="19" t="str">
        <f>B206</f>
        <v>TTU</v>
      </c>
      <c r="C248" s="18"/>
      <c r="D248" s="15">
        <v>4476</v>
      </c>
      <c r="E248" s="21">
        <v>0.72799999999999998</v>
      </c>
      <c r="F248" s="14">
        <v>21422.2</v>
      </c>
      <c r="G248" s="13">
        <v>9827.5299999990111</v>
      </c>
      <c r="H248" s="15">
        <v>656</v>
      </c>
      <c r="I248" s="13">
        <v>43</v>
      </c>
      <c r="J248" s="16">
        <v>2539</v>
      </c>
      <c r="K248" s="15">
        <v>6430</v>
      </c>
      <c r="L248" s="14">
        <v>5148</v>
      </c>
      <c r="M248" s="13">
        <v>3832</v>
      </c>
      <c r="O248" s="2"/>
    </row>
    <row r="249" spans="1:15" outlineLevel="1" x14ac:dyDescent="0.2">
      <c r="A249" s="20">
        <f>A207</f>
        <v>3541</v>
      </c>
      <c r="B249" s="19" t="str">
        <f>B207</f>
        <v>Angelo</v>
      </c>
      <c r="C249" s="18"/>
      <c r="D249" s="15">
        <v>941</v>
      </c>
      <c r="E249" s="21">
        <v>0.44</v>
      </c>
      <c r="F249" s="14">
        <v>4829.1333333333332</v>
      </c>
      <c r="G249" s="13">
        <v>1933.5900000000179</v>
      </c>
      <c r="H249" s="15">
        <v>217</v>
      </c>
      <c r="I249" s="13">
        <v>18</v>
      </c>
      <c r="J249" s="16">
        <v>676</v>
      </c>
      <c r="K249" s="15">
        <v>1474</v>
      </c>
      <c r="L249" s="14">
        <v>1008</v>
      </c>
      <c r="M249" s="13">
        <v>708</v>
      </c>
      <c r="O249" s="2"/>
    </row>
    <row r="250" spans="1:15" outlineLevel="1" x14ac:dyDescent="0.2">
      <c r="A250" s="20">
        <f>A208</f>
        <v>3646</v>
      </c>
      <c r="B250" s="19" t="str">
        <f>B208</f>
        <v>TWU</v>
      </c>
      <c r="C250" s="18"/>
      <c r="D250" s="15">
        <v>1774</v>
      </c>
      <c r="E250" s="21">
        <v>0.54500000000000004</v>
      </c>
      <c r="F250" s="14">
        <v>6071.4666666666662</v>
      </c>
      <c r="G250" s="13">
        <v>3425.2000000000221</v>
      </c>
      <c r="H250" s="15">
        <v>614</v>
      </c>
      <c r="I250" s="13">
        <v>31</v>
      </c>
      <c r="J250" s="16">
        <v>1214</v>
      </c>
      <c r="K250" s="15">
        <v>2042</v>
      </c>
      <c r="L250" s="14">
        <v>1371</v>
      </c>
      <c r="M250" s="13">
        <v>668</v>
      </c>
      <c r="O250" s="2"/>
    </row>
    <row r="251" spans="1:15" outlineLevel="1" x14ac:dyDescent="0.2">
      <c r="A251" s="20">
        <f>A209</f>
        <v>3581</v>
      </c>
      <c r="B251" s="19" t="str">
        <f>B209</f>
        <v>Lamar</v>
      </c>
      <c r="C251" s="18"/>
      <c r="D251" s="15">
        <v>1286</v>
      </c>
      <c r="E251" s="21">
        <v>0.33800000000000002</v>
      </c>
      <c r="F251" s="14">
        <v>7172.9333333333334</v>
      </c>
      <c r="G251" s="13">
        <v>2638.0900000000311</v>
      </c>
      <c r="H251" s="15">
        <v>314</v>
      </c>
      <c r="I251" s="13">
        <v>17</v>
      </c>
      <c r="J251" s="16">
        <v>908</v>
      </c>
      <c r="K251" s="15">
        <v>2043</v>
      </c>
      <c r="L251" s="14">
        <v>1404</v>
      </c>
      <c r="M251" s="13">
        <v>1031</v>
      </c>
      <c r="O251" s="2"/>
    </row>
    <row r="252" spans="1:15" outlineLevel="1" x14ac:dyDescent="0.2">
      <c r="A252" s="20">
        <f>A210</f>
        <v>3606</v>
      </c>
      <c r="B252" s="19" t="str">
        <f>B210</f>
        <v>SHSU</v>
      </c>
      <c r="C252" s="18"/>
      <c r="D252" s="15">
        <v>3242</v>
      </c>
      <c r="E252" s="21">
        <v>0.57899999999999996</v>
      </c>
      <c r="F252" s="14">
        <v>12517.066666666668</v>
      </c>
      <c r="G252" s="13">
        <v>6188.6300000000374</v>
      </c>
      <c r="H252" s="15">
        <v>163</v>
      </c>
      <c r="I252" s="13">
        <v>69</v>
      </c>
      <c r="J252" s="16">
        <v>2318</v>
      </c>
      <c r="K252" s="15">
        <v>3849</v>
      </c>
      <c r="L252" s="14">
        <v>3011</v>
      </c>
      <c r="M252" s="13">
        <v>1870</v>
      </c>
      <c r="O252" s="2"/>
    </row>
    <row r="253" spans="1:15" outlineLevel="1" x14ac:dyDescent="0.2">
      <c r="A253" s="20">
        <f>A211</f>
        <v>3615</v>
      </c>
      <c r="B253" s="19" t="str">
        <f>B211</f>
        <v>TxStSM</v>
      </c>
      <c r="C253" s="18"/>
      <c r="D253" s="15">
        <v>5299</v>
      </c>
      <c r="E253" s="21">
        <v>0.64400000000000002</v>
      </c>
      <c r="F253" s="14">
        <v>21764.6</v>
      </c>
      <c r="G253" s="13">
        <v>10384.469999998846</v>
      </c>
      <c r="H253" s="15">
        <v>439</v>
      </c>
      <c r="I253" s="13">
        <v>68</v>
      </c>
      <c r="J253" s="16">
        <v>3545</v>
      </c>
      <c r="K253" s="15">
        <v>7301</v>
      </c>
      <c r="L253" s="14">
        <v>5428</v>
      </c>
      <c r="M253" s="13">
        <v>3302</v>
      </c>
      <c r="O253" s="2"/>
    </row>
    <row r="254" spans="1:15" outlineLevel="1" x14ac:dyDescent="0.2">
      <c r="A254" s="20">
        <f>A212</f>
        <v>3625</v>
      </c>
      <c r="B254" s="19" t="str">
        <f>B212</f>
        <v>SRSU</v>
      </c>
      <c r="C254" s="18"/>
      <c r="D254" s="15">
        <v>181</v>
      </c>
      <c r="E254" s="21">
        <v>0.28499999999999998</v>
      </c>
      <c r="F254" s="14">
        <v>1230.9333333333334</v>
      </c>
      <c r="G254" s="13">
        <v>368.43999999999954</v>
      </c>
      <c r="H254" s="15">
        <v>10</v>
      </c>
      <c r="I254" s="13">
        <v>10</v>
      </c>
      <c r="J254" s="16">
        <v>156</v>
      </c>
      <c r="K254" s="15">
        <v>318</v>
      </c>
      <c r="L254" s="14">
        <v>176</v>
      </c>
      <c r="M254" s="13">
        <v>115</v>
      </c>
      <c r="O254" s="2"/>
    </row>
    <row r="255" spans="1:15" outlineLevel="1" x14ac:dyDescent="0.2">
      <c r="A255" s="20">
        <f>A213</f>
        <v>20</v>
      </c>
      <c r="B255" s="19" t="str">
        <f>B213</f>
        <v>SRRG</v>
      </c>
      <c r="C255" s="18"/>
      <c r="D255" s="15">
        <v>168</v>
      </c>
      <c r="E255" s="17">
        <v>0.36144578313253012</v>
      </c>
      <c r="F255" s="14">
        <v>416.33333333333331</v>
      </c>
      <c r="G255" s="13">
        <v>287.9199999999995</v>
      </c>
      <c r="H255" s="15">
        <v>8</v>
      </c>
      <c r="I255" s="13">
        <v>9</v>
      </c>
      <c r="J255" s="16">
        <v>149</v>
      </c>
      <c r="K255" s="15">
        <v>251</v>
      </c>
      <c r="L255" s="14">
        <v>90</v>
      </c>
      <c r="M255" s="13">
        <v>5</v>
      </c>
      <c r="O255" s="2"/>
    </row>
    <row r="256" spans="1:15" ht="13.5" outlineLevel="1" thickBot="1" x14ac:dyDescent="0.25">
      <c r="A256" s="12"/>
      <c r="B256" s="11" t="s">
        <v>11</v>
      </c>
      <c r="C256" s="10"/>
      <c r="D256" s="9">
        <f>SUM(D218:D255)</f>
        <v>81251</v>
      </c>
      <c r="E256" s="8">
        <v>0.56799999999999995</v>
      </c>
      <c r="F256" s="7">
        <f>SUM(F218:F255)</f>
        <v>338321.33333333337</v>
      </c>
      <c r="G256" s="3">
        <f>SUM(G218:G255)</f>
        <v>165601.52999999447</v>
      </c>
      <c r="H256" s="5">
        <f>SUM(H218:H255)</f>
        <v>12362</v>
      </c>
      <c r="I256" s="3">
        <f>SUM(I218:I255)</f>
        <v>1122</v>
      </c>
      <c r="J256" s="6">
        <f>SUM(J218:J255)</f>
        <v>51678</v>
      </c>
      <c r="K256" s="5">
        <f>SUM(K218:K255)</f>
        <v>112517</v>
      </c>
      <c r="L256" s="4">
        <f>SUM(L218:L255)</f>
        <v>81688</v>
      </c>
      <c r="M256" s="3">
        <f>SUM(M218:M255)</f>
        <v>51008</v>
      </c>
      <c r="O256" s="2"/>
    </row>
    <row r="257" spans="1:15" x14ac:dyDescent="0.2">
      <c r="O257" s="2"/>
    </row>
    <row r="259" spans="1:15" x14ac:dyDescent="0.2">
      <c r="A259" s="1" t="s">
        <v>10</v>
      </c>
    </row>
    <row r="260" spans="1:15" x14ac:dyDescent="0.2">
      <c r="A260" s="1" t="s">
        <v>9</v>
      </c>
    </row>
    <row r="261" spans="1:15" x14ac:dyDescent="0.2">
      <c r="A261" s="1" t="s">
        <v>8</v>
      </c>
    </row>
    <row r="262" spans="1:15" x14ac:dyDescent="0.2">
      <c r="A262" s="1" t="s">
        <v>7</v>
      </c>
    </row>
    <row r="263" spans="1:15" x14ac:dyDescent="0.2">
      <c r="A263" s="1" t="s">
        <v>6</v>
      </c>
    </row>
    <row r="264" spans="1:15" x14ac:dyDescent="0.2">
      <c r="A264" s="1" t="s">
        <v>5</v>
      </c>
    </row>
    <row r="265" spans="1:15" x14ac:dyDescent="0.2">
      <c r="A265" s="1" t="s">
        <v>4</v>
      </c>
    </row>
    <row r="266" spans="1:15" x14ac:dyDescent="0.2">
      <c r="A266" s="1" t="s">
        <v>3</v>
      </c>
    </row>
    <row r="267" spans="1:15" x14ac:dyDescent="0.2">
      <c r="A267" s="1" t="s">
        <v>2</v>
      </c>
    </row>
    <row r="268" spans="1:15" x14ac:dyDescent="0.2">
      <c r="A268" s="1" t="s">
        <v>1</v>
      </c>
    </row>
    <row r="269" spans="1:15" x14ac:dyDescent="0.2">
      <c r="A269" s="1" t="s">
        <v>0</v>
      </c>
    </row>
  </sheetData>
  <mergeCells count="62">
    <mergeCell ref="A2:M2"/>
    <mergeCell ref="A4:A5"/>
    <mergeCell ref="B4:B5"/>
    <mergeCell ref="C4:C5"/>
    <mergeCell ref="D4:G4"/>
    <mergeCell ref="H4:H5"/>
    <mergeCell ref="I4:I5"/>
    <mergeCell ref="J4:J5"/>
    <mergeCell ref="K4:M4"/>
    <mergeCell ref="A47:A48"/>
    <mergeCell ref="B47:B48"/>
    <mergeCell ref="C47:C48"/>
    <mergeCell ref="D47:G47"/>
    <mergeCell ref="H47:H48"/>
    <mergeCell ref="I47:I48"/>
    <mergeCell ref="J47:J48"/>
    <mergeCell ref="K47:M47"/>
    <mergeCell ref="A49:C49"/>
    <mergeCell ref="A90:A91"/>
    <mergeCell ref="B90:B91"/>
    <mergeCell ref="C90:C91"/>
    <mergeCell ref="D90:D91"/>
    <mergeCell ref="E90:E91"/>
    <mergeCell ref="F90:F91"/>
    <mergeCell ref="G90:G91"/>
    <mergeCell ref="I90:I91"/>
    <mergeCell ref="J90:J91"/>
    <mergeCell ref="K90:M90"/>
    <mergeCell ref="A132:A133"/>
    <mergeCell ref="B132:B133"/>
    <mergeCell ref="C132:C133"/>
    <mergeCell ref="D132:D133"/>
    <mergeCell ref="E132:E133"/>
    <mergeCell ref="F132:F133"/>
    <mergeCell ref="A174:A175"/>
    <mergeCell ref="B174:B175"/>
    <mergeCell ref="C174:C175"/>
    <mergeCell ref="D174:D175"/>
    <mergeCell ref="E174:E175"/>
    <mergeCell ref="H90:H91"/>
    <mergeCell ref="K174:M174"/>
    <mergeCell ref="G132:G133"/>
    <mergeCell ref="H132:H133"/>
    <mergeCell ref="I132:I133"/>
    <mergeCell ref="J132:J133"/>
    <mergeCell ref="K132:M132"/>
    <mergeCell ref="F216:F217"/>
    <mergeCell ref="F174:F175"/>
    <mergeCell ref="G174:G175"/>
    <mergeCell ref="H174:H175"/>
    <mergeCell ref="I174:I175"/>
    <mergeCell ref="J174:J175"/>
    <mergeCell ref="G216:G217"/>
    <mergeCell ref="H216:H217"/>
    <mergeCell ref="I216:I217"/>
    <mergeCell ref="J216:J217"/>
    <mergeCell ref="K216:M216"/>
    <mergeCell ref="A216:A217"/>
    <mergeCell ref="B216:B217"/>
    <mergeCell ref="C216:C217"/>
    <mergeCell ref="D216:D217"/>
    <mergeCell ref="E216:E217"/>
  </mergeCells>
  <pageMargins left="0.25" right="0.25" top="0.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OBF</vt:lpstr>
      <vt:lpstr>OBF!Print_Area</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Turcotte</dc:creator>
  <cp:lastModifiedBy>Paul Turcotte</cp:lastModifiedBy>
  <dcterms:created xsi:type="dcterms:W3CDTF">2013-07-25T15:22:00Z</dcterms:created>
  <dcterms:modified xsi:type="dcterms:W3CDTF">2013-07-25T15:23:28Z</dcterms:modified>
</cp:coreProperties>
</file>