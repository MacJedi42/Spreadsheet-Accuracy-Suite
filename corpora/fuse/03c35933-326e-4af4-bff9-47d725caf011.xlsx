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15" yWindow="6195" windowWidth="12120" windowHeight="2910" tabRatio="917" activeTab="1"/>
  </bookViews>
  <sheets>
    <sheet name="Federal Guidance" sheetId="77" r:id="rId1"/>
    <sheet name="Instructions" sheetId="74" r:id="rId2"/>
    <sheet name="1-Cover Page" sheetId="49" r:id="rId3"/>
    <sheet name="2a - Budget Detail" sheetId="76" r:id="rId4"/>
    <sheet name="3a - Staff Detail" sheetId="28" r:id="rId5"/>
    <sheet name="4a - Budget Summary" sheetId="46" r:id="rId6"/>
    <sheet name="Corrections % Summary" sheetId="75" state="hidden" r:id="rId7"/>
    <sheet name="5a-Error Checking" sheetId="63" r:id="rId8"/>
    <sheet name="6a-Comments" sheetId="16" r:id="rId9"/>
    <sheet name="Other" sheetId="6" state="hidden" r:id="rId10"/>
  </sheets>
  <externalReferences>
    <externalReference r:id="rId11"/>
  </externalReferences>
  <definedNames>
    <definedName name="Active_Inactive">Other!$B$2:$B$3</definedName>
    <definedName name="bdg_fmp">'2a - Budget Detail'!$J$8:$J$500</definedName>
    <definedName name="bdgCost">'2a - Budget Detail'!$E$8:$E$500</definedName>
    <definedName name="bdgObj">'2a - Budget Detail'!$K$8:$K$500</definedName>
    <definedName name="bdgProg">'2a - Budget Detail'!$I$8:$I$500</definedName>
    <definedName name="cderange" localSheetId="2">'1-Cover Page'!$B$24:$C$24</definedName>
    <definedName name="coverpage" localSheetId="2">'1-Cover Page'!#REF!</definedName>
    <definedName name="eqpAdmin" localSheetId="6">#REF!</definedName>
    <definedName name="eqpAdmin">#REF!</definedName>
    <definedName name="eqpCapitilized" localSheetId="6">#REF!</definedName>
    <definedName name="eqpCapitilized">#REF!</definedName>
    <definedName name="eqpCost" localSheetId="6">#REF!</definedName>
    <definedName name="eqpCost">#REF!</definedName>
    <definedName name="Federal_Match_ProgramIncome">Other!$B$29:$B$31</definedName>
    <definedName name="funding" localSheetId="6">Other!#REF!</definedName>
    <definedName name="funding">Other!#REF!</definedName>
    <definedName name="funding2" localSheetId="6">[1]Other!#REF!</definedName>
    <definedName name="funding2">[1]Other!#REF!</definedName>
    <definedName name="fundingequipment" localSheetId="6">Other!#REF!</definedName>
    <definedName name="fundingequipment">Other!#REF!</definedName>
    <definedName name="gotoB" localSheetId="6">Other!#REF!</definedName>
    <definedName name="gotoB">Other!#REF!</definedName>
    <definedName name="incCost" localSheetId="6">#REF!</definedName>
    <definedName name="incCost">#REF!</definedName>
    <definedName name="incObj" localSheetId="6">#REF!</definedName>
    <definedName name="incObj">#REF!</definedName>
    <definedName name="incProg" localSheetId="6">#REF!</definedName>
    <definedName name="incProg">#REF!</definedName>
    <definedName name="line1_6a" localSheetId="5">'4a - Budget Summary'!$A$6</definedName>
    <definedName name="line1_6a" localSheetId="6">'Corrections % Summary'!$A$6</definedName>
    <definedName name="look1" localSheetId="6">#REF!</definedName>
    <definedName name="look1">#REF!</definedName>
    <definedName name="look2">Other!$B$85:$C$89</definedName>
    <definedName name="matCost">#REF!</definedName>
    <definedName name="matObj">#REF!</definedName>
    <definedName name="matProg">#REF!</definedName>
    <definedName name="object">Other!$B$47:$B$51</definedName>
    <definedName name="_xlnm.Print_Area" localSheetId="2">'1-Cover Page'!$A$1:$G$28</definedName>
    <definedName name="_xlnm.Print_Area" localSheetId="7">'5a-Error Checking'!$A$1:$J$14</definedName>
    <definedName name="_xlnm.Print_Area" localSheetId="8">'6a-Comments'!$A$1:$C$43</definedName>
    <definedName name="_xlnm.Print_Area" localSheetId="1">Instructions!$A$1:$C$101</definedName>
    <definedName name="_xlnm.Print_Titles" localSheetId="4">'3a - Staff Detail'!$1:$6</definedName>
    <definedName name="program">Other!$B$38:$B$40</definedName>
    <definedName name="program2" localSheetId="6">Other!#REF!</definedName>
    <definedName name="program2">Other!#REF!</definedName>
    <definedName name="report">Other!$B$56:$B$57</definedName>
    <definedName name="signover" localSheetId="6">#REF!</definedName>
    <definedName name="signover">#REF!</definedName>
    <definedName name="signovercol1" localSheetId="6">#REF!</definedName>
    <definedName name="signovercol1">#REF!</definedName>
    <definedName name="source1">Other!$B$9:$B$15</definedName>
    <definedName name="source1single" localSheetId="6">Other!#REF!</definedName>
    <definedName name="source1single">Other!#REF!</definedName>
    <definedName name="staff_fmp">'3a - Staff Detail'!$L$7:$L$500</definedName>
    <definedName name="staffCostIA">'3a - Staff Detail'!$H$7:$H$500</definedName>
    <definedName name="staffobj">'3a - Staff Detail'!$M$7:$M$500</definedName>
    <definedName name="staffprog">'3a - Staff Detail'!$N$7:$N$500</definedName>
    <definedName name="title1req" localSheetId="6">Other!#REF!</definedName>
    <definedName name="title1req">Other!#REF!</definedName>
    <definedName name="transfers">Other!$B$84:$B$88</definedName>
    <definedName name="Yes_No">Other!$B$9:$B$10</definedName>
    <definedName name="YesNo" localSheetId="6">Other!#REF!</definedName>
    <definedName name="YesNo">Other!#REF!</definedName>
    <definedName name="yesnocap">Other!$B$73:$B$74</definedName>
  </definedNames>
  <calcPr calcId="145621"/>
</workbook>
</file>

<file path=xl/calcChain.xml><?xml version="1.0" encoding="utf-8"?>
<calcChain xmlns="http://schemas.openxmlformats.org/spreadsheetml/2006/main">
  <c r="A4" i="16" l="1"/>
  <c r="B3" i="63"/>
  <c r="A3" i="46"/>
  <c r="E7" i="76" l="1"/>
  <c r="G6" i="28"/>
  <c r="L500" i="76" l="1"/>
  <c r="K500" i="76"/>
  <c r="J500" i="76"/>
  <c r="I500" i="76"/>
  <c r="L499" i="76"/>
  <c r="K499" i="76"/>
  <c r="J499" i="76"/>
  <c r="I499" i="76"/>
  <c r="L498" i="76"/>
  <c r="K498" i="76"/>
  <c r="J498" i="76"/>
  <c r="I498" i="76"/>
  <c r="L497" i="76"/>
  <c r="K497" i="76"/>
  <c r="J497" i="76"/>
  <c r="I497" i="76"/>
  <c r="L496" i="76"/>
  <c r="K496" i="76"/>
  <c r="J496" i="76"/>
  <c r="I496" i="76"/>
  <c r="L495" i="76"/>
  <c r="K495" i="76"/>
  <c r="J495" i="76"/>
  <c r="I495" i="76"/>
  <c r="L494" i="76"/>
  <c r="K494" i="76"/>
  <c r="J494" i="76"/>
  <c r="I494" i="76"/>
  <c r="L493" i="76"/>
  <c r="K493" i="76"/>
  <c r="J493" i="76"/>
  <c r="I493" i="76"/>
  <c r="L492" i="76"/>
  <c r="K492" i="76"/>
  <c r="J492" i="76"/>
  <c r="I492" i="76"/>
  <c r="L491" i="76"/>
  <c r="K491" i="76"/>
  <c r="J491" i="76"/>
  <c r="I491" i="76"/>
  <c r="L490" i="76"/>
  <c r="K490" i="76"/>
  <c r="J490" i="76"/>
  <c r="I490" i="76"/>
  <c r="L489" i="76"/>
  <c r="K489" i="76"/>
  <c r="J489" i="76"/>
  <c r="I489" i="76"/>
  <c r="L488" i="76"/>
  <c r="K488" i="76"/>
  <c r="J488" i="76"/>
  <c r="I488" i="76"/>
  <c r="L487" i="76"/>
  <c r="K487" i="76"/>
  <c r="J487" i="76"/>
  <c r="I487" i="76"/>
  <c r="L486" i="76"/>
  <c r="K486" i="76"/>
  <c r="J486" i="76"/>
  <c r="I486" i="76"/>
  <c r="L485" i="76"/>
  <c r="K485" i="76"/>
  <c r="J485" i="76"/>
  <c r="I485" i="76"/>
  <c r="L484" i="76"/>
  <c r="K484" i="76"/>
  <c r="J484" i="76"/>
  <c r="I484" i="76"/>
  <c r="L483" i="76"/>
  <c r="K483" i="76"/>
  <c r="J483" i="76"/>
  <c r="I483" i="76"/>
  <c r="L482" i="76"/>
  <c r="K482" i="76"/>
  <c r="J482" i="76"/>
  <c r="I482" i="76"/>
  <c r="L481" i="76"/>
  <c r="K481" i="76"/>
  <c r="J481" i="76"/>
  <c r="I481" i="76"/>
  <c r="L480" i="76"/>
  <c r="K480" i="76"/>
  <c r="J480" i="76"/>
  <c r="I480" i="76"/>
  <c r="L479" i="76"/>
  <c r="K479" i="76"/>
  <c r="J479" i="76"/>
  <c r="I479" i="76"/>
  <c r="L478" i="76"/>
  <c r="K478" i="76"/>
  <c r="J478" i="76"/>
  <c r="I478" i="76"/>
  <c r="L477" i="76"/>
  <c r="K477" i="76"/>
  <c r="J477" i="76"/>
  <c r="I477" i="76"/>
  <c r="L476" i="76"/>
  <c r="K476" i="76"/>
  <c r="J476" i="76"/>
  <c r="I476" i="76"/>
  <c r="L475" i="76"/>
  <c r="K475" i="76"/>
  <c r="J475" i="76"/>
  <c r="I475" i="76"/>
  <c r="L474" i="76"/>
  <c r="K474" i="76"/>
  <c r="J474" i="76"/>
  <c r="I474" i="76"/>
  <c r="L473" i="76"/>
  <c r="K473" i="76"/>
  <c r="J473" i="76"/>
  <c r="I473" i="76"/>
  <c r="L472" i="76"/>
  <c r="K472" i="76"/>
  <c r="J472" i="76"/>
  <c r="I472" i="76"/>
  <c r="L471" i="76"/>
  <c r="K471" i="76"/>
  <c r="J471" i="76"/>
  <c r="I471" i="76"/>
  <c r="L470" i="76"/>
  <c r="K470" i="76"/>
  <c r="J470" i="76"/>
  <c r="I470" i="76"/>
  <c r="L469" i="76"/>
  <c r="K469" i="76"/>
  <c r="J469" i="76"/>
  <c r="I469" i="76"/>
  <c r="L468" i="76"/>
  <c r="K468" i="76"/>
  <c r="J468" i="76"/>
  <c r="I468" i="76"/>
  <c r="L467" i="76"/>
  <c r="K467" i="76"/>
  <c r="J467" i="76"/>
  <c r="I467" i="76"/>
  <c r="L466" i="76"/>
  <c r="K466" i="76"/>
  <c r="J466" i="76"/>
  <c r="I466" i="76"/>
  <c r="L465" i="76"/>
  <c r="K465" i="76"/>
  <c r="J465" i="76"/>
  <c r="I465" i="76"/>
  <c r="L464" i="76"/>
  <c r="K464" i="76"/>
  <c r="J464" i="76"/>
  <c r="I464" i="76"/>
  <c r="L463" i="76"/>
  <c r="K463" i="76"/>
  <c r="J463" i="76"/>
  <c r="I463" i="76"/>
  <c r="L462" i="76"/>
  <c r="K462" i="76"/>
  <c r="J462" i="76"/>
  <c r="I462" i="76"/>
  <c r="L461" i="76"/>
  <c r="K461" i="76"/>
  <c r="J461" i="76"/>
  <c r="I461" i="76"/>
  <c r="L460" i="76"/>
  <c r="K460" i="76"/>
  <c r="J460" i="76"/>
  <c r="I460" i="76"/>
  <c r="L459" i="76"/>
  <c r="K459" i="76"/>
  <c r="J459" i="76"/>
  <c r="I459" i="76"/>
  <c r="L458" i="76"/>
  <c r="K458" i="76"/>
  <c r="J458" i="76"/>
  <c r="I458" i="76"/>
  <c r="L457" i="76"/>
  <c r="K457" i="76"/>
  <c r="J457" i="76"/>
  <c r="I457" i="76"/>
  <c r="L456" i="76"/>
  <c r="K456" i="76"/>
  <c r="J456" i="76"/>
  <c r="I456" i="76"/>
  <c r="L455" i="76"/>
  <c r="K455" i="76"/>
  <c r="J455" i="76"/>
  <c r="I455" i="76"/>
  <c r="L454" i="76"/>
  <c r="K454" i="76"/>
  <c r="J454" i="76"/>
  <c r="I454" i="76"/>
  <c r="L453" i="76"/>
  <c r="K453" i="76"/>
  <c r="J453" i="76"/>
  <c r="I453" i="76"/>
  <c r="L452" i="76"/>
  <c r="K452" i="76"/>
  <c r="J452" i="76"/>
  <c r="I452" i="76"/>
  <c r="L451" i="76"/>
  <c r="K451" i="76"/>
  <c r="J451" i="76"/>
  <c r="I451" i="76"/>
  <c r="L450" i="76"/>
  <c r="K450" i="76"/>
  <c r="J450" i="76"/>
  <c r="I450" i="76"/>
  <c r="L449" i="76"/>
  <c r="K449" i="76"/>
  <c r="J449" i="76"/>
  <c r="I449" i="76"/>
  <c r="L448" i="76"/>
  <c r="K448" i="76"/>
  <c r="J448" i="76"/>
  <c r="I448" i="76"/>
  <c r="L447" i="76"/>
  <c r="K447" i="76"/>
  <c r="J447" i="76"/>
  <c r="I447" i="76"/>
  <c r="L446" i="76"/>
  <c r="K446" i="76"/>
  <c r="J446" i="76"/>
  <c r="I446" i="76"/>
  <c r="L445" i="76"/>
  <c r="K445" i="76"/>
  <c r="J445" i="76"/>
  <c r="I445" i="76"/>
  <c r="L444" i="76"/>
  <c r="K444" i="76"/>
  <c r="J444" i="76"/>
  <c r="I444" i="76"/>
  <c r="L443" i="76"/>
  <c r="K443" i="76"/>
  <c r="J443" i="76"/>
  <c r="I443" i="76"/>
  <c r="L442" i="76"/>
  <c r="K442" i="76"/>
  <c r="J442" i="76"/>
  <c r="I442" i="76"/>
  <c r="L441" i="76"/>
  <c r="K441" i="76"/>
  <c r="J441" i="76"/>
  <c r="I441" i="76"/>
  <c r="L440" i="76"/>
  <c r="K440" i="76"/>
  <c r="J440" i="76"/>
  <c r="I440" i="76"/>
  <c r="L439" i="76"/>
  <c r="K439" i="76"/>
  <c r="J439" i="76"/>
  <c r="I439" i="76"/>
  <c r="L438" i="76"/>
  <c r="K438" i="76"/>
  <c r="J438" i="76"/>
  <c r="I438" i="76"/>
  <c r="L437" i="76"/>
  <c r="K437" i="76"/>
  <c r="J437" i="76"/>
  <c r="I437" i="76"/>
  <c r="L436" i="76"/>
  <c r="K436" i="76"/>
  <c r="J436" i="76"/>
  <c r="I436" i="76"/>
  <c r="L435" i="76"/>
  <c r="K435" i="76"/>
  <c r="J435" i="76"/>
  <c r="I435" i="76"/>
  <c r="L434" i="76"/>
  <c r="K434" i="76"/>
  <c r="J434" i="76"/>
  <c r="I434" i="76"/>
  <c r="L433" i="76"/>
  <c r="K433" i="76"/>
  <c r="J433" i="76"/>
  <c r="I433" i="76"/>
  <c r="L432" i="76"/>
  <c r="K432" i="76"/>
  <c r="J432" i="76"/>
  <c r="I432" i="76"/>
  <c r="L431" i="76"/>
  <c r="K431" i="76"/>
  <c r="J431" i="76"/>
  <c r="I431" i="76"/>
  <c r="L430" i="76"/>
  <c r="K430" i="76"/>
  <c r="J430" i="76"/>
  <c r="I430" i="76"/>
  <c r="L429" i="76"/>
  <c r="K429" i="76"/>
  <c r="J429" i="76"/>
  <c r="I429" i="76"/>
  <c r="L428" i="76"/>
  <c r="K428" i="76"/>
  <c r="J428" i="76"/>
  <c r="I428" i="76"/>
  <c r="L427" i="76"/>
  <c r="K427" i="76"/>
  <c r="J427" i="76"/>
  <c r="I427" i="76"/>
  <c r="L426" i="76"/>
  <c r="K426" i="76"/>
  <c r="J426" i="76"/>
  <c r="I426" i="76"/>
  <c r="L425" i="76"/>
  <c r="K425" i="76"/>
  <c r="J425" i="76"/>
  <c r="I425" i="76"/>
  <c r="L424" i="76"/>
  <c r="K424" i="76"/>
  <c r="J424" i="76"/>
  <c r="I424" i="76"/>
  <c r="L423" i="76"/>
  <c r="K423" i="76"/>
  <c r="J423" i="76"/>
  <c r="I423" i="76"/>
  <c r="L422" i="76"/>
  <c r="K422" i="76"/>
  <c r="J422" i="76"/>
  <c r="I422" i="76"/>
  <c r="L421" i="76"/>
  <c r="K421" i="76"/>
  <c r="J421" i="76"/>
  <c r="I421" i="76"/>
  <c r="L420" i="76"/>
  <c r="K420" i="76"/>
  <c r="J420" i="76"/>
  <c r="I420" i="76"/>
  <c r="L419" i="76"/>
  <c r="K419" i="76"/>
  <c r="J419" i="76"/>
  <c r="I419" i="76"/>
  <c r="L418" i="76"/>
  <c r="K418" i="76"/>
  <c r="J418" i="76"/>
  <c r="I418" i="76"/>
  <c r="L417" i="76"/>
  <c r="K417" i="76"/>
  <c r="J417" i="76"/>
  <c r="I417" i="76"/>
  <c r="L416" i="76"/>
  <c r="K416" i="76"/>
  <c r="J416" i="76"/>
  <c r="I416" i="76"/>
  <c r="L415" i="76"/>
  <c r="K415" i="76"/>
  <c r="J415" i="76"/>
  <c r="I415" i="76"/>
  <c r="L414" i="76"/>
  <c r="K414" i="76"/>
  <c r="J414" i="76"/>
  <c r="I414" i="76"/>
  <c r="L413" i="76"/>
  <c r="K413" i="76"/>
  <c r="J413" i="76"/>
  <c r="I413" i="76"/>
  <c r="L412" i="76"/>
  <c r="K412" i="76"/>
  <c r="J412" i="76"/>
  <c r="I412" i="76"/>
  <c r="L411" i="76"/>
  <c r="K411" i="76"/>
  <c r="J411" i="76"/>
  <c r="I411" i="76"/>
  <c r="L410" i="76"/>
  <c r="K410" i="76"/>
  <c r="J410" i="76"/>
  <c r="I410" i="76"/>
  <c r="L409" i="76"/>
  <c r="K409" i="76"/>
  <c r="J409" i="76"/>
  <c r="I409" i="76"/>
  <c r="L408" i="76"/>
  <c r="K408" i="76"/>
  <c r="J408" i="76"/>
  <c r="I408" i="76"/>
  <c r="L407" i="76"/>
  <c r="K407" i="76"/>
  <c r="J407" i="76"/>
  <c r="I407" i="76"/>
  <c r="L406" i="76"/>
  <c r="K406" i="76"/>
  <c r="J406" i="76"/>
  <c r="I406" i="76"/>
  <c r="L405" i="76"/>
  <c r="K405" i="76"/>
  <c r="J405" i="76"/>
  <c r="I405" i="76"/>
  <c r="L404" i="76"/>
  <c r="K404" i="76"/>
  <c r="J404" i="76"/>
  <c r="I404" i="76"/>
  <c r="L403" i="76"/>
  <c r="K403" i="76"/>
  <c r="J403" i="76"/>
  <c r="I403" i="76"/>
  <c r="L402" i="76"/>
  <c r="K402" i="76"/>
  <c r="J402" i="76"/>
  <c r="I402" i="76"/>
  <c r="L401" i="76"/>
  <c r="K401" i="76"/>
  <c r="J401" i="76"/>
  <c r="I401" i="76"/>
  <c r="L400" i="76"/>
  <c r="K400" i="76"/>
  <c r="J400" i="76"/>
  <c r="I400" i="76"/>
  <c r="L399" i="76"/>
  <c r="K399" i="76"/>
  <c r="J399" i="76"/>
  <c r="I399" i="76"/>
  <c r="L398" i="76"/>
  <c r="K398" i="76"/>
  <c r="J398" i="76"/>
  <c r="I398" i="76"/>
  <c r="L397" i="76"/>
  <c r="K397" i="76"/>
  <c r="J397" i="76"/>
  <c r="I397" i="76"/>
  <c r="L396" i="76"/>
  <c r="K396" i="76"/>
  <c r="J396" i="76"/>
  <c r="I396" i="76"/>
  <c r="L395" i="76"/>
  <c r="K395" i="76"/>
  <c r="J395" i="76"/>
  <c r="I395" i="76"/>
  <c r="L394" i="76"/>
  <c r="K394" i="76"/>
  <c r="J394" i="76"/>
  <c r="I394" i="76"/>
  <c r="L393" i="76"/>
  <c r="K393" i="76"/>
  <c r="J393" i="76"/>
  <c r="I393" i="76"/>
  <c r="L392" i="76"/>
  <c r="K392" i="76"/>
  <c r="J392" i="76"/>
  <c r="I392" i="76"/>
  <c r="L391" i="76"/>
  <c r="K391" i="76"/>
  <c r="J391" i="76"/>
  <c r="I391" i="76"/>
  <c r="L390" i="76"/>
  <c r="K390" i="76"/>
  <c r="J390" i="76"/>
  <c r="I390" i="76"/>
  <c r="L389" i="76"/>
  <c r="K389" i="76"/>
  <c r="J389" i="76"/>
  <c r="I389" i="76"/>
  <c r="L388" i="76"/>
  <c r="K388" i="76"/>
  <c r="J388" i="76"/>
  <c r="I388" i="76"/>
  <c r="L387" i="76"/>
  <c r="K387" i="76"/>
  <c r="J387" i="76"/>
  <c r="I387" i="76"/>
  <c r="L386" i="76"/>
  <c r="K386" i="76"/>
  <c r="J386" i="76"/>
  <c r="I386" i="76"/>
  <c r="L385" i="76"/>
  <c r="K385" i="76"/>
  <c r="J385" i="76"/>
  <c r="I385" i="76"/>
  <c r="L384" i="76"/>
  <c r="K384" i="76"/>
  <c r="J384" i="76"/>
  <c r="I384" i="76"/>
  <c r="L383" i="76"/>
  <c r="K383" i="76"/>
  <c r="J383" i="76"/>
  <c r="I383" i="76"/>
  <c r="L382" i="76"/>
  <c r="K382" i="76"/>
  <c r="J382" i="76"/>
  <c r="I382" i="76"/>
  <c r="L381" i="76"/>
  <c r="K381" i="76"/>
  <c r="J381" i="76"/>
  <c r="I381" i="76"/>
  <c r="L380" i="76"/>
  <c r="K380" i="76"/>
  <c r="J380" i="76"/>
  <c r="I380" i="76"/>
  <c r="L379" i="76"/>
  <c r="K379" i="76"/>
  <c r="J379" i="76"/>
  <c r="I379" i="76"/>
  <c r="L378" i="76"/>
  <c r="K378" i="76"/>
  <c r="J378" i="76"/>
  <c r="I378" i="76"/>
  <c r="L377" i="76"/>
  <c r="K377" i="76"/>
  <c r="J377" i="76"/>
  <c r="I377" i="76"/>
  <c r="L376" i="76"/>
  <c r="K376" i="76"/>
  <c r="J376" i="76"/>
  <c r="I376" i="76"/>
  <c r="L375" i="76"/>
  <c r="K375" i="76"/>
  <c r="J375" i="76"/>
  <c r="I375" i="76"/>
  <c r="L374" i="76"/>
  <c r="K374" i="76"/>
  <c r="J374" i="76"/>
  <c r="I374" i="76"/>
  <c r="L373" i="76"/>
  <c r="K373" i="76"/>
  <c r="J373" i="76"/>
  <c r="I373" i="76"/>
  <c r="L372" i="76"/>
  <c r="K372" i="76"/>
  <c r="J372" i="76"/>
  <c r="I372" i="76"/>
  <c r="L371" i="76"/>
  <c r="K371" i="76"/>
  <c r="J371" i="76"/>
  <c r="I371" i="76"/>
  <c r="L370" i="76"/>
  <c r="K370" i="76"/>
  <c r="J370" i="76"/>
  <c r="I370" i="76"/>
  <c r="L369" i="76"/>
  <c r="K369" i="76"/>
  <c r="J369" i="76"/>
  <c r="I369" i="76"/>
  <c r="L368" i="76"/>
  <c r="K368" i="76"/>
  <c r="J368" i="76"/>
  <c r="I368" i="76"/>
  <c r="L367" i="76"/>
  <c r="K367" i="76"/>
  <c r="J367" i="76"/>
  <c r="I367" i="76"/>
  <c r="L366" i="76"/>
  <c r="K366" i="76"/>
  <c r="J366" i="76"/>
  <c r="I366" i="76"/>
  <c r="L365" i="76"/>
  <c r="K365" i="76"/>
  <c r="J365" i="76"/>
  <c r="I365" i="76"/>
  <c r="L364" i="76"/>
  <c r="K364" i="76"/>
  <c r="J364" i="76"/>
  <c r="I364" i="76"/>
  <c r="L363" i="76"/>
  <c r="K363" i="76"/>
  <c r="J363" i="76"/>
  <c r="I363" i="76"/>
  <c r="L362" i="76"/>
  <c r="K362" i="76"/>
  <c r="J362" i="76"/>
  <c r="I362" i="76"/>
  <c r="L361" i="76"/>
  <c r="K361" i="76"/>
  <c r="J361" i="76"/>
  <c r="I361" i="76"/>
  <c r="L360" i="76"/>
  <c r="K360" i="76"/>
  <c r="J360" i="76"/>
  <c r="I360" i="76"/>
  <c r="L359" i="76"/>
  <c r="K359" i="76"/>
  <c r="J359" i="76"/>
  <c r="I359" i="76"/>
  <c r="L358" i="76"/>
  <c r="K358" i="76"/>
  <c r="J358" i="76"/>
  <c r="I358" i="76"/>
  <c r="L357" i="76"/>
  <c r="K357" i="76"/>
  <c r="J357" i="76"/>
  <c r="I357" i="76"/>
  <c r="L356" i="76"/>
  <c r="K356" i="76"/>
  <c r="J356" i="76"/>
  <c r="I356" i="76"/>
  <c r="L355" i="76"/>
  <c r="K355" i="76"/>
  <c r="J355" i="76"/>
  <c r="I355" i="76"/>
  <c r="L354" i="76"/>
  <c r="K354" i="76"/>
  <c r="J354" i="76"/>
  <c r="I354" i="76"/>
  <c r="L353" i="76"/>
  <c r="K353" i="76"/>
  <c r="J353" i="76"/>
  <c r="I353" i="76"/>
  <c r="L352" i="76"/>
  <c r="K352" i="76"/>
  <c r="J352" i="76"/>
  <c r="I352" i="76"/>
  <c r="L351" i="76"/>
  <c r="K351" i="76"/>
  <c r="J351" i="76"/>
  <c r="I351" i="76"/>
  <c r="L350" i="76"/>
  <c r="K350" i="76"/>
  <c r="J350" i="76"/>
  <c r="I350" i="76"/>
  <c r="L349" i="76"/>
  <c r="K349" i="76"/>
  <c r="J349" i="76"/>
  <c r="I349" i="76"/>
  <c r="L348" i="76"/>
  <c r="K348" i="76"/>
  <c r="J348" i="76"/>
  <c r="I348" i="76"/>
  <c r="L347" i="76"/>
  <c r="K347" i="76"/>
  <c r="J347" i="76"/>
  <c r="I347" i="76"/>
  <c r="L346" i="76"/>
  <c r="K346" i="76"/>
  <c r="J346" i="76"/>
  <c r="I346" i="76"/>
  <c r="L345" i="76"/>
  <c r="K345" i="76"/>
  <c r="J345" i="76"/>
  <c r="I345" i="76"/>
  <c r="L344" i="76"/>
  <c r="K344" i="76"/>
  <c r="J344" i="76"/>
  <c r="I344" i="76"/>
  <c r="L343" i="76"/>
  <c r="K343" i="76"/>
  <c r="J343" i="76"/>
  <c r="I343" i="76"/>
  <c r="L342" i="76"/>
  <c r="K342" i="76"/>
  <c r="J342" i="76"/>
  <c r="I342" i="76"/>
  <c r="L341" i="76"/>
  <c r="K341" i="76"/>
  <c r="J341" i="76"/>
  <c r="I341" i="76"/>
  <c r="L340" i="76"/>
  <c r="K340" i="76"/>
  <c r="J340" i="76"/>
  <c r="I340" i="76"/>
  <c r="L339" i="76"/>
  <c r="K339" i="76"/>
  <c r="J339" i="76"/>
  <c r="I339" i="76"/>
  <c r="L338" i="76"/>
  <c r="K338" i="76"/>
  <c r="J338" i="76"/>
  <c r="I338" i="76"/>
  <c r="L337" i="76"/>
  <c r="K337" i="76"/>
  <c r="J337" i="76"/>
  <c r="I337" i="76"/>
  <c r="L336" i="76"/>
  <c r="K336" i="76"/>
  <c r="J336" i="76"/>
  <c r="I336" i="76"/>
  <c r="L335" i="76"/>
  <c r="K335" i="76"/>
  <c r="J335" i="76"/>
  <c r="I335" i="76"/>
  <c r="L334" i="76"/>
  <c r="K334" i="76"/>
  <c r="J334" i="76"/>
  <c r="I334" i="76"/>
  <c r="L333" i="76"/>
  <c r="K333" i="76"/>
  <c r="J333" i="76"/>
  <c r="I333" i="76"/>
  <c r="L332" i="76"/>
  <c r="K332" i="76"/>
  <c r="J332" i="76"/>
  <c r="I332" i="76"/>
  <c r="L331" i="76"/>
  <c r="K331" i="76"/>
  <c r="J331" i="76"/>
  <c r="I331" i="76"/>
  <c r="L330" i="76"/>
  <c r="K330" i="76"/>
  <c r="J330" i="76"/>
  <c r="I330" i="76"/>
  <c r="L329" i="76"/>
  <c r="K329" i="76"/>
  <c r="J329" i="76"/>
  <c r="I329" i="76"/>
  <c r="L328" i="76"/>
  <c r="K328" i="76"/>
  <c r="J328" i="76"/>
  <c r="I328" i="76"/>
  <c r="L327" i="76"/>
  <c r="K327" i="76"/>
  <c r="J327" i="76"/>
  <c r="I327" i="76"/>
  <c r="L326" i="76"/>
  <c r="K326" i="76"/>
  <c r="J326" i="76"/>
  <c r="I326" i="76"/>
  <c r="L325" i="76"/>
  <c r="K325" i="76"/>
  <c r="J325" i="76"/>
  <c r="I325" i="76"/>
  <c r="L324" i="76"/>
  <c r="K324" i="76"/>
  <c r="J324" i="76"/>
  <c r="I324" i="76"/>
  <c r="L323" i="76"/>
  <c r="K323" i="76"/>
  <c r="J323" i="76"/>
  <c r="I323" i="76"/>
  <c r="L322" i="76"/>
  <c r="K322" i="76"/>
  <c r="J322" i="76"/>
  <c r="I322" i="76"/>
  <c r="L321" i="76"/>
  <c r="K321" i="76"/>
  <c r="J321" i="76"/>
  <c r="I321" i="76"/>
  <c r="L320" i="76"/>
  <c r="K320" i="76"/>
  <c r="J320" i="76"/>
  <c r="I320" i="76"/>
  <c r="L319" i="76"/>
  <c r="K319" i="76"/>
  <c r="J319" i="76"/>
  <c r="I319" i="76"/>
  <c r="L318" i="76"/>
  <c r="K318" i="76"/>
  <c r="J318" i="76"/>
  <c r="I318" i="76"/>
  <c r="L317" i="76"/>
  <c r="K317" i="76"/>
  <c r="J317" i="76"/>
  <c r="I317" i="76"/>
  <c r="L316" i="76"/>
  <c r="K316" i="76"/>
  <c r="J316" i="76"/>
  <c r="I316" i="76"/>
  <c r="L315" i="76"/>
  <c r="K315" i="76"/>
  <c r="J315" i="76"/>
  <c r="I315" i="76"/>
  <c r="L314" i="76"/>
  <c r="K314" i="76"/>
  <c r="J314" i="76"/>
  <c r="I314" i="76"/>
  <c r="L313" i="76"/>
  <c r="K313" i="76"/>
  <c r="J313" i="76"/>
  <c r="I313" i="76"/>
  <c r="L312" i="76"/>
  <c r="K312" i="76"/>
  <c r="J312" i="76"/>
  <c r="I312" i="76"/>
  <c r="L311" i="76"/>
  <c r="K311" i="76"/>
  <c r="J311" i="76"/>
  <c r="I311" i="76"/>
  <c r="L310" i="76"/>
  <c r="K310" i="76"/>
  <c r="J310" i="76"/>
  <c r="I310" i="76"/>
  <c r="L309" i="76"/>
  <c r="K309" i="76"/>
  <c r="J309" i="76"/>
  <c r="I309" i="76"/>
  <c r="L308" i="76"/>
  <c r="K308" i="76"/>
  <c r="J308" i="76"/>
  <c r="I308" i="76"/>
  <c r="L307" i="76"/>
  <c r="K307" i="76"/>
  <c r="J307" i="76"/>
  <c r="I307" i="76"/>
  <c r="L306" i="76"/>
  <c r="K306" i="76"/>
  <c r="J306" i="76"/>
  <c r="I306" i="76"/>
  <c r="L305" i="76"/>
  <c r="K305" i="76"/>
  <c r="J305" i="76"/>
  <c r="I305" i="76"/>
  <c r="L304" i="76"/>
  <c r="K304" i="76"/>
  <c r="J304" i="76"/>
  <c r="I304" i="76"/>
  <c r="L303" i="76"/>
  <c r="K303" i="76"/>
  <c r="J303" i="76"/>
  <c r="I303" i="76"/>
  <c r="L302" i="76"/>
  <c r="K302" i="76"/>
  <c r="J302" i="76"/>
  <c r="I302" i="76"/>
  <c r="L301" i="76"/>
  <c r="K301" i="76"/>
  <c r="J301" i="76"/>
  <c r="I301" i="76"/>
  <c r="L300" i="76"/>
  <c r="K300" i="76"/>
  <c r="J300" i="76"/>
  <c r="I300" i="76"/>
  <c r="L299" i="76"/>
  <c r="K299" i="76"/>
  <c r="J299" i="76"/>
  <c r="I299" i="76"/>
  <c r="L298" i="76"/>
  <c r="K298" i="76"/>
  <c r="J298" i="76"/>
  <c r="I298" i="76"/>
  <c r="L297" i="76"/>
  <c r="K297" i="76"/>
  <c r="J297" i="76"/>
  <c r="I297" i="76"/>
  <c r="L296" i="76"/>
  <c r="K296" i="76"/>
  <c r="J296" i="76"/>
  <c r="I296" i="76"/>
  <c r="L295" i="76"/>
  <c r="K295" i="76"/>
  <c r="J295" i="76"/>
  <c r="I295" i="76"/>
  <c r="L294" i="76"/>
  <c r="K294" i="76"/>
  <c r="J294" i="76"/>
  <c r="I294" i="76"/>
  <c r="L293" i="76"/>
  <c r="K293" i="76"/>
  <c r="J293" i="76"/>
  <c r="I293" i="76"/>
  <c r="L292" i="76"/>
  <c r="K292" i="76"/>
  <c r="J292" i="76"/>
  <c r="I292" i="76"/>
  <c r="L291" i="76"/>
  <c r="K291" i="76"/>
  <c r="J291" i="76"/>
  <c r="I291" i="76"/>
  <c r="L290" i="76"/>
  <c r="K290" i="76"/>
  <c r="J290" i="76"/>
  <c r="I290" i="76"/>
  <c r="L289" i="76"/>
  <c r="K289" i="76"/>
  <c r="J289" i="76"/>
  <c r="I289" i="76"/>
  <c r="L288" i="76"/>
  <c r="K288" i="76"/>
  <c r="J288" i="76"/>
  <c r="I288" i="76"/>
  <c r="L287" i="76"/>
  <c r="K287" i="76"/>
  <c r="J287" i="76"/>
  <c r="I287" i="76"/>
  <c r="L286" i="76"/>
  <c r="K286" i="76"/>
  <c r="J286" i="76"/>
  <c r="I286" i="76"/>
  <c r="L285" i="76"/>
  <c r="K285" i="76"/>
  <c r="J285" i="76"/>
  <c r="I285" i="76"/>
  <c r="L284" i="76"/>
  <c r="K284" i="76"/>
  <c r="J284" i="76"/>
  <c r="I284" i="76"/>
  <c r="L283" i="76"/>
  <c r="K283" i="76"/>
  <c r="J283" i="76"/>
  <c r="I283" i="76"/>
  <c r="L282" i="76"/>
  <c r="K282" i="76"/>
  <c r="J282" i="76"/>
  <c r="I282" i="76"/>
  <c r="L281" i="76"/>
  <c r="K281" i="76"/>
  <c r="J281" i="76"/>
  <c r="I281" i="76"/>
  <c r="L280" i="76"/>
  <c r="K280" i="76"/>
  <c r="J280" i="76"/>
  <c r="I280" i="76"/>
  <c r="L279" i="76"/>
  <c r="K279" i="76"/>
  <c r="J279" i="76"/>
  <c r="I279" i="76"/>
  <c r="L278" i="76"/>
  <c r="K278" i="76"/>
  <c r="J278" i="76"/>
  <c r="I278" i="76"/>
  <c r="L277" i="76"/>
  <c r="K277" i="76"/>
  <c r="J277" i="76"/>
  <c r="I277" i="76"/>
  <c r="L276" i="76"/>
  <c r="K276" i="76"/>
  <c r="J276" i="76"/>
  <c r="I276" i="76"/>
  <c r="L275" i="76"/>
  <c r="K275" i="76"/>
  <c r="J275" i="76"/>
  <c r="I275" i="76"/>
  <c r="L274" i="76"/>
  <c r="K274" i="76"/>
  <c r="J274" i="76"/>
  <c r="I274" i="76"/>
  <c r="L273" i="76"/>
  <c r="K273" i="76"/>
  <c r="J273" i="76"/>
  <c r="I273" i="76"/>
  <c r="L272" i="76"/>
  <c r="K272" i="76"/>
  <c r="J272" i="76"/>
  <c r="I272" i="76"/>
  <c r="L271" i="76"/>
  <c r="K271" i="76"/>
  <c r="J271" i="76"/>
  <c r="I271" i="76"/>
  <c r="L270" i="76"/>
  <c r="K270" i="76"/>
  <c r="J270" i="76"/>
  <c r="I270" i="76"/>
  <c r="L269" i="76"/>
  <c r="K269" i="76"/>
  <c r="J269" i="76"/>
  <c r="I269" i="76"/>
  <c r="L268" i="76"/>
  <c r="K268" i="76"/>
  <c r="J268" i="76"/>
  <c r="I268" i="76"/>
  <c r="L267" i="76"/>
  <c r="K267" i="76"/>
  <c r="J267" i="76"/>
  <c r="I267" i="76"/>
  <c r="L266" i="76"/>
  <c r="K266" i="76"/>
  <c r="J266" i="76"/>
  <c r="I266" i="76"/>
  <c r="L265" i="76"/>
  <c r="K265" i="76"/>
  <c r="J265" i="76"/>
  <c r="I265" i="76"/>
  <c r="L264" i="76"/>
  <c r="K264" i="76"/>
  <c r="J264" i="76"/>
  <c r="I264" i="76"/>
  <c r="L263" i="76"/>
  <c r="K263" i="76"/>
  <c r="J263" i="76"/>
  <c r="I263" i="76"/>
  <c r="L262" i="76"/>
  <c r="K262" i="76"/>
  <c r="J262" i="76"/>
  <c r="I262" i="76"/>
  <c r="L261" i="76"/>
  <c r="K261" i="76"/>
  <c r="J261" i="76"/>
  <c r="I261" i="76"/>
  <c r="L260" i="76"/>
  <c r="K260" i="76"/>
  <c r="J260" i="76"/>
  <c r="I260" i="76"/>
  <c r="L259" i="76"/>
  <c r="K259" i="76"/>
  <c r="J259" i="76"/>
  <c r="I259" i="76"/>
  <c r="L258" i="76"/>
  <c r="K258" i="76"/>
  <c r="J258" i="76"/>
  <c r="I258" i="76"/>
  <c r="L257" i="76"/>
  <c r="K257" i="76"/>
  <c r="J257" i="76"/>
  <c r="I257" i="76"/>
  <c r="L256" i="76"/>
  <c r="K256" i="76"/>
  <c r="J256" i="76"/>
  <c r="I256" i="76"/>
  <c r="L255" i="76"/>
  <c r="K255" i="76"/>
  <c r="J255" i="76"/>
  <c r="I255" i="76"/>
  <c r="L254" i="76"/>
  <c r="K254" i="76"/>
  <c r="J254" i="76"/>
  <c r="I254" i="76"/>
  <c r="L253" i="76"/>
  <c r="K253" i="76"/>
  <c r="J253" i="76"/>
  <c r="I253" i="76"/>
  <c r="L252" i="76"/>
  <c r="K252" i="76"/>
  <c r="J252" i="76"/>
  <c r="I252" i="76"/>
  <c r="L251" i="76"/>
  <c r="K251" i="76"/>
  <c r="J251" i="76"/>
  <c r="I251" i="76"/>
  <c r="L250" i="76"/>
  <c r="K250" i="76"/>
  <c r="J250" i="76"/>
  <c r="I250" i="76"/>
  <c r="L249" i="76"/>
  <c r="K249" i="76"/>
  <c r="J249" i="76"/>
  <c r="I249" i="76"/>
  <c r="L248" i="76"/>
  <c r="K248" i="76"/>
  <c r="J248" i="76"/>
  <c r="I248" i="76"/>
  <c r="L247" i="76"/>
  <c r="K247" i="76"/>
  <c r="J247" i="76"/>
  <c r="I247" i="76"/>
  <c r="L246" i="76"/>
  <c r="K246" i="76"/>
  <c r="J246" i="76"/>
  <c r="I246" i="76"/>
  <c r="L245" i="76"/>
  <c r="K245" i="76"/>
  <c r="J245" i="76"/>
  <c r="I245" i="76"/>
  <c r="L244" i="76"/>
  <c r="K244" i="76"/>
  <c r="J244" i="76"/>
  <c r="I244" i="76"/>
  <c r="L243" i="76"/>
  <c r="K243" i="76"/>
  <c r="J243" i="76"/>
  <c r="I243" i="76"/>
  <c r="L242" i="76"/>
  <c r="K242" i="76"/>
  <c r="J242" i="76"/>
  <c r="I242" i="76"/>
  <c r="L241" i="76"/>
  <c r="K241" i="76"/>
  <c r="J241" i="76"/>
  <c r="I241" i="76"/>
  <c r="L240" i="76"/>
  <c r="K240" i="76"/>
  <c r="J240" i="76"/>
  <c r="I240" i="76"/>
  <c r="L239" i="76"/>
  <c r="K239" i="76"/>
  <c r="J239" i="76"/>
  <c r="I239" i="76"/>
  <c r="L238" i="76"/>
  <c r="K238" i="76"/>
  <c r="J238" i="76"/>
  <c r="I238" i="76"/>
  <c r="L237" i="76"/>
  <c r="K237" i="76"/>
  <c r="J237" i="76"/>
  <c r="I237" i="76"/>
  <c r="L236" i="76"/>
  <c r="K236" i="76"/>
  <c r="J236" i="76"/>
  <c r="I236" i="76"/>
  <c r="L235" i="76"/>
  <c r="K235" i="76"/>
  <c r="J235" i="76"/>
  <c r="I235" i="76"/>
  <c r="L234" i="76"/>
  <c r="K234" i="76"/>
  <c r="J234" i="76"/>
  <c r="I234" i="76"/>
  <c r="L233" i="76"/>
  <c r="K233" i="76"/>
  <c r="J233" i="76"/>
  <c r="I233" i="76"/>
  <c r="L232" i="76"/>
  <c r="K232" i="76"/>
  <c r="J232" i="76"/>
  <c r="I232" i="76"/>
  <c r="L231" i="76"/>
  <c r="K231" i="76"/>
  <c r="J231" i="76"/>
  <c r="I231" i="76"/>
  <c r="L230" i="76"/>
  <c r="K230" i="76"/>
  <c r="J230" i="76"/>
  <c r="I230" i="76"/>
  <c r="L229" i="76"/>
  <c r="K229" i="76"/>
  <c r="J229" i="76"/>
  <c r="I229" i="76"/>
  <c r="L228" i="76"/>
  <c r="K228" i="76"/>
  <c r="J228" i="76"/>
  <c r="I228" i="76"/>
  <c r="L227" i="76"/>
  <c r="K227" i="76"/>
  <c r="J227" i="76"/>
  <c r="I227" i="76"/>
  <c r="L226" i="76"/>
  <c r="K226" i="76"/>
  <c r="J226" i="76"/>
  <c r="I226" i="76"/>
  <c r="L225" i="76"/>
  <c r="K225" i="76"/>
  <c r="J225" i="76"/>
  <c r="I225" i="76"/>
  <c r="L224" i="76"/>
  <c r="K224" i="76"/>
  <c r="J224" i="76"/>
  <c r="I224" i="76"/>
  <c r="L223" i="76"/>
  <c r="K223" i="76"/>
  <c r="J223" i="76"/>
  <c r="I223" i="76"/>
  <c r="L222" i="76"/>
  <c r="K222" i="76"/>
  <c r="J222" i="76"/>
  <c r="I222" i="76"/>
  <c r="L221" i="76"/>
  <c r="K221" i="76"/>
  <c r="J221" i="76"/>
  <c r="I221" i="76"/>
  <c r="L220" i="76"/>
  <c r="K220" i="76"/>
  <c r="J220" i="76"/>
  <c r="I220" i="76"/>
  <c r="L219" i="76"/>
  <c r="K219" i="76"/>
  <c r="J219" i="76"/>
  <c r="I219" i="76"/>
  <c r="L218" i="76"/>
  <c r="K218" i="76"/>
  <c r="J218" i="76"/>
  <c r="I218" i="76"/>
  <c r="L217" i="76"/>
  <c r="K217" i="76"/>
  <c r="J217" i="76"/>
  <c r="I217" i="76"/>
  <c r="L216" i="76"/>
  <c r="K216" i="76"/>
  <c r="J216" i="76"/>
  <c r="I216" i="76"/>
  <c r="L215" i="76"/>
  <c r="K215" i="76"/>
  <c r="J215" i="76"/>
  <c r="I215" i="76"/>
  <c r="L214" i="76"/>
  <c r="K214" i="76"/>
  <c r="J214" i="76"/>
  <c r="I214" i="76"/>
  <c r="L213" i="76"/>
  <c r="K213" i="76"/>
  <c r="J213" i="76"/>
  <c r="I213" i="76"/>
  <c r="L212" i="76"/>
  <c r="K212" i="76"/>
  <c r="J212" i="76"/>
  <c r="I212" i="76"/>
  <c r="L211" i="76"/>
  <c r="K211" i="76"/>
  <c r="J211" i="76"/>
  <c r="I211" i="76"/>
  <c r="L210" i="76"/>
  <c r="K210" i="76"/>
  <c r="J210" i="76"/>
  <c r="I210" i="76"/>
  <c r="L209" i="76"/>
  <c r="K209" i="76"/>
  <c r="J209" i="76"/>
  <c r="I209" i="76"/>
  <c r="L208" i="76"/>
  <c r="K208" i="76"/>
  <c r="J208" i="76"/>
  <c r="I208" i="76"/>
  <c r="L207" i="76"/>
  <c r="K207" i="76"/>
  <c r="J207" i="76"/>
  <c r="I207" i="76"/>
  <c r="L206" i="76"/>
  <c r="K206" i="76"/>
  <c r="J206" i="76"/>
  <c r="I206" i="76"/>
  <c r="L205" i="76"/>
  <c r="K205" i="76"/>
  <c r="J205" i="76"/>
  <c r="I205" i="76"/>
  <c r="L204" i="76"/>
  <c r="K204" i="76"/>
  <c r="J204" i="76"/>
  <c r="I204" i="76"/>
  <c r="L203" i="76"/>
  <c r="K203" i="76"/>
  <c r="J203" i="76"/>
  <c r="I203" i="76"/>
  <c r="L202" i="76"/>
  <c r="K202" i="76"/>
  <c r="J202" i="76"/>
  <c r="I202" i="76"/>
  <c r="L201" i="76"/>
  <c r="K201" i="76"/>
  <c r="J201" i="76"/>
  <c r="I201" i="76"/>
  <c r="L200" i="76"/>
  <c r="K200" i="76"/>
  <c r="J200" i="76"/>
  <c r="I200" i="76"/>
  <c r="L199" i="76"/>
  <c r="K199" i="76"/>
  <c r="J199" i="76"/>
  <c r="I199" i="76"/>
  <c r="L198" i="76"/>
  <c r="K198" i="76"/>
  <c r="J198" i="76"/>
  <c r="I198" i="76"/>
  <c r="L197" i="76"/>
  <c r="K197" i="76"/>
  <c r="J197" i="76"/>
  <c r="I197" i="76"/>
  <c r="L196" i="76"/>
  <c r="K196" i="76"/>
  <c r="J196" i="76"/>
  <c r="I196" i="76"/>
  <c r="L195" i="76"/>
  <c r="K195" i="76"/>
  <c r="J195" i="76"/>
  <c r="I195" i="76"/>
  <c r="L194" i="76"/>
  <c r="K194" i="76"/>
  <c r="J194" i="76"/>
  <c r="I194" i="76"/>
  <c r="L193" i="76"/>
  <c r="K193" i="76"/>
  <c r="J193" i="76"/>
  <c r="I193" i="76"/>
  <c r="L192" i="76"/>
  <c r="K192" i="76"/>
  <c r="J192" i="76"/>
  <c r="I192" i="76"/>
  <c r="L191" i="76"/>
  <c r="K191" i="76"/>
  <c r="J191" i="76"/>
  <c r="I191" i="76"/>
  <c r="L190" i="76"/>
  <c r="K190" i="76"/>
  <c r="J190" i="76"/>
  <c r="I190" i="76"/>
  <c r="L189" i="76"/>
  <c r="K189" i="76"/>
  <c r="J189" i="76"/>
  <c r="I189" i="76"/>
  <c r="L188" i="76"/>
  <c r="K188" i="76"/>
  <c r="J188" i="76"/>
  <c r="I188" i="76"/>
  <c r="L187" i="76"/>
  <c r="K187" i="76"/>
  <c r="J187" i="76"/>
  <c r="I187" i="76"/>
  <c r="L186" i="76"/>
  <c r="K186" i="76"/>
  <c r="J186" i="76"/>
  <c r="I186" i="76"/>
  <c r="L185" i="76"/>
  <c r="K185" i="76"/>
  <c r="J185" i="76"/>
  <c r="I185" i="76"/>
  <c r="L184" i="76"/>
  <c r="K184" i="76"/>
  <c r="J184" i="76"/>
  <c r="I184" i="76"/>
  <c r="L183" i="76"/>
  <c r="K183" i="76"/>
  <c r="J183" i="76"/>
  <c r="I183" i="76"/>
  <c r="L182" i="76"/>
  <c r="K182" i="76"/>
  <c r="J182" i="76"/>
  <c r="I182" i="76"/>
  <c r="L181" i="76"/>
  <c r="K181" i="76"/>
  <c r="J181" i="76"/>
  <c r="I181" i="76"/>
  <c r="L180" i="76"/>
  <c r="K180" i="76"/>
  <c r="J180" i="76"/>
  <c r="I180" i="76"/>
  <c r="L179" i="76"/>
  <c r="K179" i="76"/>
  <c r="J179" i="76"/>
  <c r="I179" i="76"/>
  <c r="L178" i="76"/>
  <c r="K178" i="76"/>
  <c r="J178" i="76"/>
  <c r="I178" i="76"/>
  <c r="L177" i="76"/>
  <c r="K177" i="76"/>
  <c r="J177" i="76"/>
  <c r="I177" i="76"/>
  <c r="L176" i="76"/>
  <c r="K176" i="76"/>
  <c r="J176" i="76"/>
  <c r="I176" i="76"/>
  <c r="L175" i="76"/>
  <c r="K175" i="76"/>
  <c r="J175" i="76"/>
  <c r="I175" i="76"/>
  <c r="L174" i="76"/>
  <c r="K174" i="76"/>
  <c r="J174" i="76"/>
  <c r="I174" i="76"/>
  <c r="L173" i="76"/>
  <c r="K173" i="76"/>
  <c r="J173" i="76"/>
  <c r="I173" i="76"/>
  <c r="L172" i="76"/>
  <c r="K172" i="76"/>
  <c r="J172" i="76"/>
  <c r="I172" i="76"/>
  <c r="L171" i="76"/>
  <c r="K171" i="76"/>
  <c r="J171" i="76"/>
  <c r="I171" i="76"/>
  <c r="L170" i="76"/>
  <c r="K170" i="76"/>
  <c r="J170" i="76"/>
  <c r="I170" i="76"/>
  <c r="L169" i="76"/>
  <c r="K169" i="76"/>
  <c r="J169" i="76"/>
  <c r="I169" i="76"/>
  <c r="L168" i="76"/>
  <c r="K168" i="76"/>
  <c r="J168" i="76"/>
  <c r="I168" i="76"/>
  <c r="L167" i="76"/>
  <c r="K167" i="76"/>
  <c r="J167" i="76"/>
  <c r="I167" i="76"/>
  <c r="L166" i="76"/>
  <c r="K166" i="76"/>
  <c r="J166" i="76"/>
  <c r="I166" i="76"/>
  <c r="L165" i="76"/>
  <c r="K165" i="76"/>
  <c r="J165" i="76"/>
  <c r="I165" i="76"/>
  <c r="L164" i="76"/>
  <c r="K164" i="76"/>
  <c r="J164" i="76"/>
  <c r="I164" i="76"/>
  <c r="L163" i="76"/>
  <c r="K163" i="76"/>
  <c r="J163" i="76"/>
  <c r="I163" i="76"/>
  <c r="L162" i="76"/>
  <c r="K162" i="76"/>
  <c r="J162" i="76"/>
  <c r="I162" i="76"/>
  <c r="L161" i="76"/>
  <c r="K161" i="76"/>
  <c r="J161" i="76"/>
  <c r="I161" i="76"/>
  <c r="L160" i="76"/>
  <c r="K160" i="76"/>
  <c r="J160" i="76"/>
  <c r="I160" i="76"/>
  <c r="L159" i="76"/>
  <c r="K159" i="76"/>
  <c r="J159" i="76"/>
  <c r="I159" i="76"/>
  <c r="L158" i="76"/>
  <c r="K158" i="76"/>
  <c r="J158" i="76"/>
  <c r="I158" i="76"/>
  <c r="L157" i="76"/>
  <c r="K157" i="76"/>
  <c r="J157" i="76"/>
  <c r="I157" i="76"/>
  <c r="L156" i="76"/>
  <c r="K156" i="76"/>
  <c r="J156" i="76"/>
  <c r="I156" i="76"/>
  <c r="L155" i="76"/>
  <c r="K155" i="76"/>
  <c r="J155" i="76"/>
  <c r="I155" i="76"/>
  <c r="L154" i="76"/>
  <c r="K154" i="76"/>
  <c r="J154" i="76"/>
  <c r="I154" i="76"/>
  <c r="L153" i="76"/>
  <c r="K153" i="76"/>
  <c r="J153" i="76"/>
  <c r="I153" i="76"/>
  <c r="L152" i="76"/>
  <c r="K152" i="76"/>
  <c r="J152" i="76"/>
  <c r="I152" i="76"/>
  <c r="L151" i="76"/>
  <c r="K151" i="76"/>
  <c r="J151" i="76"/>
  <c r="I151" i="76"/>
  <c r="L150" i="76"/>
  <c r="K150" i="76"/>
  <c r="J150" i="76"/>
  <c r="I150" i="76"/>
  <c r="L149" i="76"/>
  <c r="K149" i="76"/>
  <c r="J149" i="76"/>
  <c r="I149" i="76"/>
  <c r="L148" i="76"/>
  <c r="K148" i="76"/>
  <c r="J148" i="76"/>
  <c r="I148" i="76"/>
  <c r="L147" i="76"/>
  <c r="K147" i="76"/>
  <c r="J147" i="76"/>
  <c r="I147" i="76"/>
  <c r="L146" i="76"/>
  <c r="K146" i="76"/>
  <c r="J146" i="76"/>
  <c r="I146" i="76"/>
  <c r="L145" i="76"/>
  <c r="K145" i="76"/>
  <c r="J145" i="76"/>
  <c r="I145" i="76"/>
  <c r="L144" i="76"/>
  <c r="K144" i="76"/>
  <c r="J144" i="76"/>
  <c r="I144" i="76"/>
  <c r="L143" i="76"/>
  <c r="K143" i="76"/>
  <c r="J143" i="76"/>
  <c r="I143" i="76"/>
  <c r="L142" i="76"/>
  <c r="K142" i="76"/>
  <c r="J142" i="76"/>
  <c r="I142" i="76"/>
  <c r="L141" i="76"/>
  <c r="K141" i="76"/>
  <c r="J141" i="76"/>
  <c r="I141" i="76"/>
  <c r="L140" i="76"/>
  <c r="K140" i="76"/>
  <c r="J140" i="76"/>
  <c r="I140" i="76"/>
  <c r="L139" i="76"/>
  <c r="K139" i="76"/>
  <c r="J139" i="76"/>
  <c r="I139" i="76"/>
  <c r="L138" i="76"/>
  <c r="K138" i="76"/>
  <c r="J138" i="76"/>
  <c r="I138" i="76"/>
  <c r="L137" i="76"/>
  <c r="K137" i="76"/>
  <c r="J137" i="76"/>
  <c r="I137" i="76"/>
  <c r="L136" i="76"/>
  <c r="K136" i="76"/>
  <c r="J136" i="76"/>
  <c r="I136" i="76"/>
  <c r="L135" i="76"/>
  <c r="K135" i="76"/>
  <c r="J135" i="76"/>
  <c r="I135" i="76"/>
  <c r="L134" i="76"/>
  <c r="K134" i="76"/>
  <c r="J134" i="76"/>
  <c r="I134" i="76"/>
  <c r="L133" i="76"/>
  <c r="K133" i="76"/>
  <c r="J133" i="76"/>
  <c r="I133" i="76"/>
  <c r="L132" i="76"/>
  <c r="K132" i="76"/>
  <c r="J132" i="76"/>
  <c r="I132" i="76"/>
  <c r="L131" i="76"/>
  <c r="K131" i="76"/>
  <c r="J131" i="76"/>
  <c r="I131" i="76"/>
  <c r="L130" i="76"/>
  <c r="K130" i="76"/>
  <c r="J130" i="76"/>
  <c r="I130" i="76"/>
  <c r="L129" i="76"/>
  <c r="K129" i="76"/>
  <c r="J129" i="76"/>
  <c r="I129" i="76"/>
  <c r="L128" i="76"/>
  <c r="K128" i="76"/>
  <c r="J128" i="76"/>
  <c r="I128" i="76"/>
  <c r="L127" i="76"/>
  <c r="K127" i="76"/>
  <c r="J127" i="76"/>
  <c r="I127" i="76"/>
  <c r="L126" i="76"/>
  <c r="K126" i="76"/>
  <c r="J126" i="76"/>
  <c r="I126" i="76"/>
  <c r="L125" i="76"/>
  <c r="K125" i="76"/>
  <c r="J125" i="76"/>
  <c r="I125" i="76"/>
  <c r="L124" i="76"/>
  <c r="K124" i="76"/>
  <c r="J124" i="76"/>
  <c r="I124" i="76"/>
  <c r="L123" i="76"/>
  <c r="K123" i="76"/>
  <c r="J123" i="76"/>
  <c r="I123" i="76"/>
  <c r="L122" i="76"/>
  <c r="K122" i="76"/>
  <c r="J122" i="76"/>
  <c r="I122" i="76"/>
  <c r="L121" i="76"/>
  <c r="K121" i="76"/>
  <c r="J121" i="76"/>
  <c r="I121" i="76"/>
  <c r="L120" i="76"/>
  <c r="K120" i="76"/>
  <c r="J120" i="76"/>
  <c r="I120" i="76"/>
  <c r="L119" i="76"/>
  <c r="K119" i="76"/>
  <c r="J119" i="76"/>
  <c r="I119" i="76"/>
  <c r="L118" i="76"/>
  <c r="K118" i="76"/>
  <c r="J118" i="76"/>
  <c r="I118" i="76"/>
  <c r="L117" i="76"/>
  <c r="K117" i="76"/>
  <c r="J117" i="76"/>
  <c r="I117" i="76"/>
  <c r="L116" i="76"/>
  <c r="K116" i="76"/>
  <c r="J116" i="76"/>
  <c r="I116" i="76"/>
  <c r="L115" i="76"/>
  <c r="K115" i="76"/>
  <c r="J115" i="76"/>
  <c r="I115" i="76"/>
  <c r="L114" i="76"/>
  <c r="K114" i="76"/>
  <c r="J114" i="76"/>
  <c r="I114" i="76"/>
  <c r="L113" i="76"/>
  <c r="K113" i="76"/>
  <c r="J113" i="76"/>
  <c r="I113" i="76"/>
  <c r="L112" i="76"/>
  <c r="K112" i="76"/>
  <c r="J112" i="76"/>
  <c r="I112" i="76"/>
  <c r="L111" i="76"/>
  <c r="K111" i="76"/>
  <c r="J111" i="76"/>
  <c r="I111" i="76"/>
  <c r="L110" i="76"/>
  <c r="K110" i="76"/>
  <c r="J110" i="76"/>
  <c r="I110" i="76"/>
  <c r="L109" i="76"/>
  <c r="K109" i="76"/>
  <c r="J109" i="76"/>
  <c r="I109" i="76"/>
  <c r="L108" i="76"/>
  <c r="K108" i="76"/>
  <c r="J108" i="76"/>
  <c r="I108" i="76"/>
  <c r="L107" i="76"/>
  <c r="K107" i="76"/>
  <c r="J107" i="76"/>
  <c r="I107" i="76"/>
  <c r="L106" i="76"/>
  <c r="K106" i="76"/>
  <c r="J106" i="76"/>
  <c r="I106" i="76"/>
  <c r="L105" i="76"/>
  <c r="K105" i="76"/>
  <c r="J105" i="76"/>
  <c r="I105" i="76"/>
  <c r="L104" i="76"/>
  <c r="K104" i="76"/>
  <c r="J104" i="76"/>
  <c r="I104" i="76"/>
  <c r="L103" i="76"/>
  <c r="K103" i="76"/>
  <c r="J103" i="76"/>
  <c r="I103" i="76"/>
  <c r="L102" i="76"/>
  <c r="K102" i="76"/>
  <c r="J102" i="76"/>
  <c r="I102" i="76"/>
  <c r="L101" i="76"/>
  <c r="K101" i="76"/>
  <c r="J101" i="76"/>
  <c r="I101" i="76"/>
  <c r="L100" i="76"/>
  <c r="K100" i="76"/>
  <c r="J100" i="76"/>
  <c r="I100" i="76"/>
  <c r="L99" i="76"/>
  <c r="K99" i="76"/>
  <c r="J99" i="76"/>
  <c r="I99" i="76"/>
  <c r="L98" i="76"/>
  <c r="K98" i="76"/>
  <c r="J98" i="76"/>
  <c r="I98" i="76"/>
  <c r="L97" i="76"/>
  <c r="K97" i="76"/>
  <c r="J97" i="76"/>
  <c r="I97" i="76"/>
  <c r="L96" i="76"/>
  <c r="K96" i="76"/>
  <c r="J96" i="76"/>
  <c r="I96" i="76"/>
  <c r="L95" i="76"/>
  <c r="K95" i="76"/>
  <c r="J95" i="76"/>
  <c r="I95" i="76"/>
  <c r="L94" i="76"/>
  <c r="K94" i="76"/>
  <c r="J94" i="76"/>
  <c r="I94" i="76"/>
  <c r="L93" i="76"/>
  <c r="K93" i="76"/>
  <c r="J93" i="76"/>
  <c r="I93" i="76"/>
  <c r="L92" i="76"/>
  <c r="K92" i="76"/>
  <c r="J92" i="76"/>
  <c r="I92" i="76"/>
  <c r="L91" i="76"/>
  <c r="K91" i="76"/>
  <c r="J91" i="76"/>
  <c r="I91" i="76"/>
  <c r="L90" i="76"/>
  <c r="K90" i="76"/>
  <c r="J90" i="76"/>
  <c r="I90" i="76"/>
  <c r="L89" i="76"/>
  <c r="K89" i="76"/>
  <c r="J89" i="76"/>
  <c r="I89" i="76"/>
  <c r="L88" i="76"/>
  <c r="K88" i="76"/>
  <c r="J88" i="76"/>
  <c r="I88" i="76"/>
  <c r="L87" i="76"/>
  <c r="K87" i="76"/>
  <c r="J87" i="76"/>
  <c r="I87" i="76"/>
  <c r="L86" i="76"/>
  <c r="K86" i="76"/>
  <c r="J86" i="76"/>
  <c r="I86" i="76"/>
  <c r="L85" i="76"/>
  <c r="K85" i="76"/>
  <c r="J85" i="76"/>
  <c r="I85" i="76"/>
  <c r="L84" i="76"/>
  <c r="K84" i="76"/>
  <c r="J84" i="76"/>
  <c r="I84" i="76"/>
  <c r="L83" i="76"/>
  <c r="K83" i="76"/>
  <c r="J83" i="76"/>
  <c r="I83" i="76"/>
  <c r="L82" i="76"/>
  <c r="K82" i="76"/>
  <c r="J82" i="76"/>
  <c r="I82" i="76"/>
  <c r="L81" i="76"/>
  <c r="K81" i="76"/>
  <c r="J81" i="76"/>
  <c r="I81" i="76"/>
  <c r="L80" i="76"/>
  <c r="K80" i="76"/>
  <c r="J80" i="76"/>
  <c r="I80" i="76"/>
  <c r="L79" i="76"/>
  <c r="K79" i="76"/>
  <c r="J79" i="76"/>
  <c r="I79" i="76"/>
  <c r="L78" i="76"/>
  <c r="K78" i="76"/>
  <c r="J78" i="76"/>
  <c r="I78" i="76"/>
  <c r="L77" i="76"/>
  <c r="K77" i="76"/>
  <c r="J77" i="76"/>
  <c r="I77" i="76"/>
  <c r="L76" i="76"/>
  <c r="K76" i="76"/>
  <c r="J76" i="76"/>
  <c r="I76" i="76"/>
  <c r="L75" i="76"/>
  <c r="K75" i="76"/>
  <c r="J75" i="76"/>
  <c r="I75" i="76"/>
  <c r="L74" i="76"/>
  <c r="K74" i="76"/>
  <c r="J74" i="76"/>
  <c r="I74" i="76"/>
  <c r="L73" i="76"/>
  <c r="K73" i="76"/>
  <c r="J73" i="76"/>
  <c r="I73" i="76"/>
  <c r="L72" i="76"/>
  <c r="K72" i="76"/>
  <c r="J72" i="76"/>
  <c r="I72" i="76"/>
  <c r="L71" i="76"/>
  <c r="K71" i="76"/>
  <c r="J71" i="76"/>
  <c r="I71" i="76"/>
  <c r="L70" i="76"/>
  <c r="K70" i="76"/>
  <c r="J70" i="76"/>
  <c r="I70" i="76"/>
  <c r="L69" i="76"/>
  <c r="K69" i="76"/>
  <c r="J69" i="76"/>
  <c r="I69" i="76"/>
  <c r="L68" i="76"/>
  <c r="K68" i="76"/>
  <c r="J68" i="76"/>
  <c r="I68" i="76"/>
  <c r="L67" i="76"/>
  <c r="K67" i="76"/>
  <c r="J67" i="76"/>
  <c r="I67" i="76"/>
  <c r="L66" i="76"/>
  <c r="K66" i="76"/>
  <c r="J66" i="76"/>
  <c r="I66" i="76"/>
  <c r="L65" i="76"/>
  <c r="K65" i="76"/>
  <c r="J65" i="76"/>
  <c r="I65" i="76"/>
  <c r="L64" i="76"/>
  <c r="K64" i="76"/>
  <c r="J64" i="76"/>
  <c r="I64" i="76"/>
  <c r="L63" i="76"/>
  <c r="K63" i="76"/>
  <c r="J63" i="76"/>
  <c r="I63" i="76"/>
  <c r="L62" i="76"/>
  <c r="K62" i="76"/>
  <c r="J62" i="76"/>
  <c r="I62" i="76"/>
  <c r="L61" i="76"/>
  <c r="K61" i="76"/>
  <c r="J61" i="76"/>
  <c r="I61" i="76"/>
  <c r="L60" i="76"/>
  <c r="K60" i="76"/>
  <c r="J60" i="76"/>
  <c r="I60" i="76"/>
  <c r="L59" i="76"/>
  <c r="K59" i="76"/>
  <c r="J59" i="76"/>
  <c r="I59" i="76"/>
  <c r="L58" i="76"/>
  <c r="K58" i="76"/>
  <c r="J58" i="76"/>
  <c r="I58" i="76"/>
  <c r="L57" i="76"/>
  <c r="K57" i="76"/>
  <c r="J57" i="76"/>
  <c r="I57" i="76"/>
  <c r="L56" i="76"/>
  <c r="K56" i="76"/>
  <c r="J56" i="76"/>
  <c r="I56" i="76"/>
  <c r="L55" i="76"/>
  <c r="K55" i="76"/>
  <c r="J55" i="76"/>
  <c r="I55" i="76"/>
  <c r="L54" i="76"/>
  <c r="K54" i="76"/>
  <c r="J54" i="76"/>
  <c r="I54" i="76"/>
  <c r="L53" i="76"/>
  <c r="K53" i="76"/>
  <c r="J53" i="76"/>
  <c r="I53" i="76"/>
  <c r="L52" i="76"/>
  <c r="K52" i="76"/>
  <c r="J52" i="76"/>
  <c r="I52" i="76"/>
  <c r="L51" i="76"/>
  <c r="K51" i="76"/>
  <c r="J51" i="76"/>
  <c r="I51" i="76"/>
  <c r="L50" i="76"/>
  <c r="K50" i="76"/>
  <c r="J50" i="76"/>
  <c r="I50" i="76"/>
  <c r="L49" i="76"/>
  <c r="K49" i="76"/>
  <c r="J49" i="76"/>
  <c r="I49" i="76"/>
  <c r="L48" i="76"/>
  <c r="K48" i="76"/>
  <c r="J48" i="76"/>
  <c r="I48" i="76"/>
  <c r="L47" i="76"/>
  <c r="K47" i="76"/>
  <c r="J47" i="76"/>
  <c r="I47" i="76"/>
  <c r="L46" i="76"/>
  <c r="K46" i="76"/>
  <c r="J46" i="76"/>
  <c r="I46" i="76"/>
  <c r="L45" i="76"/>
  <c r="K45" i="76"/>
  <c r="J45" i="76"/>
  <c r="I45" i="76"/>
  <c r="L44" i="76"/>
  <c r="K44" i="76"/>
  <c r="J44" i="76"/>
  <c r="I44" i="76"/>
  <c r="L43" i="76"/>
  <c r="K43" i="76"/>
  <c r="J43" i="76"/>
  <c r="I43" i="76"/>
  <c r="L42" i="76"/>
  <c r="K42" i="76"/>
  <c r="J42" i="76"/>
  <c r="I42" i="76"/>
  <c r="L41" i="76"/>
  <c r="K41" i="76"/>
  <c r="J41" i="76"/>
  <c r="I41" i="76"/>
  <c r="L40" i="76"/>
  <c r="K40" i="76"/>
  <c r="J40" i="76"/>
  <c r="I40" i="76"/>
  <c r="L39" i="76"/>
  <c r="K39" i="76"/>
  <c r="J39" i="76"/>
  <c r="I39" i="76"/>
  <c r="L38" i="76"/>
  <c r="K38" i="76"/>
  <c r="J38" i="76"/>
  <c r="I38" i="76"/>
  <c r="L37" i="76"/>
  <c r="K37" i="76"/>
  <c r="J37" i="76"/>
  <c r="I37" i="76"/>
  <c r="L36" i="76"/>
  <c r="K36" i="76"/>
  <c r="J36" i="76"/>
  <c r="I36" i="76"/>
  <c r="L35" i="76"/>
  <c r="K35" i="76"/>
  <c r="J35" i="76"/>
  <c r="I35" i="76"/>
  <c r="L34" i="76"/>
  <c r="K34" i="76"/>
  <c r="J34" i="76"/>
  <c r="I34" i="76"/>
  <c r="L33" i="76"/>
  <c r="K33" i="76"/>
  <c r="J33" i="76"/>
  <c r="I33" i="76"/>
  <c r="L32" i="76"/>
  <c r="K32" i="76"/>
  <c r="J32" i="76"/>
  <c r="I32" i="76"/>
  <c r="L31" i="76"/>
  <c r="K31" i="76"/>
  <c r="J31" i="76"/>
  <c r="I31" i="76"/>
  <c r="L30" i="76"/>
  <c r="K30" i="76"/>
  <c r="J30" i="76"/>
  <c r="I30" i="76"/>
  <c r="L29" i="76"/>
  <c r="K29" i="76"/>
  <c r="J29" i="76"/>
  <c r="I29" i="76"/>
  <c r="L28" i="76"/>
  <c r="K28" i="76"/>
  <c r="J28" i="76"/>
  <c r="I28" i="76"/>
  <c r="L27" i="76"/>
  <c r="K27" i="76"/>
  <c r="J27" i="76"/>
  <c r="I27" i="76"/>
  <c r="L26" i="76"/>
  <c r="K26" i="76"/>
  <c r="J26" i="76"/>
  <c r="I26" i="76"/>
  <c r="L25" i="76"/>
  <c r="K25" i="76"/>
  <c r="J25" i="76"/>
  <c r="I25" i="76"/>
  <c r="L24" i="76"/>
  <c r="K24" i="76"/>
  <c r="J24" i="76"/>
  <c r="I24" i="76"/>
  <c r="L23" i="76"/>
  <c r="K23" i="76"/>
  <c r="J23" i="76"/>
  <c r="I23" i="76"/>
  <c r="L22" i="76"/>
  <c r="K22" i="76"/>
  <c r="J22" i="76"/>
  <c r="I22" i="76"/>
  <c r="L21" i="76"/>
  <c r="K21" i="76"/>
  <c r="J21" i="76"/>
  <c r="I21" i="76"/>
  <c r="L20" i="76"/>
  <c r="K20" i="76"/>
  <c r="J20" i="76"/>
  <c r="I20" i="76"/>
  <c r="L19" i="76"/>
  <c r="K19" i="76"/>
  <c r="J19" i="76"/>
  <c r="I19" i="76"/>
  <c r="L18" i="76"/>
  <c r="K18" i="76"/>
  <c r="J18" i="76"/>
  <c r="I18" i="76"/>
  <c r="L17" i="76"/>
  <c r="K17" i="76"/>
  <c r="J17" i="76"/>
  <c r="I17" i="76"/>
  <c r="L16" i="76"/>
  <c r="K16" i="76"/>
  <c r="J16" i="76"/>
  <c r="I16" i="76"/>
  <c r="L15" i="76"/>
  <c r="K15" i="76"/>
  <c r="J15" i="76"/>
  <c r="I15" i="76"/>
  <c r="L14" i="76"/>
  <c r="K14" i="76"/>
  <c r="J14" i="76"/>
  <c r="I14" i="76"/>
  <c r="L13" i="76"/>
  <c r="K13" i="76"/>
  <c r="J13" i="76"/>
  <c r="I13" i="76"/>
  <c r="L12" i="76"/>
  <c r="K12" i="76"/>
  <c r="J12" i="76"/>
  <c r="I12" i="76"/>
  <c r="L11" i="76"/>
  <c r="K11" i="76"/>
  <c r="J11" i="76"/>
  <c r="I11" i="76"/>
  <c r="L10" i="76"/>
  <c r="K10" i="76"/>
  <c r="J10" i="76"/>
  <c r="I10" i="76"/>
  <c r="L9" i="76"/>
  <c r="K9" i="76"/>
  <c r="J9" i="76"/>
  <c r="I9" i="76"/>
  <c r="L8" i="76"/>
  <c r="K8" i="76"/>
  <c r="J8" i="76"/>
  <c r="I8" i="76"/>
  <c r="B4" i="76"/>
  <c r="B3" i="76"/>
  <c r="A2" i="76"/>
  <c r="L500" i="28" l="1"/>
  <c r="N500" i="28"/>
  <c r="O500" i="28"/>
  <c r="N201" i="28"/>
  <c r="N202" i="28"/>
  <c r="N203" i="28"/>
  <c r="N204" i="28"/>
  <c r="N205" i="28"/>
  <c r="N206" i="28"/>
  <c r="N207" i="28"/>
  <c r="N208" i="28"/>
  <c r="N209" i="28"/>
  <c r="N210" i="28"/>
  <c r="N211" i="28"/>
  <c r="N212" i="28"/>
  <c r="N213" i="28"/>
  <c r="N214" i="28"/>
  <c r="N215" i="28"/>
  <c r="N216" i="28"/>
  <c r="N217" i="28"/>
  <c r="N218" i="28"/>
  <c r="N219" i="28"/>
  <c r="N220" i="28"/>
  <c r="N221" i="28"/>
  <c r="N222" i="28"/>
  <c r="N223" i="28"/>
  <c r="N224" i="28"/>
  <c r="N225" i="28"/>
  <c r="N226" i="28"/>
  <c r="N227" i="28"/>
  <c r="N228" i="28"/>
  <c r="N229" i="28"/>
  <c r="N230" i="28"/>
  <c r="N231" i="28"/>
  <c r="N232" i="28"/>
  <c r="N233" i="28"/>
  <c r="N234" i="28"/>
  <c r="N235" i="28"/>
  <c r="N236" i="28"/>
  <c r="N237" i="28"/>
  <c r="N238" i="28"/>
  <c r="N239" i="28"/>
  <c r="N240" i="28"/>
  <c r="N241" i="28"/>
  <c r="N242" i="28"/>
  <c r="N243" i="28"/>
  <c r="N244"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83" i="28"/>
  <c r="N284" i="28"/>
  <c r="N285" i="28"/>
  <c r="N286" i="28"/>
  <c r="N287" i="28"/>
  <c r="N288" i="28"/>
  <c r="N289" i="28"/>
  <c r="N290" i="28"/>
  <c r="N291" i="28"/>
  <c r="N292" i="28"/>
  <c r="N293" i="28"/>
  <c r="N294" i="28"/>
  <c r="N295" i="28"/>
  <c r="N296" i="28"/>
  <c r="N297" i="28"/>
  <c r="N298" i="28"/>
  <c r="N299" i="28"/>
  <c r="N300" i="28"/>
  <c r="N301" i="28"/>
  <c r="N302" i="28"/>
  <c r="N303" i="28"/>
  <c r="N304" i="28"/>
  <c r="N305" i="28"/>
  <c r="N306" i="28"/>
  <c r="N307" i="28"/>
  <c r="N308" i="28"/>
  <c r="N309" i="28"/>
  <c r="N310" i="28"/>
  <c r="N311" i="28"/>
  <c r="N312" i="28"/>
  <c r="N313" i="28"/>
  <c r="N314" i="28"/>
  <c r="N315" i="28"/>
  <c r="N316" i="28"/>
  <c r="N317" i="28"/>
  <c r="N318" i="28"/>
  <c r="N319" i="28"/>
  <c r="N320" i="28"/>
  <c r="N321" i="28"/>
  <c r="N322" i="28"/>
  <c r="N323" i="28"/>
  <c r="N324" i="28"/>
  <c r="N325" i="28"/>
  <c r="N326" i="28"/>
  <c r="N327" i="28"/>
  <c r="N328" i="28"/>
  <c r="N329" i="28"/>
  <c r="N330" i="28"/>
  <c r="N331" i="28"/>
  <c r="N332" i="28"/>
  <c r="N333" i="28"/>
  <c r="N334" i="28"/>
  <c r="N335" i="28"/>
  <c r="N336" i="28"/>
  <c r="N337" i="28"/>
  <c r="N338" i="28"/>
  <c r="N339" i="28"/>
  <c r="N340" i="28"/>
  <c r="N341" i="28"/>
  <c r="N342" i="28"/>
  <c r="N343" i="28"/>
  <c r="N344" i="28"/>
  <c r="N345" i="28"/>
  <c r="N346" i="28"/>
  <c r="N347" i="28"/>
  <c r="N348" i="28"/>
  <c r="N349" i="28"/>
  <c r="N350" i="28"/>
  <c r="N351" i="28"/>
  <c r="N352" i="28"/>
  <c r="N353" i="28"/>
  <c r="N354" i="28"/>
  <c r="N355" i="28"/>
  <c r="N356" i="28"/>
  <c r="N357" i="28"/>
  <c r="N358" i="28"/>
  <c r="N359" i="28"/>
  <c r="N360" i="28"/>
  <c r="N361" i="28"/>
  <c r="N362" i="28"/>
  <c r="N363" i="28"/>
  <c r="N364" i="28"/>
  <c r="N365" i="28"/>
  <c r="N366" i="28"/>
  <c r="N367" i="28"/>
  <c r="N368" i="28"/>
  <c r="N369" i="28"/>
  <c r="N370" i="28"/>
  <c r="N371" i="28"/>
  <c r="N372" i="28"/>
  <c r="N373" i="28"/>
  <c r="N374" i="28"/>
  <c r="N375" i="28"/>
  <c r="N376" i="28"/>
  <c r="N377" i="28"/>
  <c r="N378" i="28"/>
  <c r="N379" i="28"/>
  <c r="N380" i="28"/>
  <c r="N381" i="28"/>
  <c r="N382" i="28"/>
  <c r="N383" i="28"/>
  <c r="N384" i="28"/>
  <c r="N385" i="28"/>
  <c r="N386" i="28"/>
  <c r="N387" i="28"/>
  <c r="N388" i="28"/>
  <c r="N389" i="28"/>
  <c r="N390" i="28"/>
  <c r="N391" i="28"/>
  <c r="N392" i="28"/>
  <c r="N393" i="28"/>
  <c r="N394" i="28"/>
  <c r="N395" i="28"/>
  <c r="N396" i="28"/>
  <c r="N397" i="28"/>
  <c r="N398" i="28"/>
  <c r="N399" i="28"/>
  <c r="N400" i="28"/>
  <c r="N401" i="28"/>
  <c r="N402" i="28"/>
  <c r="N403" i="28"/>
  <c r="N404" i="28"/>
  <c r="N405" i="28"/>
  <c r="N406" i="28"/>
  <c r="N407" i="28"/>
  <c r="N408" i="28"/>
  <c r="N409" i="28"/>
  <c r="N410" i="28"/>
  <c r="N411" i="28"/>
  <c r="N412" i="28"/>
  <c r="N413" i="28"/>
  <c r="N414" i="28"/>
  <c r="N415" i="28"/>
  <c r="N416" i="28"/>
  <c r="N417" i="28"/>
  <c r="N418" i="28"/>
  <c r="N419" i="28"/>
  <c r="N420" i="28"/>
  <c r="N421" i="28"/>
  <c r="N422" i="28"/>
  <c r="N423" i="28"/>
  <c r="N424" i="28"/>
  <c r="N425" i="28"/>
  <c r="N426" i="28"/>
  <c r="N427" i="28"/>
  <c r="N428" i="28"/>
  <c r="N429" i="28"/>
  <c r="N430" i="28"/>
  <c r="N431" i="28"/>
  <c r="N432" i="28"/>
  <c r="N433" i="28"/>
  <c r="N434" i="28"/>
  <c r="N435" i="28"/>
  <c r="N436" i="28"/>
  <c r="N437" i="28"/>
  <c r="N438" i="28"/>
  <c r="N439" i="28"/>
  <c r="N440" i="28"/>
  <c r="N441" i="28"/>
  <c r="N442" i="28"/>
  <c r="N443" i="28"/>
  <c r="N444" i="28"/>
  <c r="N445" i="28"/>
  <c r="N446" i="28"/>
  <c r="N447" i="28"/>
  <c r="N448" i="28"/>
  <c r="N449" i="28"/>
  <c r="N450" i="28"/>
  <c r="N451" i="28"/>
  <c r="N452" i="28"/>
  <c r="N453" i="28"/>
  <c r="N454" i="28"/>
  <c r="N455" i="28"/>
  <c r="N456" i="28"/>
  <c r="N457" i="28"/>
  <c r="N458" i="28"/>
  <c r="N459" i="28"/>
  <c r="N460" i="28"/>
  <c r="N461" i="28"/>
  <c r="N462" i="28"/>
  <c r="N463" i="28"/>
  <c r="N464" i="28"/>
  <c r="N465" i="28"/>
  <c r="N466" i="28"/>
  <c r="N467" i="28"/>
  <c r="N468" i="28"/>
  <c r="N469" i="28"/>
  <c r="N470" i="28"/>
  <c r="N471" i="28"/>
  <c r="N472" i="28"/>
  <c r="N473" i="28"/>
  <c r="N474" i="28"/>
  <c r="N475" i="28"/>
  <c r="N476" i="28"/>
  <c r="N477" i="28"/>
  <c r="N478" i="28"/>
  <c r="N479" i="28"/>
  <c r="N480" i="28"/>
  <c r="N481" i="28"/>
  <c r="N482" i="28"/>
  <c r="N483" i="28"/>
  <c r="N484" i="28"/>
  <c r="N485" i="28"/>
  <c r="N486" i="28"/>
  <c r="N487" i="28"/>
  <c r="N488" i="28"/>
  <c r="N489" i="28"/>
  <c r="N490" i="28"/>
  <c r="N491" i="28"/>
  <c r="N492" i="28"/>
  <c r="N493" i="28"/>
  <c r="N494" i="28"/>
  <c r="N495" i="28"/>
  <c r="N496" i="28"/>
  <c r="N497" i="28"/>
  <c r="N498" i="28"/>
  <c r="N499" i="28"/>
  <c r="N8" i="28"/>
  <c r="N9" i="28"/>
  <c r="N10" i="28"/>
  <c r="N11" i="28"/>
  <c r="N12" i="28"/>
  <c r="N13" i="28"/>
  <c r="N14" i="28"/>
  <c r="N15" i="28"/>
  <c r="N16" i="28"/>
  <c r="N17" i="28"/>
  <c r="N18" i="28"/>
  <c r="N19" i="28"/>
  <c r="N20" i="28"/>
  <c r="N21" i="28"/>
  <c r="N22" i="28"/>
  <c r="N23" i="28"/>
  <c r="N24" i="28"/>
  <c r="N25" i="28"/>
  <c r="N26" i="28"/>
  <c r="N27" i="28"/>
  <c r="N28" i="28"/>
  <c r="N29" i="28"/>
  <c r="N30" i="28"/>
  <c r="N31" i="28"/>
  <c r="N32" i="28"/>
  <c r="N33" i="28"/>
  <c r="N34" i="28"/>
  <c r="N35" i="28"/>
  <c r="N36" i="28"/>
  <c r="N37" i="28"/>
  <c r="N38" i="28"/>
  <c r="N39" i="28"/>
  <c r="N40" i="28"/>
  <c r="N41" i="28"/>
  <c r="N42" i="28"/>
  <c r="N43" i="28"/>
  <c r="N44" i="28"/>
  <c r="N45" i="28"/>
  <c r="N46" i="28"/>
  <c r="N47" i="28"/>
  <c r="N48"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2" i="28"/>
  <c r="N83" i="28"/>
  <c r="N84" i="28"/>
  <c r="N85" i="28"/>
  <c r="N86" i="28"/>
  <c r="N87" i="28"/>
  <c r="N88" i="28"/>
  <c r="N89" i="28"/>
  <c r="N90" i="28"/>
  <c r="N91" i="28"/>
  <c r="N92" i="28"/>
  <c r="N93" i="28"/>
  <c r="N94" i="28"/>
  <c r="N95" i="28"/>
  <c r="N96" i="28"/>
  <c r="N97" i="28"/>
  <c r="N98" i="28"/>
  <c r="N99" i="28"/>
  <c r="N100" i="28"/>
  <c r="N101" i="28"/>
  <c r="N102" i="28"/>
  <c r="N103" i="28"/>
  <c r="N104" i="28"/>
  <c r="N105" i="28"/>
  <c r="N106" i="28"/>
  <c r="N107" i="28"/>
  <c r="N108" i="28"/>
  <c r="N109" i="28"/>
  <c r="N110" i="28"/>
  <c r="N111" i="28"/>
  <c r="N112" i="28"/>
  <c r="N113" i="28"/>
  <c r="N114" i="28"/>
  <c r="N115" i="28"/>
  <c r="N116" i="28"/>
  <c r="N117" i="28"/>
  <c r="N118" i="28"/>
  <c r="N119" i="28"/>
  <c r="N120" i="28"/>
  <c r="N121" i="28"/>
  <c r="N122" i="28"/>
  <c r="N123" i="28"/>
  <c r="N124" i="28"/>
  <c r="N125" i="28"/>
  <c r="N126" i="28"/>
  <c r="N127" i="28"/>
  <c r="N128" i="28"/>
  <c r="N129" i="28"/>
  <c r="N130" i="28"/>
  <c r="N131" i="28"/>
  <c r="N132" i="28"/>
  <c r="N133" i="28"/>
  <c r="N134" i="28"/>
  <c r="N135" i="28"/>
  <c r="N136" i="28"/>
  <c r="N137" i="28"/>
  <c r="N138" i="28"/>
  <c r="N139" i="28"/>
  <c r="N140" i="28"/>
  <c r="N141" i="28"/>
  <c r="N142" i="28"/>
  <c r="N143" i="28"/>
  <c r="N144" i="28"/>
  <c r="N145" i="28"/>
  <c r="N146" i="28"/>
  <c r="N147" i="28"/>
  <c r="N148" i="28"/>
  <c r="N149" i="28"/>
  <c r="N150" i="28"/>
  <c r="N151" i="28"/>
  <c r="N152" i="28"/>
  <c r="N153" i="28"/>
  <c r="N154" i="28"/>
  <c r="N155" i="28"/>
  <c r="N156" i="28"/>
  <c r="N157" i="28"/>
  <c r="N158" i="28"/>
  <c r="N159" i="28"/>
  <c r="N160" i="28"/>
  <c r="N161" i="28"/>
  <c r="N162" i="28"/>
  <c r="N163" i="28"/>
  <c r="N164" i="28"/>
  <c r="N165" i="28"/>
  <c r="N166" i="28"/>
  <c r="N167" i="28"/>
  <c r="N168" i="28"/>
  <c r="N169" i="28"/>
  <c r="N170" i="28"/>
  <c r="N171" i="28"/>
  <c r="N172" i="28"/>
  <c r="N173" i="28"/>
  <c r="N174" i="28"/>
  <c r="N175" i="28"/>
  <c r="N176" i="28"/>
  <c r="N177" i="28"/>
  <c r="N178" i="28"/>
  <c r="N179" i="28"/>
  <c r="N180" i="28"/>
  <c r="N181" i="28"/>
  <c r="N182" i="28"/>
  <c r="N183" i="28"/>
  <c r="N184" i="28"/>
  <c r="N185" i="28"/>
  <c r="N186" i="28"/>
  <c r="N187" i="28"/>
  <c r="N188" i="28"/>
  <c r="N189" i="28"/>
  <c r="N190" i="28"/>
  <c r="N191" i="28"/>
  <c r="N192" i="28"/>
  <c r="N193" i="28"/>
  <c r="N194" i="28"/>
  <c r="N195" i="28"/>
  <c r="N196" i="28"/>
  <c r="N197" i="28"/>
  <c r="N198" i="28"/>
  <c r="N199" i="28"/>
  <c r="N200" i="28"/>
  <c r="H6" i="28" l="1"/>
  <c r="E9" i="63" s="1"/>
  <c r="O7" i="28" l="1"/>
  <c r="L499" i="28" l="1"/>
  <c r="L498" i="28"/>
  <c r="L497" i="28"/>
  <c r="L496" i="28"/>
  <c r="L495" i="28"/>
  <c r="L494" i="28"/>
  <c r="L493" i="28"/>
  <c r="L492" i="28"/>
  <c r="L491" i="28"/>
  <c r="L490" i="28"/>
  <c r="L489" i="28"/>
  <c r="L488" i="28"/>
  <c r="L487" i="28"/>
  <c r="L486" i="28"/>
  <c r="L485" i="28"/>
  <c r="L484" i="28"/>
  <c r="L483" i="28"/>
  <c r="L482" i="28"/>
  <c r="L481" i="28"/>
  <c r="L480" i="28"/>
  <c r="L479" i="28"/>
  <c r="L478" i="28"/>
  <c r="L477" i="28"/>
  <c r="L476" i="28"/>
  <c r="L475" i="28"/>
  <c r="L474" i="28"/>
  <c r="L473" i="28"/>
  <c r="L472" i="28"/>
  <c r="L471" i="28"/>
  <c r="L470" i="28"/>
  <c r="L469" i="28"/>
  <c r="L468" i="28"/>
  <c r="L467" i="28"/>
  <c r="L466" i="28"/>
  <c r="L465" i="28"/>
  <c r="L464" i="28"/>
  <c r="L463" i="28"/>
  <c r="L462" i="28"/>
  <c r="L461" i="28"/>
  <c r="L460" i="28"/>
  <c r="L459" i="28"/>
  <c r="L458" i="28"/>
  <c r="L457" i="28"/>
  <c r="L456" i="28"/>
  <c r="L455" i="28"/>
  <c r="L454" i="28"/>
  <c r="L453" i="28"/>
  <c r="L452" i="28"/>
  <c r="L451" i="28"/>
  <c r="L450" i="28"/>
  <c r="L449" i="28"/>
  <c r="L448" i="28"/>
  <c r="L447" i="28"/>
  <c r="L446" i="28"/>
  <c r="L445" i="28"/>
  <c r="L444" i="28"/>
  <c r="L443" i="28"/>
  <c r="L442" i="28"/>
  <c r="L441" i="28"/>
  <c r="L440" i="28"/>
  <c r="L439" i="28"/>
  <c r="L438" i="28"/>
  <c r="L437" i="28"/>
  <c r="L436" i="28"/>
  <c r="L435" i="28"/>
  <c r="L434" i="28"/>
  <c r="L433" i="28"/>
  <c r="L432" i="28"/>
  <c r="L431" i="28"/>
  <c r="L430" i="28"/>
  <c r="L429" i="28"/>
  <c r="L428" i="28"/>
  <c r="L427" i="28"/>
  <c r="L426" i="28"/>
  <c r="L425" i="28"/>
  <c r="L424" i="28"/>
  <c r="L423" i="28"/>
  <c r="L422" i="28"/>
  <c r="L421" i="28"/>
  <c r="L420" i="28"/>
  <c r="L419" i="28"/>
  <c r="L418" i="28"/>
  <c r="L417" i="28"/>
  <c r="L416" i="28"/>
  <c r="L415" i="28"/>
  <c r="L414" i="28"/>
  <c r="L413" i="28"/>
  <c r="L412" i="28"/>
  <c r="L411" i="28"/>
  <c r="L410" i="28"/>
  <c r="L409" i="28"/>
  <c r="L408" i="28"/>
  <c r="L407" i="28"/>
  <c r="L406" i="28"/>
  <c r="L405" i="28"/>
  <c r="L404" i="28"/>
  <c r="L403" i="28"/>
  <c r="L402" i="28"/>
  <c r="L401" i="28"/>
  <c r="L400" i="28"/>
  <c r="L399" i="28"/>
  <c r="L398" i="28"/>
  <c r="L397" i="28"/>
  <c r="L396" i="28"/>
  <c r="L395" i="28"/>
  <c r="L394" i="28"/>
  <c r="L393" i="28"/>
  <c r="L392" i="28"/>
  <c r="L391" i="28"/>
  <c r="L390" i="28"/>
  <c r="L389" i="28"/>
  <c r="L388" i="28"/>
  <c r="L387" i="28"/>
  <c r="L386" i="28"/>
  <c r="L385" i="28"/>
  <c r="L384" i="28"/>
  <c r="L383" i="28"/>
  <c r="L382" i="28"/>
  <c r="L381" i="28"/>
  <c r="L380" i="28"/>
  <c r="L379" i="28"/>
  <c r="L378" i="28"/>
  <c r="L377" i="28"/>
  <c r="L376" i="28"/>
  <c r="L375" i="28"/>
  <c r="L374" i="28"/>
  <c r="L373" i="28"/>
  <c r="L372" i="28"/>
  <c r="L371" i="28"/>
  <c r="L370" i="28"/>
  <c r="L369" i="28"/>
  <c r="L368" i="28"/>
  <c r="L367" i="28"/>
  <c r="L366" i="28"/>
  <c r="L365" i="28"/>
  <c r="L364" i="28"/>
  <c r="L363" i="28"/>
  <c r="L362" i="28"/>
  <c r="L361" i="28"/>
  <c r="L360" i="28"/>
  <c r="L359" i="28"/>
  <c r="L358" i="28"/>
  <c r="L357" i="28"/>
  <c r="L356" i="28"/>
  <c r="L355" i="28"/>
  <c r="L354" i="28"/>
  <c r="L353" i="28"/>
  <c r="L352" i="28"/>
  <c r="L351" i="28"/>
  <c r="L350" i="28"/>
  <c r="L349" i="28"/>
  <c r="L348" i="28"/>
  <c r="L347" i="28"/>
  <c r="L346" i="28"/>
  <c r="L345" i="28"/>
  <c r="L344" i="28"/>
  <c r="L343" i="28"/>
  <c r="L342" i="28"/>
  <c r="L341" i="28"/>
  <c r="L340" i="28"/>
  <c r="L339" i="28"/>
  <c r="L338" i="28"/>
  <c r="L337" i="28"/>
  <c r="L336" i="28"/>
  <c r="L335" i="28"/>
  <c r="L334" i="28"/>
  <c r="L333" i="28"/>
  <c r="L332" i="28"/>
  <c r="L331" i="28"/>
  <c r="L330" i="28"/>
  <c r="L329" i="28"/>
  <c r="L328" i="28"/>
  <c r="L327" i="28"/>
  <c r="L326" i="28"/>
  <c r="L325" i="28"/>
  <c r="L324" i="28"/>
  <c r="L323" i="28"/>
  <c r="L322" i="28"/>
  <c r="L321" i="28"/>
  <c r="L320" i="28"/>
  <c r="L319" i="28"/>
  <c r="L318" i="28"/>
  <c r="L317" i="28"/>
  <c r="L316" i="28"/>
  <c r="L315" i="28"/>
  <c r="L314" i="28"/>
  <c r="L313" i="28"/>
  <c r="L312" i="28"/>
  <c r="L311" i="28"/>
  <c r="L310" i="28"/>
  <c r="L309" i="28"/>
  <c r="L308" i="28"/>
  <c r="L307" i="28"/>
  <c r="L306" i="28"/>
  <c r="L305" i="28"/>
  <c r="L304" i="28"/>
  <c r="L303" i="28"/>
  <c r="L302" i="28"/>
  <c r="L301" i="28"/>
  <c r="L300" i="28"/>
  <c r="L299" i="28"/>
  <c r="L298" i="28"/>
  <c r="L297" i="28"/>
  <c r="L296" i="28"/>
  <c r="L295" i="28"/>
  <c r="L294" i="28"/>
  <c r="L293" i="28"/>
  <c r="L292" i="28"/>
  <c r="L291" i="28"/>
  <c r="L290" i="28"/>
  <c r="L289" i="28"/>
  <c r="L288" i="28"/>
  <c r="L287" i="28"/>
  <c r="L286" i="28"/>
  <c r="L285" i="28"/>
  <c r="L284" i="28"/>
  <c r="L283" i="28"/>
  <c r="L282" i="28"/>
  <c r="L281" i="28"/>
  <c r="L280" i="28"/>
  <c r="L279" i="28"/>
  <c r="L278" i="28"/>
  <c r="L277" i="28"/>
  <c r="L276" i="28"/>
  <c r="L275" i="28"/>
  <c r="L274" i="28"/>
  <c r="L273" i="28"/>
  <c r="L272" i="28"/>
  <c r="L271" i="28"/>
  <c r="L270" i="28"/>
  <c r="L269" i="28"/>
  <c r="L268" i="28"/>
  <c r="L267" i="28"/>
  <c r="L266" i="28"/>
  <c r="L265" i="28"/>
  <c r="L264" i="28"/>
  <c r="L263" i="28"/>
  <c r="L262" i="28"/>
  <c r="L261" i="28"/>
  <c r="L260" i="28"/>
  <c r="L259" i="28"/>
  <c r="L258" i="28"/>
  <c r="L257" i="28"/>
  <c r="L256" i="28"/>
  <c r="L255" i="28"/>
  <c r="L254" i="28"/>
  <c r="L253" i="28"/>
  <c r="L252" i="28"/>
  <c r="L251" i="28"/>
  <c r="L250" i="28"/>
  <c r="L249" i="28"/>
  <c r="L248" i="28"/>
  <c r="L247" i="28"/>
  <c r="L246" i="28"/>
  <c r="L245" i="28"/>
  <c r="L244" i="28"/>
  <c r="L243" i="28"/>
  <c r="L242" i="28"/>
  <c r="L241" i="28"/>
  <c r="L240" i="28"/>
  <c r="L239" i="28"/>
  <c r="L238" i="28"/>
  <c r="L237" i="28"/>
  <c r="L236" i="28"/>
  <c r="L235" i="28"/>
  <c r="L234" i="28"/>
  <c r="L233" i="28"/>
  <c r="L232" i="28"/>
  <c r="L231" i="28"/>
  <c r="L230" i="28"/>
  <c r="L229" i="28"/>
  <c r="L228" i="28"/>
  <c r="L227" i="28"/>
  <c r="L226" i="28"/>
  <c r="L225" i="28"/>
  <c r="L224" i="28"/>
  <c r="L223" i="28"/>
  <c r="L222" i="28"/>
  <c r="L221" i="28"/>
  <c r="L220" i="28"/>
  <c r="L219" i="28"/>
  <c r="L218" i="28"/>
  <c r="L217" i="28"/>
  <c r="L216" i="28"/>
  <c r="L215" i="28"/>
  <c r="L214" i="28"/>
  <c r="L213" i="28"/>
  <c r="L212" i="28"/>
  <c r="L211" i="28"/>
  <c r="L210" i="28"/>
  <c r="L209" i="28"/>
  <c r="L208" i="28"/>
  <c r="L207" i="28"/>
  <c r="L206" i="28"/>
  <c r="L205" i="28"/>
  <c r="L204" i="28"/>
  <c r="L203" i="28"/>
  <c r="L202" i="28"/>
  <c r="L201" i="28"/>
  <c r="D35" i="75"/>
  <c r="A4" i="75"/>
  <c r="B2" i="75"/>
  <c r="A1" i="75"/>
  <c r="O8" i="28" l="1"/>
  <c r="O9" i="28"/>
  <c r="O10" i="28"/>
  <c r="O11" i="28"/>
  <c r="O12" i="28"/>
  <c r="O13" i="28"/>
  <c r="O14" i="28"/>
  <c r="O15" i="28"/>
  <c r="O16" i="28"/>
  <c r="O17" i="28"/>
  <c r="O18" i="28"/>
  <c r="O19" i="28"/>
  <c r="O20" i="28"/>
  <c r="O21" i="28"/>
  <c r="O22" i="28"/>
  <c r="O23" i="28"/>
  <c r="O24" i="28"/>
  <c r="O25" i="28"/>
  <c r="O26" i="28"/>
  <c r="O27" i="28"/>
  <c r="O28" i="28"/>
  <c r="O29" i="28"/>
  <c r="O30" i="28"/>
  <c r="O31" i="28"/>
  <c r="O32" i="28"/>
  <c r="O33" i="28"/>
  <c r="O34" i="28"/>
  <c r="O35" i="28"/>
  <c r="O36" i="28"/>
  <c r="O37" i="28"/>
  <c r="O38" i="28"/>
  <c r="O39" i="28"/>
  <c r="O40"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O95" i="28"/>
  <c r="O96" i="28"/>
  <c r="O97"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126" i="28"/>
  <c r="O127" i="28"/>
  <c r="O128" i="28"/>
  <c r="O129" i="28"/>
  <c r="O130" i="28"/>
  <c r="O131" i="28"/>
  <c r="O132" i="28"/>
  <c r="O133" i="28"/>
  <c r="O134" i="28"/>
  <c r="O135" i="28"/>
  <c r="O136" i="28"/>
  <c r="O137" i="28"/>
  <c r="O138" i="28"/>
  <c r="O139" i="28"/>
  <c r="O140" i="28"/>
  <c r="O141" i="28"/>
  <c r="O142" i="28"/>
  <c r="O143" i="28"/>
  <c r="O144" i="28"/>
  <c r="O145" i="28"/>
  <c r="O146" i="28"/>
  <c r="O147" i="28"/>
  <c r="O148" i="28"/>
  <c r="O149" i="28"/>
  <c r="O150" i="28"/>
  <c r="O151" i="28"/>
  <c r="O152" i="28"/>
  <c r="O153" i="28"/>
  <c r="O154" i="28"/>
  <c r="O155" i="28"/>
  <c r="O156" i="28"/>
  <c r="O157" i="28"/>
  <c r="O158" i="28"/>
  <c r="O159" i="28"/>
  <c r="O160" i="28"/>
  <c r="O161" i="28"/>
  <c r="O162" i="28"/>
  <c r="O163" i="28"/>
  <c r="O164" i="28"/>
  <c r="O165" i="28"/>
  <c r="O166" i="28"/>
  <c r="O167" i="28"/>
  <c r="O168" i="28"/>
  <c r="O169" i="28"/>
  <c r="O170" i="28"/>
  <c r="O171" i="28"/>
  <c r="O172" i="28"/>
  <c r="O173" i="28"/>
  <c r="O174" i="28"/>
  <c r="O175" i="28"/>
  <c r="O176" i="28"/>
  <c r="O177" i="28"/>
  <c r="O178" i="28"/>
  <c r="O179" i="28"/>
  <c r="O180" i="28"/>
  <c r="O181" i="28"/>
  <c r="O182" i="28"/>
  <c r="O183" i="28"/>
  <c r="O184" i="28"/>
  <c r="O185" i="28"/>
  <c r="O186" i="28"/>
  <c r="O187" i="28"/>
  <c r="O188" i="28"/>
  <c r="O189" i="28"/>
  <c r="O190" i="28"/>
  <c r="O191" i="28"/>
  <c r="O192" i="28"/>
  <c r="O193" i="28"/>
  <c r="O194" i="28"/>
  <c r="O195" i="28"/>
  <c r="O196" i="28"/>
  <c r="O197" i="28"/>
  <c r="O198" i="28"/>
  <c r="O199" i="28"/>
  <c r="O200" i="28"/>
  <c r="O201" i="28"/>
  <c r="O202" i="28"/>
  <c r="O203" i="28"/>
  <c r="O204" i="28"/>
  <c r="O205" i="28"/>
  <c r="O206" i="28"/>
  <c r="O207" i="28"/>
  <c r="O208" i="28"/>
  <c r="O209" i="28"/>
  <c r="O210" i="28"/>
  <c r="O211" i="28"/>
  <c r="O212" i="28"/>
  <c r="O213" i="28"/>
  <c r="O214" i="28"/>
  <c r="O215" i="28"/>
  <c r="O216" i="28"/>
  <c r="O217" i="28"/>
  <c r="O218" i="28"/>
  <c r="O219" i="28"/>
  <c r="O220" i="28"/>
  <c r="O221" i="28"/>
  <c r="O222" i="28"/>
  <c r="O223" i="28"/>
  <c r="O224" i="28"/>
  <c r="O225" i="28"/>
  <c r="O226" i="28"/>
  <c r="O227" i="28"/>
  <c r="O228" i="28"/>
  <c r="O229" i="28"/>
  <c r="O230" i="28"/>
  <c r="O231" i="28"/>
  <c r="O232" i="28"/>
  <c r="O233" i="28"/>
  <c r="O234" i="28"/>
  <c r="O235" i="28"/>
  <c r="O236" i="28"/>
  <c r="O237" i="28"/>
  <c r="O238" i="28"/>
  <c r="O239" i="28"/>
  <c r="O240" i="28"/>
  <c r="O241" i="28"/>
  <c r="O242" i="28"/>
  <c r="O243" i="28"/>
  <c r="O244" i="28"/>
  <c r="O245" i="28"/>
  <c r="O246" i="28"/>
  <c r="O247" i="28"/>
  <c r="O248" i="28"/>
  <c r="O249" i="28"/>
  <c r="O250" i="28"/>
  <c r="O251" i="28"/>
  <c r="O252" i="28"/>
  <c r="O253" i="28"/>
  <c r="O254" i="28"/>
  <c r="O255" i="28"/>
  <c r="O256" i="28"/>
  <c r="O257" i="28"/>
  <c r="O258" i="28"/>
  <c r="O259" i="28"/>
  <c r="O260" i="28"/>
  <c r="O261" i="28"/>
  <c r="O262" i="28"/>
  <c r="O263" i="28"/>
  <c r="O264" i="28"/>
  <c r="O265" i="28"/>
  <c r="O266" i="28"/>
  <c r="O267" i="28"/>
  <c r="O268" i="28"/>
  <c r="O269" i="28"/>
  <c r="O270" i="28"/>
  <c r="O271" i="28"/>
  <c r="O272" i="28"/>
  <c r="O273" i="28"/>
  <c r="O274" i="28"/>
  <c r="O275" i="28"/>
  <c r="O276" i="28"/>
  <c r="O277" i="28"/>
  <c r="O278" i="28"/>
  <c r="O279" i="28"/>
  <c r="O280" i="28"/>
  <c r="O281" i="28"/>
  <c r="O282" i="28"/>
  <c r="O283" i="28"/>
  <c r="O284" i="28"/>
  <c r="O285" i="28"/>
  <c r="O286" i="28"/>
  <c r="O287" i="28"/>
  <c r="O288" i="28"/>
  <c r="O289" i="28"/>
  <c r="O290" i="28"/>
  <c r="O291" i="28"/>
  <c r="O292" i="28"/>
  <c r="O293" i="28"/>
  <c r="O294" i="28"/>
  <c r="O295" i="28"/>
  <c r="O296" i="28"/>
  <c r="O297" i="28"/>
  <c r="O298" i="28"/>
  <c r="O299" i="28"/>
  <c r="O300" i="28"/>
  <c r="O301" i="28"/>
  <c r="O302" i="28"/>
  <c r="O303" i="28"/>
  <c r="O304" i="28"/>
  <c r="O305" i="28"/>
  <c r="O306" i="28"/>
  <c r="O307" i="28"/>
  <c r="O308" i="28"/>
  <c r="O309" i="28"/>
  <c r="O310" i="28"/>
  <c r="O311" i="28"/>
  <c r="O312" i="28"/>
  <c r="O313" i="28"/>
  <c r="O314" i="28"/>
  <c r="O315" i="28"/>
  <c r="O316" i="28"/>
  <c r="O317" i="28"/>
  <c r="O318" i="28"/>
  <c r="O319" i="28"/>
  <c r="O320" i="28"/>
  <c r="O321" i="28"/>
  <c r="O322" i="28"/>
  <c r="O323" i="28"/>
  <c r="O324" i="28"/>
  <c r="O325" i="28"/>
  <c r="O326" i="28"/>
  <c r="O327" i="28"/>
  <c r="O328" i="28"/>
  <c r="O329" i="28"/>
  <c r="O330" i="28"/>
  <c r="O331" i="28"/>
  <c r="O332" i="28"/>
  <c r="O333" i="28"/>
  <c r="O334" i="28"/>
  <c r="O335" i="28"/>
  <c r="O336" i="28"/>
  <c r="O337" i="28"/>
  <c r="O338" i="28"/>
  <c r="O339" i="28"/>
  <c r="O340" i="28"/>
  <c r="O341" i="28"/>
  <c r="O342" i="28"/>
  <c r="O343" i="28"/>
  <c r="O344" i="28"/>
  <c r="O345" i="28"/>
  <c r="O346" i="28"/>
  <c r="O347" i="28"/>
  <c r="O348" i="28"/>
  <c r="O349" i="28"/>
  <c r="O350" i="28"/>
  <c r="O351" i="28"/>
  <c r="O352" i="28"/>
  <c r="O353" i="28"/>
  <c r="O354" i="28"/>
  <c r="O355" i="28"/>
  <c r="O356" i="28"/>
  <c r="O357" i="28"/>
  <c r="O358" i="28"/>
  <c r="O359" i="28"/>
  <c r="O360" i="28"/>
  <c r="O361" i="28"/>
  <c r="O362" i="28"/>
  <c r="O363" i="28"/>
  <c r="O364" i="28"/>
  <c r="O365" i="28"/>
  <c r="O366" i="28"/>
  <c r="O367" i="28"/>
  <c r="O368" i="28"/>
  <c r="O369" i="28"/>
  <c r="O370" i="28"/>
  <c r="O371" i="28"/>
  <c r="O372" i="28"/>
  <c r="O373" i="28"/>
  <c r="O374" i="28"/>
  <c r="O375" i="28"/>
  <c r="O376" i="28"/>
  <c r="O377" i="28"/>
  <c r="O378" i="28"/>
  <c r="O379" i="28"/>
  <c r="O380" i="28"/>
  <c r="O381" i="28"/>
  <c r="O382" i="28"/>
  <c r="O383" i="28"/>
  <c r="O384" i="28"/>
  <c r="O385" i="28"/>
  <c r="O386" i="28"/>
  <c r="O387" i="28"/>
  <c r="O388" i="28"/>
  <c r="O389" i="28"/>
  <c r="O390" i="28"/>
  <c r="O391" i="28"/>
  <c r="O392" i="28"/>
  <c r="O393" i="28"/>
  <c r="O394" i="28"/>
  <c r="O395" i="28"/>
  <c r="O396" i="28"/>
  <c r="O397" i="28"/>
  <c r="O398" i="28"/>
  <c r="O399" i="28"/>
  <c r="O400" i="28"/>
  <c r="O401" i="28"/>
  <c r="O402" i="28"/>
  <c r="O403" i="28"/>
  <c r="O404" i="28"/>
  <c r="O405" i="28"/>
  <c r="O406" i="28"/>
  <c r="O407" i="28"/>
  <c r="O408" i="28"/>
  <c r="O409" i="28"/>
  <c r="O410" i="28"/>
  <c r="O411" i="28"/>
  <c r="O412" i="28"/>
  <c r="O413" i="28"/>
  <c r="O414" i="28"/>
  <c r="O415" i="28"/>
  <c r="O416" i="28"/>
  <c r="O417" i="28"/>
  <c r="O418" i="28"/>
  <c r="O419" i="28"/>
  <c r="O420" i="28"/>
  <c r="O421" i="28"/>
  <c r="O422" i="28"/>
  <c r="O423" i="28"/>
  <c r="O424" i="28"/>
  <c r="O425" i="28"/>
  <c r="O426" i="28"/>
  <c r="O427" i="28"/>
  <c r="O428" i="28"/>
  <c r="O429" i="28"/>
  <c r="O430" i="28"/>
  <c r="O431" i="28"/>
  <c r="O432" i="28"/>
  <c r="O433" i="28"/>
  <c r="O434" i="28"/>
  <c r="O435" i="28"/>
  <c r="O436" i="28"/>
  <c r="O437" i="28"/>
  <c r="O438" i="28"/>
  <c r="O439" i="28"/>
  <c r="O440" i="28"/>
  <c r="O441" i="28"/>
  <c r="O442" i="28"/>
  <c r="O443" i="28"/>
  <c r="O444" i="28"/>
  <c r="O445" i="28"/>
  <c r="O446" i="28"/>
  <c r="O447" i="28"/>
  <c r="O448" i="28"/>
  <c r="O449" i="28"/>
  <c r="O450" i="28"/>
  <c r="O451" i="28"/>
  <c r="O452" i="28"/>
  <c r="O453" i="28"/>
  <c r="O454" i="28"/>
  <c r="O455" i="28"/>
  <c r="O456" i="28"/>
  <c r="O457" i="28"/>
  <c r="O458" i="28"/>
  <c r="O459" i="28"/>
  <c r="O460" i="28"/>
  <c r="O461" i="28"/>
  <c r="O462" i="28"/>
  <c r="O463" i="28"/>
  <c r="O464" i="28"/>
  <c r="O465" i="28"/>
  <c r="O466" i="28"/>
  <c r="O467" i="28"/>
  <c r="O468" i="28"/>
  <c r="O469" i="28"/>
  <c r="O470" i="28"/>
  <c r="O471" i="28"/>
  <c r="O472" i="28"/>
  <c r="O473" i="28"/>
  <c r="O474" i="28"/>
  <c r="O475" i="28"/>
  <c r="O476" i="28"/>
  <c r="O477" i="28"/>
  <c r="O478" i="28"/>
  <c r="O479" i="28"/>
  <c r="O480" i="28"/>
  <c r="O481" i="28"/>
  <c r="O482" i="28"/>
  <c r="O483" i="28"/>
  <c r="O484" i="28"/>
  <c r="O485" i="28"/>
  <c r="O486" i="28"/>
  <c r="O487" i="28"/>
  <c r="O488" i="28"/>
  <c r="O489" i="28"/>
  <c r="O490" i="28"/>
  <c r="O491" i="28"/>
  <c r="O492" i="28"/>
  <c r="O493" i="28"/>
  <c r="O494" i="28"/>
  <c r="O495" i="28"/>
  <c r="O496" i="28"/>
  <c r="O497" i="28"/>
  <c r="O498" i="28"/>
  <c r="O499" i="28"/>
  <c r="O501" i="28" l="1"/>
  <c r="N7" i="28"/>
  <c r="L8" i="28"/>
  <c r="L9" i="28"/>
  <c r="L10" i="28"/>
  <c r="L11" i="28"/>
  <c r="L12" i="28"/>
  <c r="L13" i="28"/>
  <c r="L14" i="28"/>
  <c r="L15" i="28"/>
  <c r="L16" i="28"/>
  <c r="L17" i="28"/>
  <c r="L18" i="28"/>
  <c r="L19" i="28"/>
  <c r="L20" i="28"/>
  <c r="L21" i="28"/>
  <c r="L22" i="28"/>
  <c r="L23" i="28"/>
  <c r="L24" i="28"/>
  <c r="L25" i="28"/>
  <c r="L26" i="28"/>
  <c r="L27" i="28"/>
  <c r="L28" i="28"/>
  <c r="L29" i="28"/>
  <c r="L30" i="28"/>
  <c r="L31" i="28"/>
  <c r="L32" i="28"/>
  <c r="L33" i="28"/>
  <c r="L34" i="28"/>
  <c r="L35" i="28"/>
  <c r="L36" i="28"/>
  <c r="L37" i="28"/>
  <c r="L38" i="28"/>
  <c r="L39" i="28"/>
  <c r="L40" i="28"/>
  <c r="L41" i="28"/>
  <c r="L42" i="28"/>
  <c r="L43" i="28"/>
  <c r="L44" i="28"/>
  <c r="L45" i="28"/>
  <c r="L46" i="28"/>
  <c r="L47" i="28"/>
  <c r="L48" i="28"/>
  <c r="L49" i="28"/>
  <c r="L50" i="28"/>
  <c r="L51" i="28"/>
  <c r="L52" i="28"/>
  <c r="L53" i="28"/>
  <c r="L54" i="28"/>
  <c r="L55" i="28"/>
  <c r="L56" i="28"/>
  <c r="L57" i="28"/>
  <c r="L58" i="28"/>
  <c r="L59" i="28"/>
  <c r="L60" i="28"/>
  <c r="L61" i="28"/>
  <c r="L62" i="28"/>
  <c r="L63" i="28"/>
  <c r="L64" i="28"/>
  <c r="L65" i="28"/>
  <c r="L66" i="28"/>
  <c r="L67" i="28"/>
  <c r="L68" i="28"/>
  <c r="L69" i="28"/>
  <c r="L70" i="28"/>
  <c r="L71" i="28"/>
  <c r="L72" i="28"/>
  <c r="L73" i="28"/>
  <c r="L74" i="28"/>
  <c r="L75" i="28"/>
  <c r="L76" i="28"/>
  <c r="L77" i="28"/>
  <c r="L78" i="28"/>
  <c r="L79" i="28"/>
  <c r="L80" i="28"/>
  <c r="L81" i="28"/>
  <c r="L82" i="28"/>
  <c r="L83" i="28"/>
  <c r="L84" i="28"/>
  <c r="L85" i="28"/>
  <c r="L86" i="28"/>
  <c r="L87" i="28"/>
  <c r="L88" i="28"/>
  <c r="L89" i="28"/>
  <c r="L90" i="28"/>
  <c r="L91" i="28"/>
  <c r="L92" i="28"/>
  <c r="L93" i="28"/>
  <c r="L94" i="28"/>
  <c r="L95" i="28"/>
  <c r="L96" i="28"/>
  <c r="L97" i="28"/>
  <c r="L98" i="28"/>
  <c r="L99" i="28"/>
  <c r="L100" i="28"/>
  <c r="L101" i="28"/>
  <c r="L102" i="28"/>
  <c r="L103" i="28"/>
  <c r="L104" i="28"/>
  <c r="L105" i="28"/>
  <c r="L106" i="28"/>
  <c r="L107" i="28"/>
  <c r="L108" i="28"/>
  <c r="L109" i="28"/>
  <c r="L110" i="28"/>
  <c r="L111" i="28"/>
  <c r="L112" i="28"/>
  <c r="L113" i="28"/>
  <c r="L114" i="28"/>
  <c r="L115" i="28"/>
  <c r="L116" i="28"/>
  <c r="L117" i="28"/>
  <c r="L118" i="28"/>
  <c r="L119" i="28"/>
  <c r="L120" i="28"/>
  <c r="L121" i="28"/>
  <c r="L122" i="28"/>
  <c r="L123" i="28"/>
  <c r="L124" i="28"/>
  <c r="L125" i="28"/>
  <c r="L126" i="28"/>
  <c r="L127" i="28"/>
  <c r="L128" i="28"/>
  <c r="L129" i="28"/>
  <c r="L130" i="28"/>
  <c r="L131" i="28"/>
  <c r="L132" i="28"/>
  <c r="L133" i="28"/>
  <c r="L134" i="28"/>
  <c r="L135" i="28"/>
  <c r="L136" i="28"/>
  <c r="L137" i="28"/>
  <c r="L138" i="28"/>
  <c r="L139" i="28"/>
  <c r="L140" i="28"/>
  <c r="L141" i="28"/>
  <c r="L142" i="28"/>
  <c r="L143" i="28"/>
  <c r="L144" i="28"/>
  <c r="L145" i="28"/>
  <c r="L146" i="28"/>
  <c r="L147" i="28"/>
  <c r="L148" i="28"/>
  <c r="L149" i="28"/>
  <c r="L150" i="28"/>
  <c r="L151" i="28"/>
  <c r="L152" i="28"/>
  <c r="L153" i="28"/>
  <c r="L154" i="28"/>
  <c r="L155" i="28"/>
  <c r="L156" i="28"/>
  <c r="L157" i="28"/>
  <c r="L158" i="28"/>
  <c r="L159" i="28"/>
  <c r="L160" i="28"/>
  <c r="L161" i="28"/>
  <c r="L162" i="28"/>
  <c r="L163" i="28"/>
  <c r="L164" i="28"/>
  <c r="L165" i="28"/>
  <c r="L166" i="28"/>
  <c r="L167" i="28"/>
  <c r="L168" i="28"/>
  <c r="L169" i="28"/>
  <c r="L170" i="28"/>
  <c r="L171" i="28"/>
  <c r="L172" i="28"/>
  <c r="L173" i="28"/>
  <c r="L174" i="28"/>
  <c r="L175" i="28"/>
  <c r="L176" i="28"/>
  <c r="L177" i="28"/>
  <c r="L178" i="28"/>
  <c r="L179" i="28"/>
  <c r="L180" i="28"/>
  <c r="L181" i="28"/>
  <c r="L182" i="28"/>
  <c r="L183" i="28"/>
  <c r="L184" i="28"/>
  <c r="L185" i="28"/>
  <c r="L186" i="28"/>
  <c r="L187" i="28"/>
  <c r="L188" i="28"/>
  <c r="L189" i="28"/>
  <c r="L190" i="28"/>
  <c r="L191" i="28"/>
  <c r="L192" i="28"/>
  <c r="L193" i="28"/>
  <c r="L194" i="28"/>
  <c r="L195" i="28"/>
  <c r="L196" i="28"/>
  <c r="L197" i="28"/>
  <c r="L198" i="28"/>
  <c r="L199" i="28"/>
  <c r="L200" i="28"/>
  <c r="L7" i="28"/>
  <c r="D10" i="46"/>
  <c r="D25" i="75" l="1"/>
  <c r="D26" i="75"/>
  <c r="D28" i="75"/>
  <c r="D29" i="75"/>
  <c r="D30" i="75"/>
  <c r="D27" i="75"/>
  <c r="D19" i="75"/>
  <c r="D20" i="75"/>
  <c r="D21" i="75"/>
  <c r="D18" i="75"/>
  <c r="D22" i="75"/>
  <c r="D17" i="75"/>
  <c r="D9" i="75"/>
  <c r="D10" i="75"/>
  <c r="D11" i="75"/>
  <c r="D14" i="75"/>
  <c r="D12" i="75"/>
  <c r="D13" i="75"/>
  <c r="F22" i="46"/>
  <c r="D18" i="46"/>
  <c r="E28" i="46"/>
  <c r="E25" i="46"/>
  <c r="F30" i="46"/>
  <c r="F29" i="46"/>
  <c r="D12" i="46"/>
  <c r="D22" i="46"/>
  <c r="D30" i="46"/>
  <c r="D14" i="46"/>
  <c r="D26" i="46"/>
  <c r="E19" i="46"/>
  <c r="E10" i="46"/>
  <c r="E26" i="46"/>
  <c r="F20" i="46"/>
  <c r="F10" i="46"/>
  <c r="D27" i="46"/>
  <c r="F28" i="46"/>
  <c r="F12" i="46"/>
  <c r="E27" i="46"/>
  <c r="D17" i="46"/>
  <c r="F25" i="46"/>
  <c r="E17" i="46"/>
  <c r="D25" i="46"/>
  <c r="F17" i="46"/>
  <c r="F9" i="46"/>
  <c r="D9" i="46"/>
  <c r="E9" i="46"/>
  <c r="D29" i="46"/>
  <c r="E14" i="46"/>
  <c r="E20" i="46"/>
  <c r="F26" i="46"/>
  <c r="E29" i="46"/>
  <c r="F13" i="46"/>
  <c r="F27" i="46"/>
  <c r="E30" i="46"/>
  <c r="D11" i="46"/>
  <c r="D28" i="46"/>
  <c r="E11" i="46"/>
  <c r="E18" i="46"/>
  <c r="E12" i="46"/>
  <c r="F18" i="46"/>
  <c r="E21" i="46"/>
  <c r="F14" i="46"/>
  <c r="D21" i="46"/>
  <c r="E13" i="46"/>
  <c r="D19" i="46"/>
  <c r="F21" i="46"/>
  <c r="F19" i="46"/>
  <c r="E22" i="46"/>
  <c r="D13" i="46"/>
  <c r="F11" i="46"/>
  <c r="D20" i="46"/>
  <c r="D15" i="75" l="1"/>
  <c r="D23" i="75"/>
  <c r="D31" i="75"/>
  <c r="C2" i="28"/>
  <c r="D33" i="75" l="1"/>
  <c r="F35" i="46"/>
  <c r="E35" i="46"/>
  <c r="D35" i="46"/>
  <c r="B4" i="49"/>
  <c r="A5" i="16" s="1"/>
  <c r="B2" i="16"/>
  <c r="E2" i="28"/>
  <c r="C3" i="28"/>
  <c r="C1" i="28"/>
  <c r="B2" i="46"/>
  <c r="A1" i="46"/>
  <c r="A4" i="46"/>
  <c r="F2" i="63"/>
  <c r="B4" i="63"/>
  <c r="I1" i="63"/>
  <c r="D15" i="46" l="1"/>
  <c r="E15" i="46"/>
  <c r="E31" i="46"/>
  <c r="D31" i="46"/>
  <c r="F31" i="46"/>
  <c r="F15" i="46"/>
  <c r="D23" i="46"/>
  <c r="E23" i="46"/>
  <c r="F23" i="46"/>
  <c r="D33" i="46" l="1"/>
  <c r="F33" i="46"/>
  <c r="F37" i="46" s="1"/>
  <c r="E33" i="46"/>
  <c r="E37" i="46" s="1"/>
  <c r="F80" i="46" l="1"/>
  <c r="G9" i="63"/>
  <c r="F9" i="63" s="1"/>
  <c r="F81" i="46"/>
  <c r="D37" i="46"/>
  <c r="I9" i="63" l="1"/>
  <c r="B5" i="46" l="1"/>
  <c r="B5" i="75"/>
  <c r="D1" i="63"/>
</calcChain>
</file>

<file path=xl/comments1.xml><?xml version="1.0" encoding="utf-8"?>
<comments xmlns="http://schemas.openxmlformats.org/spreadsheetml/2006/main">
  <authors>
    <author>ims</author>
    <author>Mayfield_S</author>
  </authors>
  <commentList>
    <comment ref="C9" authorId="0">
      <text>
        <r>
          <rPr>
            <b/>
            <sz val="8"/>
            <color indexed="81"/>
            <rFont val="Tahoma"/>
            <family val="2"/>
          </rPr>
          <t>Select from the drop-down list</t>
        </r>
      </text>
    </comment>
    <comment ref="C10" authorId="1">
      <text>
        <r>
          <rPr>
            <b/>
            <sz val="8"/>
            <color indexed="81"/>
            <rFont val="Tahoma"/>
            <family val="2"/>
          </rPr>
          <t xml:space="preserve">Leave </t>
        </r>
        <r>
          <rPr>
            <b/>
            <u/>
            <sz val="8"/>
            <color indexed="81"/>
            <rFont val="Tahoma"/>
            <family val="2"/>
          </rPr>
          <t>blank</t>
        </r>
        <r>
          <rPr>
            <b/>
            <sz val="8"/>
            <color indexed="81"/>
            <rFont val="Tahoma"/>
            <family val="2"/>
          </rPr>
          <t xml:space="preserve"> if an Original Budget 
</t>
        </r>
        <r>
          <rPr>
            <b/>
            <u/>
            <sz val="8"/>
            <color indexed="81"/>
            <rFont val="Tahoma"/>
            <family val="2"/>
          </rPr>
          <t>Enter a number</t>
        </r>
        <r>
          <rPr>
            <b/>
            <sz val="8"/>
            <color indexed="81"/>
            <rFont val="Tahoma"/>
            <family val="2"/>
          </rPr>
          <t xml:space="preserve"> 1-9 to indicate a revision number.</t>
        </r>
      </text>
    </comment>
    <comment ref="C11" authorId="0">
      <text>
        <r>
          <rPr>
            <b/>
            <sz val="8"/>
            <color indexed="81"/>
            <rFont val="Tahoma"/>
            <family val="2"/>
          </rPr>
          <t>Enter date</t>
        </r>
      </text>
    </comment>
  </commentList>
</comments>
</file>

<file path=xl/comments2.xml><?xml version="1.0" encoding="utf-8"?>
<comments xmlns="http://schemas.openxmlformats.org/spreadsheetml/2006/main">
  <authors>
    <author>Mayfield_S</author>
  </authors>
  <commentList>
    <comment ref="G5" authorId="0">
      <text>
        <r>
          <rPr>
            <sz val="8"/>
            <color indexed="81"/>
            <rFont val="Tahoma"/>
            <family val="2"/>
          </rPr>
          <t>May enter "s" or "st",
or a value between
.001 and 1</t>
        </r>
      </text>
    </comment>
  </commentList>
</comments>
</file>

<file path=xl/sharedStrings.xml><?xml version="1.0" encoding="utf-8"?>
<sst xmlns="http://schemas.openxmlformats.org/spreadsheetml/2006/main" count="787" uniqueCount="196">
  <si>
    <t>No Transfers</t>
  </si>
  <si>
    <t>Non-improvement</t>
  </si>
  <si>
    <t>BOCES</t>
  </si>
  <si>
    <t>vr1</t>
  </si>
  <si>
    <t xml:space="preserve">Version:  </t>
  </si>
  <si>
    <t>0500, 0800</t>
  </si>
  <si>
    <t>0300, 0500</t>
  </si>
  <si>
    <t>0100, '0200, 0300, 0500, 0600</t>
  </si>
  <si>
    <t>0300, 0500, 0600</t>
  </si>
  <si>
    <t>Equal?</t>
  </si>
  <si>
    <t>REAP</t>
  </si>
  <si>
    <t>Yes (0730)</t>
  </si>
  <si>
    <t>No (0735)</t>
  </si>
  <si>
    <t>vr2</t>
  </si>
  <si>
    <t xml:space="preserve">Improvement </t>
  </si>
  <si>
    <r>
      <t xml:space="preserve">Total Funds Available </t>
    </r>
    <r>
      <rPr>
        <sz val="8"/>
        <rFont val="Arial"/>
        <family val="2"/>
      </rPr>
      <t>(repeated from above)</t>
    </r>
  </si>
  <si>
    <r>
      <t>select</t>
    </r>
    <r>
      <rPr>
        <b/>
        <sz val="10"/>
        <rFont val="Arial"/>
        <family val="2"/>
      </rPr>
      <t xml:space="preserve"> Original or Revised Budget Report:</t>
    </r>
  </si>
  <si>
    <t>BOCES - see below</t>
  </si>
  <si>
    <t>If the amounts do not equal each other, the most likely problem is on a</t>
  </si>
  <si>
    <t>Line</t>
  </si>
  <si>
    <t>Total</t>
  </si>
  <si>
    <t>Salaries (0100)</t>
  </si>
  <si>
    <t>Supplies (0600)</t>
  </si>
  <si>
    <t>FTE</t>
  </si>
  <si>
    <t>Employee Benefits (0200)</t>
  </si>
  <si>
    <t>Other Purchased Services (0500)</t>
  </si>
  <si>
    <t>Purchased Professional &amp; Technical Services (0300)</t>
  </si>
  <si>
    <t>Administration</t>
  </si>
  <si>
    <t>Program</t>
  </si>
  <si>
    <t>Description</t>
  </si>
  <si>
    <t>Budget
Object</t>
  </si>
  <si>
    <t xml:space="preserve">Grants Fiscal Staff Contact </t>
  </si>
  <si>
    <t>Original Budget</t>
  </si>
  <si>
    <r>
      <t>Revised</t>
    </r>
    <r>
      <rPr>
        <b/>
        <sz val="10"/>
        <rFont val="Arial"/>
        <family val="2"/>
      </rPr>
      <t xml:space="preserve"> Budget</t>
    </r>
  </si>
  <si>
    <t>Revision number:</t>
  </si>
  <si>
    <t>Date:</t>
  </si>
  <si>
    <t>detail sheet.  All required entries may not have been entered.</t>
  </si>
  <si>
    <t>Yes</t>
  </si>
  <si>
    <t>No</t>
  </si>
  <si>
    <t>Date</t>
  </si>
  <si>
    <t>Comments</t>
  </si>
  <si>
    <t xml:space="preserve"> </t>
  </si>
  <si>
    <t xml:space="preserve">   Electronic file to this e-mail address:  </t>
  </si>
  <si>
    <t xml:space="preserve">          Phone No.      E-mail Address</t>
  </si>
  <si>
    <t>Electronic_budget@cde.state.co.us</t>
  </si>
  <si>
    <t>Adult Education and Literacy Budget Form</t>
  </si>
  <si>
    <t>Person completing this information</t>
  </si>
  <si>
    <t>Fiscal Manager</t>
  </si>
  <si>
    <t>AEFLA Federal</t>
  </si>
  <si>
    <t>AEFLA Match</t>
  </si>
  <si>
    <t>AEFLA Program Income</t>
  </si>
  <si>
    <t>Instructional Program   (0010 – 2000) - ABE/ESL</t>
  </si>
  <si>
    <t>Instructional Program  (0010-2000) ASE</t>
  </si>
  <si>
    <t>INSTRUCTIONAL SERVICES MUST BE GREATER THAN OR = 95% OF TOTAL BUDGET REQUEST</t>
  </si>
  <si>
    <t>Equipment (0730)</t>
  </si>
  <si>
    <t>Verification</t>
  </si>
  <si>
    <t>Instructional Services &gt;/= 95%</t>
  </si>
  <si>
    <t>Match &gt;/= 40%</t>
  </si>
  <si>
    <t>Instructional Program- ABE/ESL</t>
  </si>
  <si>
    <t>Instructional Program - ASE</t>
  </si>
  <si>
    <t>Instructional Program - ABE/ESL</t>
  </si>
  <si>
    <t>Colorado Department of Education/Grants Fiscal Management</t>
  </si>
  <si>
    <t>General Budget Comments:</t>
  </si>
  <si>
    <t>1-Cover Page sheet</t>
  </si>
  <si>
    <t>Enter the name of the person completing the form along with the fiscal contact.</t>
  </si>
  <si>
    <t>Enter the phone number for both individuals.</t>
  </si>
  <si>
    <t>Enter the e-mail for both individuals.</t>
  </si>
  <si>
    <t>LINE</t>
  </si>
  <si>
    <t>If something is not balanced, the most likely cause is that one of the following has not been selected on a detail sheet, Program code and/or Budget Object code.</t>
  </si>
  <si>
    <r>
      <t xml:space="preserve">Enter dollar amounts as whole dollars.  </t>
    </r>
    <r>
      <rPr>
        <b/>
        <sz val="10"/>
        <rFont val="Calibri"/>
        <family val="2"/>
      </rPr>
      <t xml:space="preserve">Do not </t>
    </r>
    <r>
      <rPr>
        <sz val="10"/>
        <rFont val="Calibri"/>
        <family val="2"/>
      </rPr>
      <t>enter cent amounts.</t>
    </r>
  </si>
  <si>
    <t>Current Year Allocation/Match/Anticipated Program Income</t>
  </si>
  <si>
    <t>Subgrantees may not count tuition and fees collected from students toward meeting federal match.</t>
  </si>
  <si>
    <t>MATCH</t>
  </si>
  <si>
    <t>PROGRAM INCOME</t>
  </si>
  <si>
    <t>OMB A-87-Cost Principles for State, Local and Indian Tribal Governments  http://www.whitehouse.gov/omb/circulars_a087_2004</t>
  </si>
  <si>
    <t>Appendix B of this Circular provides - Selected Items of Costs</t>
  </si>
  <si>
    <t>Education Department General Administrative Regulations (EDGAR) Part 80 Uniform Administrative Requirements for Grants and Cooperative Agreements to State and Local Governments</t>
  </si>
  <si>
    <t>Administration  (2300, 2400, and 2500) MAXIMUM ADMINISTRATIVE COSTS = 5%, with waiver requirement for additional amount</t>
  </si>
  <si>
    <t>1-Cover Page</t>
  </si>
  <si>
    <t>Initials</t>
  </si>
  <si>
    <t>Education Department General Administrative Regulations (EDGAR) Part 74 Administration of Grants and Agreements with Institutions of Higher Education, Hospital and other Non-Profit Organizations</t>
  </si>
  <si>
    <t>The other fields  will be populated from entries made on the Budget and Staff Detail Sheets.</t>
  </si>
  <si>
    <t>Total Budget</t>
  </si>
  <si>
    <r>
      <t>Difference</t>
    </r>
    <r>
      <rPr>
        <sz val="8"/>
        <rFont val="Arial"/>
        <family val="2"/>
      </rPr>
      <t xml:space="preserve"> - Line 1 less line 24-must be zero</t>
    </r>
  </si>
  <si>
    <t xml:space="preserve"> ADULT EDUCATION &amp; FAMILY LITERACY GRANT REQUIREMENTS</t>
  </si>
  <si>
    <t>Adult Education and Family Literacy Budget Instructions</t>
  </si>
  <si>
    <t>OMB A-122-Cost Principles for Non-Profit Organizations http://www.whitehouse.gov/omb/circulars_a122_2004</t>
  </si>
  <si>
    <t>OMB A-21-Cost Principles for Educational Institutions http://www.whitehouse.gov/omb/circulars_a021_2004</t>
  </si>
  <si>
    <t>School Districts</t>
  </si>
  <si>
    <t>FEDERAL REGULATIONS</t>
  </si>
  <si>
    <t>Colorado Department of Education (CDE) requires a 40% match.  The match cannot include any federal funds or program income earned from tuition and fees collected as a direct result of this grant.</t>
  </si>
  <si>
    <t>If revisions are submitted, revision number is required.</t>
  </si>
  <si>
    <t xml:space="preserve">Use this page to check whether or not your file is in balance.  The detail sheets are compared to the summary sheets to ensure that all amounts have linked over.  If so, the word "equal" is displayed.  If not, the words "not equal" are displayed with a red background. </t>
  </si>
  <si>
    <t>Non-Profit Organizations</t>
  </si>
  <si>
    <r>
      <rPr>
        <sz val="10"/>
        <rFont val="Calibri"/>
        <family val="2"/>
      </rPr>
      <t xml:space="preserve">Select the Budget Object from the dropdown.  </t>
    </r>
    <r>
      <rPr>
        <b/>
        <sz val="10"/>
        <rFont val="Calibri"/>
        <family val="2"/>
      </rPr>
      <t>Reminder:  Do not enter salaries on this page.</t>
    </r>
  </si>
  <si>
    <r>
      <rPr>
        <sz val="10"/>
        <rFont val="Calibri"/>
        <family val="2"/>
      </rPr>
      <t xml:space="preserve">Enter the amount budgeted.  </t>
    </r>
    <r>
      <rPr>
        <b/>
        <sz val="10"/>
        <rFont val="Calibri"/>
        <family val="2"/>
      </rPr>
      <t>Reminder: Use whole dollars.</t>
    </r>
  </si>
  <si>
    <t>Enter the % of the expenditure that will benefit corrections education/community corrections/institutionalized students</t>
  </si>
  <si>
    <t>Percentage Directed to Corrections Education/Community Corrections/Institutionalized Students</t>
  </si>
  <si>
    <t>The Adult Education and Family Literacy Act, Title II of the Workforce Investment Act of 1998 (P.L. 105-220) with Title V Provisions</t>
  </si>
  <si>
    <t>Institutions of Higher Education</t>
  </si>
  <si>
    <t xml:space="preserve">Subtotal Administration </t>
  </si>
  <si>
    <t>Subtotal Instructional Program ASE</t>
  </si>
  <si>
    <t>Subtotal Instructional Program ABE/ESL</t>
  </si>
  <si>
    <t>34 CFR Part 80.25 applies to this grant which allows programs to earn program income.  Subsection 80.25 (b) defines "program income" generally to mean gross income received by the local subgrantee directly generated by a grant supported activity or earned only as a result of the grant agreement during the grant period.  A local subgrantee charging reasonable and necessary tuition or fees to projected students and employers may use that income to provide additional adult education and literacy services, that it would otherwise be unable to provide.  Program income from tuition and fees must be (1) governed by the terms of the agreement between the State and local subgrantee to which the State provides federal funds, (2) accounted for in program records, and (3) used only for costs allowable under AEFLA.</t>
  </si>
  <si>
    <t>Purch Prof &amp; Tech Serv (0300)</t>
  </si>
  <si>
    <t>Other Purch Serv (0500)</t>
  </si>
  <si>
    <t>5-Error Checking</t>
  </si>
  <si>
    <t>Detail Sheets
2a, 3a</t>
  </si>
  <si>
    <t>4a
Budget Summary</t>
  </si>
  <si>
    <t>4a-Budget Summary</t>
  </si>
  <si>
    <t>This sheet may be used to highlight or comment on any items related to this budget request.</t>
  </si>
  <si>
    <t>If Administrative costs in excess of 5% are being requested, provided an explanation to support this request.</t>
  </si>
  <si>
    <t>FY2014-15</t>
  </si>
  <si>
    <t>Ron Mosness</t>
  </si>
  <si>
    <t xml:space="preserve">        303-866-6905       mosness_r@cde.state.co.us</t>
  </si>
  <si>
    <t>Federal/Match/Program Income</t>
  </si>
  <si>
    <t>Federal</t>
  </si>
  <si>
    <t>Match</t>
  </si>
  <si>
    <t>Program Income</t>
  </si>
  <si>
    <t>(0100)</t>
  </si>
  <si>
    <t>(0300)</t>
  </si>
  <si>
    <t>(0500)</t>
  </si>
  <si>
    <t>(0600)</t>
  </si>
  <si>
    <t>(0730)</t>
  </si>
  <si>
    <t>(0200)</t>
  </si>
  <si>
    <t>Amount</t>
  </si>
  <si>
    <t>Program-Instructional-ABE/ESL, Instructional-ASE, Administration</t>
  </si>
  <si>
    <t xml:space="preserve">The entries made on this sheet subtotal on the 4a-Budget Summary.  </t>
  </si>
  <si>
    <t>Name of Staff</t>
  </si>
  <si>
    <t>Position/
Title</t>
  </si>
  <si>
    <t>Is the source of Match funds from Federal grant</t>
  </si>
  <si>
    <t xml:space="preserve">Colorado Department of Education/Office of Grants Fiscal </t>
  </si>
  <si>
    <t>Corrections Summary</t>
  </si>
  <si>
    <t xml:space="preserve">Description </t>
  </si>
  <si>
    <t>3a-Staff Detail</t>
  </si>
  <si>
    <t xml:space="preserve">This sheet is to identify salary expenses as they relate to this budget.  The entries made on this sheet subtotal on the 4a-Budget Summary.  </t>
  </si>
  <si>
    <t>4a -Budget Summary</t>
  </si>
  <si>
    <t>CFDA #:   84.002                  GRANT CODE:  5002</t>
  </si>
  <si>
    <r>
      <t xml:space="preserve">Is the source of </t>
    </r>
    <r>
      <rPr>
        <b/>
        <sz val="10"/>
        <rFont val="Arial"/>
        <family val="2"/>
      </rPr>
      <t>MATCH</t>
    </r>
    <r>
      <rPr>
        <sz val="10"/>
        <rFont val="Arial"/>
        <family val="2"/>
      </rPr>
      <t xml:space="preserve"> funds from Federal grant</t>
    </r>
  </si>
  <si>
    <t>Name:</t>
  </si>
  <si>
    <t>Phone No.:</t>
  </si>
  <si>
    <t>E-mail:</t>
  </si>
  <si>
    <t>REGISTERED WITH SYSTEM OF AWARD MANAGEMENT (SAM):</t>
  </si>
  <si>
    <t>AGENCY NAME:</t>
  </si>
  <si>
    <t>Do not enter a program name.</t>
  </si>
  <si>
    <t>Enter the agency's Dun and Bradstreet Number (DUNS)  -  REQUIRED FIELD</t>
  </si>
  <si>
    <t>https://www.sam.gov/portal/public/SAM/#1</t>
  </si>
  <si>
    <t>Enter the date the budget is completed.  This field must be updated when revisions are submitted.</t>
  </si>
  <si>
    <t>2a-Budget Detail</t>
  </si>
  <si>
    <t xml:space="preserve">            AEFLA Federal Grant-Required</t>
  </si>
  <si>
    <t xml:space="preserve">           Match-Required</t>
  </si>
  <si>
    <t>REMINDER:  Enter the non-salary expenditures only.</t>
  </si>
  <si>
    <r>
      <rPr>
        <sz val="10"/>
        <rFont val="Calibri"/>
        <family val="2"/>
      </rPr>
      <t>Select</t>
    </r>
    <r>
      <rPr>
        <b/>
        <sz val="10"/>
        <rFont val="Calibri"/>
        <family val="2"/>
      </rPr>
      <t xml:space="preserve"> Instructional Program ABE/ESL, Instructional Program ASE or Administration</t>
    </r>
    <r>
      <rPr>
        <sz val="10"/>
        <rFont val="Calibri"/>
        <family val="2"/>
      </rPr>
      <t xml:space="preserve"> from the dropdown.</t>
    </r>
  </si>
  <si>
    <r>
      <rPr>
        <sz val="10"/>
        <rFont val="Calibri"/>
        <family val="2"/>
      </rPr>
      <t>Select</t>
    </r>
    <r>
      <rPr>
        <b/>
        <sz val="10"/>
        <rFont val="Calibri"/>
        <family val="2"/>
      </rPr>
      <t xml:space="preserve"> Federal/Match/Program Income </t>
    </r>
    <r>
      <rPr>
        <sz val="10"/>
        <rFont val="Calibri"/>
        <family val="2"/>
      </rPr>
      <t xml:space="preserve">from the dropdown.  This is the designation of the funds being budgeted.  </t>
    </r>
  </si>
  <si>
    <t>●Federal:  Expenditures to be paid with the AEFLA grant funds</t>
  </si>
  <si>
    <t>●Program Income:  Those expenditures that will be covered by any program income collected by the AEFLA funded program.  ALL program income must be used before the AEFLA federal funds.</t>
  </si>
  <si>
    <r>
      <rPr>
        <b/>
        <sz val="10"/>
        <rFont val="Calibri"/>
        <family val="2"/>
        <scheme val="minor"/>
      </rPr>
      <t>REQUIRED IF MATCH IS BEING BUDGETED:</t>
    </r>
    <r>
      <rPr>
        <sz val="10"/>
        <rFont val="Calibri"/>
        <family val="2"/>
        <scheme val="minor"/>
      </rPr>
      <t xml:space="preserve">  If "Match" is chosen in column 3 you must add the source of match. Reminder - Federal Funds can't be used for match.  Example:  Grant from ABC Company</t>
    </r>
  </si>
  <si>
    <r>
      <rPr>
        <b/>
        <sz val="10"/>
        <rFont val="Calibri"/>
        <family val="2"/>
        <scheme val="minor"/>
      </rPr>
      <t xml:space="preserve">REQUIRED IF MATCH IS BEING BUDGETED:  </t>
    </r>
    <r>
      <rPr>
        <sz val="10"/>
        <rFont val="Calibri"/>
        <family val="2"/>
        <scheme val="minor"/>
      </rPr>
      <t>Confirm that the match funds described in column 7 are not  federal funds.</t>
    </r>
  </si>
  <si>
    <t>http://fedgov.dnb.com/webform</t>
  </si>
  <si>
    <t xml:space="preserve"> All non-salary expenditures for AEFLA, Match and Program Income funds will be entered on this sheet.  A drop-down has been added to this worksheet for:</t>
  </si>
  <si>
    <t>CONTACT INFORMATION</t>
  </si>
  <si>
    <t>Enter the agency's current status (ACTIVE/INACTIVE) with the System for Award Management (SAM) - REQUIRED FIELD</t>
  </si>
  <si>
    <t>Active</t>
  </si>
  <si>
    <t>Inactive</t>
  </si>
  <si>
    <t>Enter name of staff member.</t>
  </si>
  <si>
    <r>
      <rPr>
        <b/>
        <sz val="10"/>
        <rFont val="Calibri"/>
        <family val="2"/>
        <scheme val="minor"/>
      </rPr>
      <t>REQUIRED IF MATCH IS BEING BUDGETED:</t>
    </r>
    <r>
      <rPr>
        <sz val="10"/>
        <rFont val="Calibri"/>
        <family val="2"/>
        <scheme val="minor"/>
      </rPr>
      <t xml:space="preserve">  If "Match" is chosen in column 2 you must add the source of match. Reminder - Federal Funds can't be used for match.  Example:  Grant from ABC Company</t>
    </r>
  </si>
  <si>
    <r>
      <rPr>
        <b/>
        <sz val="10"/>
        <rFont val="Calibri"/>
        <family val="2"/>
        <scheme val="minor"/>
      </rPr>
      <t xml:space="preserve">REQUIRED IF MATCH IS BEING BUDGETED:  </t>
    </r>
    <r>
      <rPr>
        <sz val="10"/>
        <rFont val="Calibri"/>
        <family val="2"/>
        <scheme val="minor"/>
      </rPr>
      <t>Confirm that the match funds described in column 10 are not  federal funds.</t>
    </r>
  </si>
  <si>
    <t>Ron Mosness                mosness_r@cde.state.co.us                 303-866-6905</t>
  </si>
  <si>
    <t>Marti Rodriguez          rodriguez_m@cde.state.co.us             303-866-6769</t>
  </si>
  <si>
    <t>5a-Error Checking sheet</t>
  </si>
  <si>
    <t>6a-Comment sheet</t>
  </si>
  <si>
    <t>Enter the amount of AEFLA funds being requested in cell D6</t>
  </si>
  <si>
    <t>Enter the amount of MATCH in cell E6</t>
  </si>
  <si>
    <t>Enter the amount of Program Income anticipated in cell F6</t>
  </si>
  <si>
    <t>Enter staff position/title.</t>
  </si>
  <si>
    <r>
      <rPr>
        <sz val="10"/>
        <rFont val="Calibri"/>
        <family val="2"/>
      </rPr>
      <t>Detailed information is to be entered to support each expense.  Example:  Employee benefits-</t>
    </r>
    <r>
      <rPr>
        <b/>
        <sz val="10"/>
        <rFont val="Calibri"/>
        <family val="2"/>
      </rPr>
      <t>not sufficient</t>
    </r>
    <r>
      <rPr>
        <sz val="10"/>
        <rFont val="Calibri"/>
        <family val="2"/>
      </rPr>
      <t xml:space="preserve">  vs.   Employee benefits for 4 teachers and 2 support staff-</t>
    </r>
    <r>
      <rPr>
        <b/>
        <sz val="10"/>
        <rFont val="Calibri"/>
        <family val="2"/>
      </rPr>
      <t xml:space="preserve">sufficient.  </t>
    </r>
  </si>
  <si>
    <t>9- DIGIT DUNS #:</t>
  </si>
  <si>
    <t>Program Manager/Program Name</t>
  </si>
  <si>
    <t>Enter data in white cells only.</t>
  </si>
  <si>
    <r>
      <t xml:space="preserve">If a cell background turns red, it means something is wrong or incomplete - either the cell itself or an associated cell.  </t>
    </r>
    <r>
      <rPr>
        <b/>
        <sz val="10"/>
        <rFont val="Calibri"/>
        <family val="2"/>
      </rPr>
      <t>Do not</t>
    </r>
    <r>
      <rPr>
        <sz val="10"/>
        <rFont val="Calibri"/>
        <family val="2"/>
      </rPr>
      <t xml:space="preserve"> submit this file if it contains any cells with a red background; call Office of Grants Fiscal for assistance.  Contact information on the Cover Page</t>
    </r>
  </si>
  <si>
    <t>Enter the legal name of the agency submitting grant.  Do not use a program name.</t>
  </si>
  <si>
    <t>Select Original or Revised from the dropdown.</t>
  </si>
  <si>
    <t xml:space="preserve">          Program Income-Required if generated under the proposed AEFLA Program</t>
  </si>
  <si>
    <t>●Match:  Those non-federal expenditures that have been identified to meet the 40% match requirement</t>
  </si>
  <si>
    <t>Enter the site of the position.</t>
  </si>
  <si>
    <t>Enter a description of the position</t>
  </si>
  <si>
    <t>Enter the anticipated cost of the salary to be paid with the AEFLA grant. (Example:  Instructor 1 will work 40 hours a week at $20,000/annually.  Only 20 hours will be charged to the AEFLA grant. The FTE in this case would be .50 and the salary would be $10,000.</t>
  </si>
  <si>
    <t>Enter the FTE % (up to 1.0) for the staff member.   See #8 for Example of FTE and Salary Costs</t>
  </si>
  <si>
    <t>2a-AEFLA BUDGET DETAIL</t>
  </si>
  <si>
    <t>3a-AEFLA STAFF DETAIL</t>
  </si>
  <si>
    <t>Source of MATCH OR Source of PROGRAM INCOME</t>
  </si>
  <si>
    <t>Source of MATCH OR PROGRAM INCOME</t>
  </si>
  <si>
    <t>Site</t>
  </si>
  <si>
    <t>The budget document  must contain language within the description that provide a direct tie to the application/narrative.  (EXAMPLE:  On 2a Budget, $2,000 is budgeted for Purchased Professional Services.  The description would include the section of the application where this activity is described.  For example this cost may be part of the Section G: Instructional Staff Qualification and/or Section H Professional Development.</t>
  </si>
  <si>
    <t>This grant does not allow indirect costs to be charged to the grant.  A maximum of 5% of the total amount being requested can be directed to Administrative costs; however, a higher rate may be negotiated with CDE.  See instructions for Sheet 6a-Comments on Instruction Tab.</t>
  </si>
  <si>
    <t>14-15v9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</si>
</sst>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mm/dd/yy"/>
    <numFmt numFmtId="165" formatCode="_(* #,##0_);_(* \(#,##0\);_(* &quot;-&quot;??_);_(@_)"/>
    <numFmt numFmtId="166" formatCode="mm/dd/yy;@"/>
  </numFmts>
  <fonts count="5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8"/>
      <color indexed="9"/>
      <name val="Arial"/>
      <family val="2"/>
    </font>
    <font>
      <i/>
      <sz val="8"/>
      <name val="Arial"/>
      <family val="2"/>
    </font>
    <font>
      <b/>
      <sz val="8"/>
      <name val="Arial"/>
      <family val="2"/>
    </font>
    <font>
      <sz val="10"/>
      <name val="Geneva"/>
    </font>
    <font>
      <sz val="10"/>
      <name val="Arial"/>
      <family val="2"/>
    </font>
    <font>
      <b/>
      <sz val="10"/>
      <name val="Arial"/>
      <family val="2"/>
    </font>
    <font>
      <b/>
      <u/>
      <sz val="10"/>
      <name val="Arial"/>
      <family val="2"/>
    </font>
    <font>
      <b/>
      <sz val="14"/>
      <name val="Arial"/>
      <family val="2"/>
    </font>
    <font>
      <sz val="8"/>
      <color indexed="81"/>
      <name val="Tahoma"/>
      <family val="2"/>
    </font>
    <font>
      <u/>
      <sz val="10"/>
      <color indexed="12"/>
      <name val="Arial"/>
      <family val="2"/>
    </font>
    <font>
      <b/>
      <i/>
      <sz val="10"/>
      <name val="Arial"/>
      <family val="2"/>
    </font>
    <font>
      <b/>
      <sz val="8"/>
      <color indexed="81"/>
      <name val="Tahoma"/>
      <family val="2"/>
    </font>
    <font>
      <u/>
      <sz val="8"/>
      <color indexed="12"/>
      <name val="Arial"/>
      <family val="2"/>
    </font>
    <font>
      <sz val="7"/>
      <name val="Arial"/>
      <family val="2"/>
    </font>
    <font>
      <b/>
      <u/>
      <sz val="8"/>
      <color indexed="81"/>
      <name val="Tahoma"/>
      <family val="2"/>
    </font>
    <font>
      <b/>
      <sz val="11"/>
      <name val="Arial"/>
      <family val="2"/>
    </font>
    <font>
      <b/>
      <sz val="12"/>
      <name val="Arial"/>
      <family val="2"/>
    </font>
    <font>
      <sz val="10"/>
      <color indexed="63"/>
      <name val="Arial"/>
      <family val="2"/>
    </font>
    <font>
      <sz val="8"/>
      <color indexed="63"/>
      <name val="Arial"/>
      <family val="2"/>
    </font>
    <font>
      <sz val="7"/>
      <color indexed="63"/>
      <name val="Arial"/>
      <family val="2"/>
    </font>
    <font>
      <b/>
      <sz val="11"/>
      <color theme="1"/>
      <name val="Calibri"/>
      <family val="2"/>
      <scheme val="minor"/>
    </font>
    <font>
      <sz val="8"/>
      <color theme="0"/>
      <name val="Arial"/>
      <family val="2"/>
    </font>
    <font>
      <b/>
      <sz val="9"/>
      <name val="Arial"/>
      <family val="2"/>
    </font>
    <font>
      <b/>
      <i/>
      <sz val="12"/>
      <color theme="1"/>
      <name val="Calibri"/>
      <family val="2"/>
      <scheme val="minor"/>
    </font>
    <font>
      <sz val="10"/>
      <name val="Calibri"/>
      <family val="2"/>
      <scheme val="minor"/>
    </font>
    <font>
      <b/>
      <sz val="10"/>
      <name val="Calibri"/>
      <family val="2"/>
      <scheme val="minor"/>
    </font>
    <font>
      <b/>
      <i/>
      <sz val="12"/>
      <name val="Calibri"/>
      <family val="2"/>
      <scheme val="minor"/>
    </font>
    <font>
      <b/>
      <u/>
      <sz val="10"/>
      <name val="Calibri"/>
      <family val="2"/>
      <scheme val="minor"/>
    </font>
    <font>
      <sz val="11"/>
      <name val="Calibri"/>
      <family val="2"/>
      <scheme val="minor"/>
    </font>
    <font>
      <sz val="10"/>
      <color theme="6" tint="-0.499984740745262"/>
      <name val="Calibri"/>
      <family val="2"/>
      <scheme val="minor"/>
    </font>
    <font>
      <b/>
      <sz val="11"/>
      <name val="Calibri"/>
      <family val="2"/>
      <scheme val="minor"/>
    </font>
    <font>
      <b/>
      <sz val="10"/>
      <name val="Calibri"/>
      <family val="2"/>
    </font>
    <font>
      <sz val="10"/>
      <name val="Calibri"/>
      <family val="2"/>
    </font>
    <font>
      <b/>
      <sz val="12"/>
      <color theme="1"/>
      <name val="Calibri"/>
      <family val="2"/>
      <scheme val="minor"/>
    </font>
    <font>
      <b/>
      <u/>
      <sz val="12"/>
      <color theme="1" tint="0.14999847407452621"/>
      <name val="Calibri"/>
      <family val="2"/>
      <scheme val="minor"/>
    </font>
    <font>
      <b/>
      <sz val="12"/>
      <color theme="1" tint="0.14999847407452621"/>
      <name val="Calibri"/>
      <family val="2"/>
      <scheme val="minor"/>
    </font>
    <font>
      <b/>
      <u/>
      <sz val="12"/>
      <color theme="6" tint="-0.499984740745262"/>
      <name val="Calibri"/>
      <family val="2"/>
      <scheme val="minor"/>
    </font>
    <font>
      <b/>
      <sz val="14"/>
      <color theme="6" tint="-0.499984740745262"/>
      <name val="Calibri"/>
      <family val="2"/>
      <scheme val="minor"/>
    </font>
    <font>
      <b/>
      <u/>
      <sz val="16"/>
      <color theme="6" tint="-0.499984740745262"/>
      <name val="Calibri"/>
      <family val="2"/>
      <scheme val="minor"/>
    </font>
    <font>
      <b/>
      <sz val="16"/>
      <color theme="6" tint="-0.499984740745262"/>
      <name val="Calibri"/>
      <family val="2"/>
      <scheme val="minor"/>
    </font>
    <font>
      <u/>
      <sz val="10"/>
      <color indexed="12"/>
      <name val="Arial"/>
      <family val="2"/>
    </font>
    <font>
      <sz val="10"/>
      <color indexed="63"/>
      <name val="Arial"/>
      <family val="2"/>
    </font>
    <font>
      <b/>
      <sz val="14"/>
      <name val="Calibri"/>
      <family val="2"/>
      <scheme val="minor"/>
    </font>
    <font>
      <sz val="12"/>
      <name val="Calibri"/>
      <family val="2"/>
      <scheme val="minor"/>
    </font>
    <font>
      <b/>
      <sz val="16"/>
      <name val="Arial"/>
      <family val="2"/>
    </font>
    <font>
      <sz val="10"/>
      <color theme="1"/>
      <name val="Calibri"/>
      <family val="2"/>
      <scheme val="minor"/>
    </font>
    <font>
      <b/>
      <sz val="10"/>
      <color indexed="63"/>
      <name val="Arial"/>
      <family val="2"/>
    </font>
    <font>
      <i/>
      <sz val="10"/>
      <name val="Arial"/>
      <family val="2"/>
    </font>
    <font>
      <b/>
      <u/>
      <sz val="14"/>
      <color theme="6" tint="-0.499984740745262"/>
      <name val="Calibri"/>
      <family val="2"/>
      <scheme val="minor"/>
    </font>
    <font>
      <sz val="12"/>
      <color theme="1" tint="0.14999847407452621"/>
      <name val="Calibri"/>
      <family val="2"/>
      <scheme val="minor"/>
    </font>
  </fonts>
  <fills count="7">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1"/>
        <bgColor indexed="64"/>
      </patternFill>
    </fill>
    <fill>
      <patternFill patternType="solid">
        <fgColor theme="6" tint="0.39997558519241921"/>
        <bgColor indexed="64"/>
      </patternFill>
    </fill>
    <fill>
      <patternFill patternType="solid">
        <fgColor rgb="FFFFFF00"/>
        <bgColor indexed="64"/>
      </patternFill>
    </fill>
  </fills>
  <borders count="53">
    <border>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double">
        <color indexed="64"/>
      </right>
      <top/>
      <bottom/>
      <diagonal/>
    </border>
    <border>
      <left style="thin">
        <color indexed="64"/>
      </left>
      <right style="thin">
        <color indexed="64"/>
      </right>
      <top/>
      <bottom style="double">
        <color indexed="64"/>
      </bottom>
      <diagonal/>
    </border>
    <border>
      <left style="thin">
        <color indexed="64"/>
      </left>
      <right/>
      <top/>
      <bottom/>
      <diagonal/>
    </border>
    <border>
      <left style="thin">
        <color indexed="64"/>
      </left>
      <right/>
      <top style="thin">
        <color indexed="64"/>
      </top>
      <bottom/>
      <diagonal/>
    </border>
    <border>
      <left style="double">
        <color indexed="64"/>
      </left>
      <right/>
      <top/>
      <bottom/>
      <diagonal/>
    </border>
    <border>
      <left/>
      <right/>
      <top style="thin">
        <color indexed="64"/>
      </top>
      <bottom/>
      <diagonal/>
    </border>
    <border>
      <left/>
      <right/>
      <top/>
      <bottom style="thin">
        <color indexed="64"/>
      </bottom>
      <diagonal/>
    </border>
    <border>
      <left style="double">
        <color indexed="64"/>
      </left>
      <right/>
      <top/>
      <bottom style="double">
        <color indexed="64"/>
      </bottom>
      <diagonal/>
    </border>
    <border>
      <left style="double">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style="thin">
        <color indexed="64"/>
      </right>
      <top style="double">
        <color indexed="64"/>
      </top>
      <bottom style="thin">
        <color indexed="64"/>
      </bottom>
      <diagonal/>
    </border>
    <border>
      <left/>
      <right/>
      <top style="double">
        <color indexed="64"/>
      </top>
      <bottom/>
      <diagonal/>
    </border>
    <border>
      <left style="thin">
        <color indexed="64"/>
      </left>
      <right style="double">
        <color indexed="64"/>
      </right>
      <top style="double">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uble">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
    <xf numFmtId="0" fontId="0" fillId="0" borderId="0"/>
    <xf numFmtId="43" fontId="6" fillId="0" borderId="0" applyFont="0" applyFill="0" applyBorder="0" applyAlignment="0" applyProtection="0"/>
    <xf numFmtId="0" fontId="17" fillId="0" borderId="0" applyNumberFormat="0" applyFill="0" applyBorder="0" applyAlignment="0" applyProtection="0">
      <alignment vertical="top"/>
      <protection locked="0"/>
    </xf>
    <xf numFmtId="0" fontId="11" fillId="0" borderId="0"/>
    <xf numFmtId="0" fontId="5" fillId="0" borderId="0"/>
    <xf numFmtId="0" fontId="12" fillId="0" borderId="0"/>
    <xf numFmtId="43" fontId="12" fillId="0" borderId="0" applyFont="0" applyFill="0" applyBorder="0" applyAlignment="0" applyProtection="0"/>
    <xf numFmtId="9" fontId="6" fillId="0" borderId="0" applyFont="0" applyFill="0" applyBorder="0" applyAlignment="0" applyProtection="0"/>
    <xf numFmtId="0" fontId="48" fillId="0" borderId="0" applyNumberFormat="0" applyFill="0" applyBorder="0" applyAlignment="0" applyProtection="0">
      <alignment vertical="top"/>
      <protection locked="0"/>
    </xf>
    <xf numFmtId="0" fontId="4" fillId="0" borderId="0"/>
  </cellStyleXfs>
  <cellXfs count="326">
    <xf numFmtId="0" fontId="0" fillId="0" borderId="0" xfId="0"/>
    <xf numFmtId="0" fontId="0" fillId="0" borderId="0" xfId="0" quotePrefix="1"/>
    <xf numFmtId="0" fontId="13" fillId="0" borderId="0" xfId="0" applyFont="1" applyFill="1" applyBorder="1" applyAlignment="1" applyProtection="1">
      <alignment horizontal="left"/>
    </xf>
    <xf numFmtId="0" fontId="18" fillId="0" borderId="0" xfId="0" applyFont="1" applyFill="1" applyBorder="1" applyAlignment="1" applyProtection="1">
      <alignment horizontal="left"/>
    </xf>
    <xf numFmtId="164" fontId="12" fillId="0" borderId="0" xfId="0" applyNumberFormat="1" applyFont="1" applyProtection="1">
      <protection locked="0"/>
    </xf>
    <xf numFmtId="0" fontId="12" fillId="0" borderId="3" xfId="0" applyFont="1" applyFill="1" applyBorder="1" applyAlignment="1">
      <alignment horizontal="left"/>
    </xf>
    <xf numFmtId="0" fontId="12" fillId="0" borderId="4" xfId="0" applyFont="1" applyFill="1" applyBorder="1" applyAlignment="1">
      <alignment horizontal="left"/>
    </xf>
    <xf numFmtId="0" fontId="12" fillId="0" borderId="5" xfId="0" applyFont="1" applyFill="1" applyBorder="1" applyAlignment="1">
      <alignment horizontal="left"/>
    </xf>
    <xf numFmtId="0" fontId="12" fillId="0" borderId="0" xfId="0" applyFont="1" applyFill="1" applyBorder="1" applyAlignment="1">
      <alignment horizontal="left"/>
    </xf>
    <xf numFmtId="0" fontId="0" fillId="0" borderId="0" xfId="0" applyBorder="1"/>
    <xf numFmtId="0" fontId="0" fillId="0" borderId="0" xfId="0" quotePrefix="1" applyAlignment="1">
      <alignment horizontal="right"/>
    </xf>
    <xf numFmtId="0" fontId="0" fillId="2" borderId="0" xfId="0" applyFill="1" applyProtection="1"/>
    <xf numFmtId="0" fontId="20" fillId="2" borderId="0" xfId="2" applyFont="1" applyFill="1" applyBorder="1" applyAlignment="1" applyProtection="1">
      <alignment horizontal="center"/>
    </xf>
    <xf numFmtId="0" fontId="21" fillId="2" borderId="0" xfId="0" applyFont="1" applyFill="1" applyProtection="1"/>
    <xf numFmtId="0" fontId="0" fillId="0" borderId="0" xfId="0" applyProtection="1"/>
    <xf numFmtId="0" fontId="20" fillId="2" borderId="0" xfId="2" applyFont="1" applyFill="1" applyAlignment="1" applyProtection="1">
      <alignment horizontal="center"/>
    </xf>
    <xf numFmtId="0" fontId="14" fillId="2" borderId="0" xfId="0" applyFont="1" applyFill="1" applyProtection="1"/>
    <xf numFmtId="0" fontId="8" fillId="3" borderId="0" xfId="0" applyFont="1" applyFill="1" applyAlignment="1" applyProtection="1">
      <alignment horizontal="left" indent="1"/>
    </xf>
    <xf numFmtId="0" fontId="8" fillId="3" borderId="0" xfId="0" applyFont="1" applyFill="1" applyProtection="1"/>
    <xf numFmtId="3" fontId="8" fillId="3" borderId="0" xfId="0" applyNumberFormat="1" applyFont="1" applyFill="1" applyProtection="1"/>
    <xf numFmtId="0" fontId="7" fillId="3" borderId="0" xfId="0" applyFont="1" applyFill="1" applyAlignment="1" applyProtection="1">
      <alignment horizontal="left" indent="1"/>
    </xf>
    <xf numFmtId="0" fontId="7" fillId="3" borderId="0" xfId="0" applyFont="1" applyFill="1" applyProtection="1"/>
    <xf numFmtId="3" fontId="7" fillId="3" borderId="0" xfId="0" applyNumberFormat="1" applyFont="1" applyFill="1" applyProtection="1"/>
    <xf numFmtId="0" fontId="21" fillId="0" borderId="0" xfId="0" applyFont="1" applyProtection="1"/>
    <xf numFmtId="3" fontId="7" fillId="0" borderId="28" xfId="0" applyNumberFormat="1" applyFont="1" applyFill="1" applyBorder="1" applyProtection="1">
      <protection locked="0"/>
    </xf>
    <xf numFmtId="166" fontId="25" fillId="0" borderId="0" xfId="0" applyNumberFormat="1" applyFont="1" applyFill="1" applyAlignment="1">
      <alignment horizontal="center" vertical="top"/>
    </xf>
    <xf numFmtId="0" fontId="25" fillId="0" borderId="0" xfId="0" applyFont="1" applyFill="1"/>
    <xf numFmtId="0" fontId="25" fillId="0" borderId="0" xfId="0" applyFont="1" applyFill="1" applyAlignment="1">
      <alignment wrapText="1"/>
    </xf>
    <xf numFmtId="166" fontId="25" fillId="0" borderId="0" xfId="0" applyNumberFormat="1" applyFont="1" applyFill="1" applyAlignment="1" applyProtection="1">
      <alignment horizontal="center" vertical="top"/>
      <protection locked="0"/>
    </xf>
    <xf numFmtId="0" fontId="25" fillId="0" borderId="0" xfId="0" applyFont="1" applyFill="1" applyAlignment="1" applyProtection="1">
      <alignment wrapText="1"/>
      <protection locked="0"/>
    </xf>
    <xf numFmtId="3" fontId="7" fillId="0" borderId="0" xfId="0" applyNumberFormat="1" applyFont="1" applyFill="1" applyBorder="1" applyProtection="1">
      <protection locked="0"/>
    </xf>
    <xf numFmtId="0" fontId="10" fillId="4" borderId="0" xfId="0" applyFont="1" applyFill="1" applyProtection="1"/>
    <xf numFmtId="3" fontId="7" fillId="4" borderId="0" xfId="0" applyNumberFormat="1" applyFont="1" applyFill="1" applyBorder="1" applyProtection="1"/>
    <xf numFmtId="0" fontId="0" fillId="4" borderId="0" xfId="0" applyFill="1" applyProtection="1"/>
    <xf numFmtId="0" fontId="29" fillId="4" borderId="0" xfId="0" applyFont="1" applyFill="1" applyAlignment="1" applyProtection="1">
      <alignment horizontal="left" indent="1"/>
    </xf>
    <xf numFmtId="0" fontId="0" fillId="5" borderId="0" xfId="0" applyFill="1" applyProtection="1"/>
    <xf numFmtId="0" fontId="0" fillId="6" borderId="0" xfId="0" applyFill="1" applyProtection="1"/>
    <xf numFmtId="0" fontId="30" fillId="6" borderId="0" xfId="0" applyFont="1" applyFill="1" applyProtection="1"/>
    <xf numFmtId="0" fontId="12" fillId="5" borderId="0" xfId="0" applyFont="1" applyFill="1" applyAlignment="1" applyProtection="1">
      <alignment horizontal="center"/>
    </xf>
    <xf numFmtId="0" fontId="12" fillId="5" borderId="0" xfId="0" applyFont="1" applyFill="1" applyProtection="1"/>
    <xf numFmtId="0" fontId="21" fillId="5" borderId="0" xfId="0" applyFont="1" applyFill="1" applyProtection="1"/>
    <xf numFmtId="0" fontId="13" fillId="5" borderId="0" xfId="0" applyFont="1" applyFill="1" applyProtection="1"/>
    <xf numFmtId="0" fontId="13" fillId="5" borderId="0" xfId="0" applyFont="1" applyFill="1" applyAlignment="1" applyProtection="1">
      <alignment horizontal="center"/>
    </xf>
    <xf numFmtId="0" fontId="13" fillId="5" borderId="10" xfId="0" applyFont="1" applyFill="1" applyBorder="1" applyAlignment="1" applyProtection="1">
      <alignment horizontal="right"/>
    </xf>
    <xf numFmtId="0" fontId="13" fillId="5" borderId="6" xfId="0" applyFont="1" applyFill="1" applyBorder="1" applyAlignment="1" applyProtection="1">
      <alignment horizontal="center"/>
    </xf>
    <xf numFmtId="0" fontId="12" fillId="5" borderId="0" xfId="0" applyFont="1" applyFill="1" applyBorder="1" applyAlignment="1" applyProtection="1">
      <alignment horizontal="center"/>
    </xf>
    <xf numFmtId="0" fontId="13" fillId="5" borderId="9" xfId="0" applyFont="1" applyFill="1" applyBorder="1" applyAlignment="1" applyProtection="1">
      <alignment horizontal="right"/>
    </xf>
    <xf numFmtId="0" fontId="12" fillId="5" borderId="9" xfId="0" applyFont="1" applyFill="1" applyBorder="1" applyAlignment="1" applyProtection="1">
      <alignment horizontal="right"/>
    </xf>
    <xf numFmtId="0" fontId="12" fillId="5" borderId="0" xfId="0" applyFont="1" applyFill="1" applyBorder="1" applyProtection="1"/>
    <xf numFmtId="0" fontId="12" fillId="5" borderId="0" xfId="0" applyFont="1" applyFill="1" applyBorder="1" applyAlignment="1" applyProtection="1">
      <alignment horizontal="right"/>
    </xf>
    <xf numFmtId="0" fontId="18" fillId="5" borderId="10" xfId="0" applyFont="1" applyFill="1" applyBorder="1" applyAlignment="1" applyProtection="1">
      <alignment horizontal="right"/>
    </xf>
    <xf numFmtId="0" fontId="13" fillId="5" borderId="1" xfId="0" applyFont="1" applyFill="1" applyBorder="1" applyAlignment="1" applyProtection="1">
      <alignment horizontal="right"/>
    </xf>
    <xf numFmtId="0" fontId="12" fillId="5" borderId="0" xfId="0" applyFont="1" applyFill="1" applyAlignment="1" applyProtection="1">
      <alignment horizontal="right"/>
    </xf>
    <xf numFmtId="0" fontId="14" fillId="5" borderId="0" xfId="0" applyFont="1" applyFill="1" applyBorder="1" applyAlignment="1" applyProtection="1">
      <alignment horizontal="left"/>
    </xf>
    <xf numFmtId="0" fontId="14" fillId="5" borderId="0" xfId="0" applyFont="1" applyFill="1" applyBorder="1" applyProtection="1"/>
    <xf numFmtId="0" fontId="13" fillId="5" borderId="0" xfId="0" applyFont="1" applyFill="1" applyBorder="1" applyAlignment="1" applyProtection="1">
      <alignment horizontal="right"/>
    </xf>
    <xf numFmtId="0" fontId="13" fillId="5" borderId="0" xfId="0" applyFont="1" applyFill="1" applyBorder="1" applyAlignment="1" applyProtection="1">
      <alignment horizontal="left" vertical="center" wrapText="1"/>
    </xf>
    <xf numFmtId="0" fontId="17" fillId="5" borderId="0" xfId="2" applyFill="1" applyBorder="1" applyAlignment="1" applyProtection="1">
      <alignment vertical="center"/>
    </xf>
    <xf numFmtId="0" fontId="13" fillId="5" borderId="0" xfId="0" applyFont="1" applyFill="1" applyBorder="1" applyAlignment="1" applyProtection="1">
      <alignment vertical="center"/>
    </xf>
    <xf numFmtId="0" fontId="12" fillId="5" borderId="0" xfId="0" applyFont="1" applyFill="1" applyAlignment="1" applyProtection="1">
      <alignment vertical="center"/>
    </xf>
    <xf numFmtId="0" fontId="13" fillId="5" borderId="0" xfId="0" applyFont="1" applyFill="1" applyBorder="1" applyAlignment="1" applyProtection="1">
      <alignment horizontal="left" wrapText="1"/>
    </xf>
    <xf numFmtId="0" fontId="14" fillId="5" borderId="0" xfId="0" applyFont="1" applyFill="1" applyBorder="1" applyAlignment="1" applyProtection="1">
      <alignment horizontal="right"/>
    </xf>
    <xf numFmtId="0" fontId="12" fillId="5" borderId="0" xfId="0" applyFont="1" applyFill="1" applyBorder="1" applyAlignment="1" applyProtection="1"/>
    <xf numFmtId="0" fontId="12" fillId="5" borderId="0" xfId="0" applyFont="1" applyFill="1" applyBorder="1" applyAlignment="1" applyProtection="1">
      <alignment horizontal="left"/>
    </xf>
    <xf numFmtId="0" fontId="21" fillId="5" borderId="0" xfId="0" applyFont="1" applyFill="1" applyAlignment="1" applyProtection="1">
      <alignment horizontal="left"/>
    </xf>
    <xf numFmtId="164" fontId="7" fillId="5" borderId="25" xfId="0" applyNumberFormat="1" applyFont="1" applyFill="1" applyBorder="1" applyAlignment="1" applyProtection="1">
      <alignment horizontal="center" vertical="center" wrapText="1"/>
    </xf>
    <xf numFmtId="0" fontId="10" fillId="5" borderId="0" xfId="0" applyFont="1" applyFill="1" applyAlignment="1" applyProtection="1">
      <alignment horizontal="center"/>
    </xf>
    <xf numFmtId="0" fontId="7" fillId="5" borderId="0" xfId="0" applyFont="1" applyFill="1" applyBorder="1" applyAlignment="1" applyProtection="1">
      <alignment horizontal="center"/>
    </xf>
    <xf numFmtId="0" fontId="7" fillId="5" borderId="0" xfId="0" applyFont="1" applyFill="1" applyBorder="1" applyProtection="1"/>
    <xf numFmtId="0" fontId="7" fillId="5" borderId="25" xfId="0" applyFont="1" applyFill="1" applyBorder="1" applyAlignment="1" applyProtection="1">
      <alignment horizontal="center" vertical="center"/>
    </xf>
    <xf numFmtId="0" fontId="7" fillId="5" borderId="26" xfId="0" applyFont="1" applyFill="1" applyBorder="1" applyAlignment="1" applyProtection="1">
      <alignment horizontal="center" vertical="center"/>
    </xf>
    <xf numFmtId="3" fontId="8" fillId="3" borderId="25" xfId="0" applyNumberFormat="1" applyFont="1" applyFill="1" applyBorder="1" applyProtection="1"/>
    <xf numFmtId="0" fontId="7" fillId="5" borderId="0" xfId="0" applyFont="1" applyFill="1" applyProtection="1"/>
    <xf numFmtId="0" fontId="5" fillId="0" borderId="0" xfId="4" applyFont="1" applyFill="1" applyAlignment="1">
      <alignment wrapText="1"/>
    </xf>
    <xf numFmtId="0" fontId="32" fillId="0" borderId="0" xfId="5" applyFont="1" applyFill="1" applyAlignment="1">
      <alignment vertical="top" wrapText="1"/>
    </xf>
    <xf numFmtId="0" fontId="5" fillId="0" borderId="0" xfId="4" applyFont="1" applyFill="1" applyAlignment="1">
      <alignment vertical="top" wrapText="1"/>
    </xf>
    <xf numFmtId="0" fontId="33" fillId="0" borderId="0" xfId="5" applyNumberFormat="1" applyFont="1" applyFill="1" applyBorder="1" applyAlignment="1">
      <alignment horizontal="left" vertical="center" wrapText="1"/>
    </xf>
    <xf numFmtId="0" fontId="32" fillId="0" borderId="0" xfId="5" applyFont="1" applyFill="1" applyAlignment="1">
      <alignment wrapText="1"/>
    </xf>
    <xf numFmtId="0" fontId="33" fillId="0" borderId="0" xfId="5" applyFont="1" applyFill="1" applyAlignment="1">
      <alignment wrapText="1"/>
    </xf>
    <xf numFmtId="0" fontId="33" fillId="0" borderId="0" xfId="5" applyFont="1" applyFill="1" applyAlignment="1">
      <alignment horizontal="center" vertical="top"/>
    </xf>
    <xf numFmtId="0" fontId="5" fillId="0" borderId="0" xfId="4" applyFont="1" applyFill="1"/>
    <xf numFmtId="0" fontId="33" fillId="0" borderId="0" xfId="5" applyFont="1" applyFill="1" applyBorder="1" applyAlignment="1">
      <alignment horizontal="center"/>
    </xf>
    <xf numFmtId="0" fontId="28" fillId="0" borderId="0" xfId="4" applyFont="1" applyFill="1" applyAlignment="1">
      <alignment horizontal="center"/>
    </xf>
    <xf numFmtId="18" fontId="23" fillId="5" borderId="0" xfId="0" applyNumberFormat="1" applyFont="1" applyFill="1" applyBorder="1" applyAlignment="1" applyProtection="1">
      <alignment horizontal="center"/>
    </xf>
    <xf numFmtId="0" fontId="7" fillId="5" borderId="0" xfId="0" applyFont="1" applyFill="1" applyAlignment="1" applyProtection="1">
      <alignment horizontal="left"/>
    </xf>
    <xf numFmtId="3" fontId="7" fillId="5" borderId="0" xfId="0" applyNumberFormat="1" applyFont="1" applyFill="1" applyProtection="1"/>
    <xf numFmtId="0" fontId="30" fillId="5" borderId="26" xfId="0" applyFont="1" applyFill="1" applyBorder="1" applyAlignment="1" applyProtection="1">
      <alignment horizontal="center" vertical="center"/>
    </xf>
    <xf numFmtId="0" fontId="30" fillId="5" borderId="25" xfId="0" applyFont="1" applyFill="1" applyBorder="1" applyAlignment="1" applyProtection="1">
      <alignment horizontal="center" vertical="center"/>
    </xf>
    <xf numFmtId="0" fontId="7" fillId="5" borderId="0" xfId="0" applyFont="1" applyFill="1" applyAlignment="1" applyProtection="1">
      <alignment horizontal="left" indent="1"/>
    </xf>
    <xf numFmtId="3" fontId="7" fillId="5" borderId="25" xfId="0" quotePrefix="1" applyNumberFormat="1" applyFont="1" applyFill="1" applyBorder="1" applyProtection="1"/>
    <xf numFmtId="0" fontId="10" fillId="5" borderId="0" xfId="0" applyFont="1" applyFill="1" applyProtection="1"/>
    <xf numFmtId="3" fontId="7" fillId="5" borderId="25" xfId="0" applyNumberFormat="1" applyFont="1" applyFill="1" applyBorder="1" applyProtection="1"/>
    <xf numFmtId="0" fontId="7" fillId="5" borderId="0" xfId="0" applyFont="1" applyFill="1" applyBorder="1" applyAlignment="1" applyProtection="1">
      <alignment horizontal="left" indent="1"/>
    </xf>
    <xf numFmtId="0" fontId="7" fillId="5" borderId="13" xfId="0" applyFont="1" applyFill="1" applyBorder="1" applyAlignment="1" applyProtection="1">
      <alignment horizontal="left" indent="1"/>
    </xf>
    <xf numFmtId="0" fontId="10" fillId="5" borderId="13" xfId="0" applyFont="1" applyFill="1" applyBorder="1" applyProtection="1"/>
    <xf numFmtId="0" fontId="21" fillId="5" borderId="0" xfId="0" applyFont="1" applyFill="1" applyAlignment="1" applyProtection="1">
      <alignment horizontal="left" indent="1"/>
    </xf>
    <xf numFmtId="0" fontId="21" fillId="5" borderId="0" xfId="0" quotePrefix="1" applyFont="1" applyFill="1" applyAlignment="1" applyProtection="1">
      <alignment horizontal="center"/>
    </xf>
    <xf numFmtId="0" fontId="13" fillId="5" borderId="0" xfId="0" applyFont="1" applyFill="1"/>
    <xf numFmtId="0" fontId="13" fillId="5" borderId="0" xfId="0" applyFont="1" applyFill="1" applyAlignment="1">
      <alignment horizontal="right"/>
    </xf>
    <xf numFmtId="0" fontId="13" fillId="5" borderId="15" xfId="0" applyFont="1" applyFill="1" applyBorder="1" applyAlignment="1">
      <alignment horizontal="center" vertical="center"/>
    </xf>
    <xf numFmtId="0" fontId="13" fillId="5" borderId="19" xfId="0" applyFont="1" applyFill="1" applyBorder="1" applyAlignment="1">
      <alignment horizontal="center" vertical="center"/>
    </xf>
    <xf numFmtId="0" fontId="13" fillId="5" borderId="17"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20" xfId="0" applyFont="1" applyFill="1" applyBorder="1" applyAlignment="1">
      <alignment horizontal="center" vertical="center"/>
    </xf>
    <xf numFmtId="0" fontId="13" fillId="5" borderId="0" xfId="0" applyFont="1" applyFill="1" applyAlignment="1">
      <alignment horizontal="center" vertical="center"/>
    </xf>
    <xf numFmtId="0" fontId="13" fillId="5" borderId="0" xfId="0" applyFont="1" applyFill="1" applyBorder="1"/>
    <xf numFmtId="0" fontId="41" fillId="0" borderId="0" xfId="4" applyFont="1" applyFill="1" applyAlignment="1">
      <alignment wrapText="1"/>
    </xf>
    <xf numFmtId="0" fontId="44" fillId="0" borderId="0" xfId="5" applyFont="1" applyFill="1" applyAlignment="1">
      <alignment horizontal="center" wrapText="1"/>
    </xf>
    <xf numFmtId="0" fontId="36" fillId="0" borderId="0" xfId="5" applyFont="1" applyFill="1" applyAlignment="1">
      <alignment wrapText="1"/>
    </xf>
    <xf numFmtId="0" fontId="46" fillId="0" borderId="0" xfId="5" applyFont="1" applyFill="1" applyAlignment="1">
      <alignment horizontal="center" wrapText="1"/>
    </xf>
    <xf numFmtId="0" fontId="4" fillId="0" borderId="0" xfId="4" applyFont="1" applyFill="1" applyAlignment="1">
      <alignment wrapText="1"/>
    </xf>
    <xf numFmtId="0" fontId="0" fillId="0" borderId="0" xfId="0" applyProtection="1">
      <protection locked="0"/>
    </xf>
    <xf numFmtId="0" fontId="7" fillId="5" borderId="41" xfId="0" applyFont="1" applyFill="1" applyBorder="1" applyAlignment="1" applyProtection="1">
      <alignment horizontal="center" vertical="center"/>
    </xf>
    <xf numFmtId="0" fontId="7" fillId="5" borderId="42" xfId="0" applyFont="1" applyFill="1" applyBorder="1" applyAlignment="1" applyProtection="1">
      <alignment horizontal="center" vertical="center"/>
    </xf>
    <xf numFmtId="0" fontId="7" fillId="5" borderId="43" xfId="0" applyFont="1" applyFill="1" applyBorder="1" applyAlignment="1" applyProtection="1">
      <alignment horizontal="center" vertical="center"/>
    </xf>
    <xf numFmtId="0" fontId="7" fillId="5" borderId="44" xfId="0" applyFont="1" applyFill="1" applyBorder="1" applyAlignment="1" applyProtection="1">
      <alignment horizontal="center" vertical="center"/>
    </xf>
    <xf numFmtId="0" fontId="7" fillId="5" borderId="45" xfId="0" applyFont="1" applyFill="1" applyBorder="1" applyAlignment="1" applyProtection="1">
      <alignment horizontal="center" vertical="center"/>
    </xf>
    <xf numFmtId="0" fontId="0" fillId="0" borderId="0" xfId="0" applyNumberFormat="1" applyFill="1" applyProtection="1">
      <protection locked="0"/>
    </xf>
    <xf numFmtId="0" fontId="25" fillId="5" borderId="0" xfId="0" applyFont="1" applyFill="1"/>
    <xf numFmtId="166" fontId="25" fillId="5" borderId="0" xfId="0" applyNumberFormat="1" applyFont="1" applyFill="1" applyAlignment="1" applyProtection="1">
      <alignment horizontal="center" vertical="top"/>
      <protection locked="0"/>
    </xf>
    <xf numFmtId="0" fontId="25" fillId="5" borderId="0" xfId="0" applyFont="1" applyFill="1" applyAlignment="1" applyProtection="1">
      <alignment wrapText="1"/>
      <protection locked="0"/>
    </xf>
    <xf numFmtId="10" fontId="30" fillId="6" borderId="0" xfId="0" applyNumberFormat="1" applyFont="1" applyFill="1" applyProtection="1"/>
    <xf numFmtId="0" fontId="48" fillId="5" borderId="0" xfId="2" applyFont="1" applyFill="1" applyAlignment="1" applyProtection="1">
      <alignment horizontal="center"/>
    </xf>
    <xf numFmtId="0" fontId="48" fillId="5" borderId="0" xfId="2" applyFont="1" applyFill="1" applyBorder="1" applyAlignment="1" applyProtection="1"/>
    <xf numFmtId="0" fontId="6" fillId="0" borderId="4" xfId="0" applyFont="1" applyFill="1" applyBorder="1" applyAlignment="1">
      <alignment horizontal="left"/>
    </xf>
    <xf numFmtId="0" fontId="6" fillId="0" borderId="0" xfId="0" applyFont="1" applyFill="1" applyBorder="1" applyAlignment="1" applyProtection="1">
      <alignment horizontal="center"/>
      <protection locked="0"/>
    </xf>
    <xf numFmtId="0" fontId="14" fillId="5" borderId="0" xfId="0" applyFont="1" applyFill="1" applyProtection="1"/>
    <xf numFmtId="0" fontId="6" fillId="5" borderId="0" xfId="0" applyFont="1" applyFill="1" applyBorder="1" applyAlignment="1" applyProtection="1">
      <alignment horizontal="right"/>
    </xf>
    <xf numFmtId="0" fontId="6" fillId="5" borderId="0" xfId="0" applyFont="1" applyFill="1" applyBorder="1" applyAlignment="1" applyProtection="1">
      <alignment horizontal="left"/>
    </xf>
    <xf numFmtId="0" fontId="6" fillId="0" borderId="0" xfId="0" applyFont="1"/>
    <xf numFmtId="0" fontId="6" fillId="0" borderId="0" xfId="0" quotePrefix="1" applyFont="1"/>
    <xf numFmtId="0" fontId="0" fillId="0" borderId="0" xfId="0" applyFill="1" applyProtection="1"/>
    <xf numFmtId="164" fontId="7" fillId="5" borderId="46" xfId="0" applyNumberFormat="1" applyFont="1" applyFill="1" applyBorder="1" applyAlignment="1" applyProtection="1">
      <alignment horizontal="center" vertical="center" wrapText="1"/>
    </xf>
    <xf numFmtId="9" fontId="0" fillId="0" borderId="0" xfId="0" applyNumberFormat="1" applyFill="1" applyBorder="1" applyProtection="1"/>
    <xf numFmtId="0" fontId="0" fillId="0" borderId="0" xfId="0" applyFill="1" applyBorder="1" applyProtection="1"/>
    <xf numFmtId="0" fontId="7" fillId="0" borderId="0" xfId="0" applyNumberFormat="1" applyFont="1" applyFill="1" applyBorder="1" applyAlignment="1" applyProtection="1">
      <alignment horizontal="center"/>
    </xf>
    <xf numFmtId="164" fontId="7" fillId="0" borderId="0" xfId="0" applyNumberFormat="1" applyFont="1" applyFill="1" applyBorder="1" applyAlignment="1" applyProtection="1">
      <alignment horizontal="center" vertical="center" wrapText="1"/>
    </xf>
    <xf numFmtId="0" fontId="7" fillId="5" borderId="0" xfId="0" quotePrefix="1" applyFont="1" applyFill="1" applyProtection="1"/>
    <xf numFmtId="0" fontId="7" fillId="0" borderId="0" xfId="0" applyFont="1" applyFill="1" applyBorder="1" applyAlignment="1" applyProtection="1">
      <alignment horizontal="center" vertical="center"/>
    </xf>
    <xf numFmtId="0" fontId="7" fillId="0" borderId="0" xfId="0" applyFont="1" applyBorder="1" applyAlignment="1" applyProtection="1">
      <alignment horizontal="center" vertical="center" wrapText="1"/>
      <protection locked="0"/>
    </xf>
    <xf numFmtId="2" fontId="7" fillId="0" borderId="0" xfId="0" applyNumberFormat="1" applyFont="1" applyBorder="1" applyAlignment="1" applyProtection="1">
      <alignment horizontal="center" vertical="center" wrapText="1"/>
      <protection locked="0"/>
    </xf>
    <xf numFmtId="0" fontId="45" fillId="0" borderId="0" xfId="5" applyFont="1" applyFill="1" applyAlignment="1">
      <alignment horizontal="center" wrapText="1"/>
    </xf>
    <xf numFmtId="0" fontId="50" fillId="0" borderId="0" xfId="5" applyFont="1" applyFill="1" applyAlignment="1">
      <alignment horizontal="center" vertical="center" wrapText="1"/>
    </xf>
    <xf numFmtId="0" fontId="45" fillId="0" borderId="29" xfId="5" applyFont="1" applyFill="1" applyBorder="1" applyAlignment="1">
      <alignment horizontal="center" wrapText="1"/>
    </xf>
    <xf numFmtId="0" fontId="51" fillId="0" borderId="30" xfId="5" applyFont="1" applyFill="1" applyBorder="1" applyAlignment="1">
      <alignment horizontal="left" wrapText="1"/>
    </xf>
    <xf numFmtId="0" fontId="51" fillId="0" borderId="31" xfId="5" applyFont="1" applyFill="1" applyBorder="1" applyAlignment="1">
      <alignment horizontal="left" wrapText="1"/>
    </xf>
    <xf numFmtId="0" fontId="51" fillId="0" borderId="29" xfId="5" applyFont="1" applyFill="1" applyBorder="1" applyAlignment="1">
      <alignment horizontal="left" wrapText="1"/>
    </xf>
    <xf numFmtId="0" fontId="42" fillId="0" borderId="0" xfId="5" applyFont="1" applyFill="1" applyAlignment="1">
      <alignment horizontal="center" wrapText="1"/>
    </xf>
    <xf numFmtId="0" fontId="43" fillId="0" borderId="0" xfId="5" applyFont="1" applyFill="1" applyAlignment="1">
      <alignment horizontal="center" wrapText="1"/>
    </xf>
    <xf numFmtId="0" fontId="33" fillId="0" borderId="0" xfId="5" applyFont="1" applyFill="1" applyAlignment="1">
      <alignment horizontal="center"/>
    </xf>
    <xf numFmtId="0" fontId="5" fillId="0" borderId="0" xfId="4" applyFont="1" applyFill="1" applyAlignment="1">
      <alignment vertical="top"/>
    </xf>
    <xf numFmtId="0" fontId="28" fillId="0" borderId="0" xfId="4" applyFont="1" applyFill="1" applyAlignment="1">
      <alignment horizontal="center" vertical="top"/>
    </xf>
    <xf numFmtId="0" fontId="5" fillId="0" borderId="0" xfId="4" applyFont="1" applyFill="1" applyAlignment="1"/>
    <xf numFmtId="0" fontId="53" fillId="0" borderId="0" xfId="4" applyFont="1" applyFill="1" applyAlignment="1">
      <alignment wrapText="1"/>
    </xf>
    <xf numFmtId="0" fontId="34" fillId="0" borderId="0" xfId="5" applyFont="1" applyFill="1" applyAlignment="1">
      <alignment wrapText="1"/>
    </xf>
    <xf numFmtId="0" fontId="38" fillId="0" borderId="0" xfId="4" applyFont="1" applyFill="1" applyAlignment="1">
      <alignment horizontal="center"/>
    </xf>
    <xf numFmtId="0" fontId="34" fillId="0" borderId="0" xfId="4" applyFont="1" applyFill="1" applyAlignment="1">
      <alignment wrapText="1"/>
    </xf>
    <xf numFmtId="0" fontId="38" fillId="0" borderId="0" xfId="5" applyFont="1" applyFill="1" applyAlignment="1">
      <alignment horizontal="center"/>
    </xf>
    <xf numFmtId="0" fontId="3" fillId="0" borderId="0" xfId="4" applyFont="1" applyFill="1" applyAlignment="1">
      <alignment wrapText="1"/>
    </xf>
    <xf numFmtId="0" fontId="7" fillId="5" borderId="5" xfId="0" applyFont="1" applyFill="1" applyBorder="1" applyAlignment="1" applyProtection="1">
      <alignment horizontal="center" vertical="center" wrapText="1"/>
    </xf>
    <xf numFmtId="0" fontId="12" fillId="5" borderId="0" xfId="0" quotePrefix="1" applyFont="1" applyFill="1" applyBorder="1" applyAlignment="1" applyProtection="1">
      <alignment horizontal="right"/>
    </xf>
    <xf numFmtId="0" fontId="7" fillId="5" borderId="2" xfId="0" applyFont="1" applyFill="1" applyBorder="1" applyAlignment="1" applyProtection="1">
      <alignment horizontal="center" vertical="center" wrapText="1"/>
    </xf>
    <xf numFmtId="164" fontId="7" fillId="5" borderId="48" xfId="0" applyNumberFormat="1" applyFont="1" applyFill="1" applyBorder="1" applyAlignment="1" applyProtection="1">
      <alignment horizontal="center" vertical="center" wrapText="1"/>
    </xf>
    <xf numFmtId="9" fontId="7" fillId="0" borderId="12" xfId="0" applyNumberFormat="1" applyFont="1" applyFill="1" applyBorder="1" applyAlignment="1" applyProtection="1">
      <alignment horizontal="center" vertical="center"/>
      <protection locked="0"/>
    </xf>
    <xf numFmtId="9" fontId="7" fillId="0" borderId="0" xfId="0" applyNumberFormat="1" applyFont="1" applyFill="1" applyBorder="1" applyProtection="1">
      <protection locked="0"/>
    </xf>
    <xf numFmtId="9" fontId="7" fillId="0" borderId="0" xfId="0" applyNumberFormat="1"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xf>
    <xf numFmtId="0" fontId="7" fillId="0" borderId="0" xfId="0" applyFont="1" applyFill="1" applyBorder="1" applyAlignment="1" applyProtection="1">
      <alignment horizontal="center" vertical="center" wrapText="1"/>
      <protection locked="0"/>
    </xf>
    <xf numFmtId="0" fontId="0" fillId="5" borderId="33" xfId="0" applyFill="1" applyBorder="1" applyAlignment="1" applyProtection="1">
      <alignment horizontal="center" vertical="center"/>
    </xf>
    <xf numFmtId="18" fontId="15" fillId="5" borderId="33" xfId="0" applyNumberFormat="1" applyFont="1" applyFill="1" applyBorder="1" applyAlignment="1" applyProtection="1">
      <alignment horizontal="center" vertical="center"/>
    </xf>
    <xf numFmtId="0" fontId="7" fillId="5" borderId="33" xfId="0" applyFont="1" applyFill="1" applyBorder="1" applyAlignment="1" applyProtection="1">
      <alignment horizontal="center" vertical="center"/>
    </xf>
    <xf numFmtId="0" fontId="17" fillId="5" borderId="33" xfId="2" applyFill="1" applyBorder="1" applyAlignment="1" applyProtection="1">
      <alignment horizontal="center" vertical="center"/>
    </xf>
    <xf numFmtId="0" fontId="0" fillId="5" borderId="0" xfId="0"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7" fillId="5" borderId="0" xfId="0" applyFont="1" applyFill="1" applyBorder="1" applyAlignment="1" applyProtection="1">
      <alignment horizontal="center" vertical="center"/>
    </xf>
    <xf numFmtId="0" fontId="0" fillId="5" borderId="38" xfId="0" applyFill="1" applyBorder="1" applyAlignment="1" applyProtection="1">
      <alignment horizontal="center" vertical="center"/>
    </xf>
    <xf numFmtId="14" fontId="7" fillId="5" borderId="0" xfId="0" applyNumberFormat="1" applyFont="1" applyFill="1" applyBorder="1" applyAlignment="1" applyProtection="1">
      <alignment horizontal="center" vertical="center"/>
    </xf>
    <xf numFmtId="2" fontId="7" fillId="5" borderId="0" xfId="0" applyNumberFormat="1" applyFont="1" applyFill="1" applyBorder="1" applyAlignment="1" applyProtection="1">
      <alignment horizontal="center" vertical="center"/>
    </xf>
    <xf numFmtId="0" fontId="7" fillId="5" borderId="27" xfId="0" applyFont="1" applyFill="1" applyBorder="1" applyAlignment="1" applyProtection="1">
      <alignment horizontal="center" vertical="center"/>
    </xf>
    <xf numFmtId="0" fontId="7" fillId="5" borderId="47" xfId="0" applyFont="1" applyFill="1" applyBorder="1" applyAlignment="1" applyProtection="1">
      <alignment horizontal="center" vertical="center"/>
    </xf>
    <xf numFmtId="2" fontId="7" fillId="5" borderId="25" xfId="0" applyNumberFormat="1" applyFont="1" applyFill="1" applyBorder="1" applyAlignment="1" applyProtection="1">
      <alignment horizontal="center" vertical="center"/>
    </xf>
    <xf numFmtId="3" fontId="7" fillId="5" borderId="25" xfId="0" applyNumberFormat="1" applyFont="1" applyFill="1" applyBorder="1" applyAlignment="1" applyProtection="1">
      <alignment horizontal="center" vertical="center"/>
    </xf>
    <xf numFmtId="165" fontId="7" fillId="0" borderId="0" xfId="1" applyNumberFormat="1" applyFont="1" applyBorder="1" applyAlignment="1" applyProtection="1">
      <alignment horizontal="center" vertical="center"/>
      <protection locked="0"/>
    </xf>
    <xf numFmtId="165" fontId="7" fillId="0" borderId="0" xfId="1" applyNumberFormat="1" applyFont="1" applyBorder="1" applyAlignment="1" applyProtection="1">
      <alignment horizontal="center" vertical="center" wrapText="1"/>
      <protection locked="0"/>
    </xf>
    <xf numFmtId="0" fontId="7" fillId="0" borderId="0" xfId="0" applyFont="1" applyBorder="1" applyAlignment="1" applyProtection="1">
      <alignment horizontal="center" vertical="center"/>
      <protection locked="0"/>
    </xf>
    <xf numFmtId="9" fontId="7" fillId="0" borderId="0" xfId="7" applyFont="1" applyBorder="1" applyAlignment="1" applyProtection="1">
      <alignment horizontal="center" vertical="center"/>
      <protection locked="0"/>
    </xf>
    <xf numFmtId="165" fontId="7" fillId="0" borderId="0" xfId="1" quotePrefix="1" applyNumberFormat="1" applyFont="1" applyBorder="1" applyAlignment="1" applyProtection="1">
      <alignment horizontal="center" vertical="center"/>
      <protection locked="0"/>
    </xf>
    <xf numFmtId="165" fontId="7" fillId="0" borderId="0" xfId="1" applyNumberFormat="1" applyFont="1" applyFill="1" applyBorder="1" applyAlignment="1" applyProtection="1">
      <alignment horizontal="center" vertical="center" wrapText="1"/>
      <protection locked="0"/>
    </xf>
    <xf numFmtId="9" fontId="0" fillId="0" borderId="0" xfId="0" applyNumberForma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166" fontId="25" fillId="0" borderId="0" xfId="0" applyNumberFormat="1" applyFont="1" applyFill="1" applyAlignment="1" applyProtection="1">
      <alignment horizontal="center" vertical="center"/>
      <protection locked="0"/>
    </xf>
    <xf numFmtId="0" fontId="25" fillId="0" borderId="0" xfId="0" applyFont="1" applyFill="1" applyAlignment="1" applyProtection="1">
      <alignment vertical="center" wrapText="1"/>
      <protection locked="0"/>
    </xf>
    <xf numFmtId="0" fontId="13" fillId="5" borderId="0" xfId="0" quotePrefix="1" applyFont="1" applyFill="1" applyAlignment="1">
      <alignment horizontal="center" vertical="center"/>
    </xf>
    <xf numFmtId="0" fontId="21" fillId="5" borderId="0" xfId="0" applyFont="1" applyFill="1" applyAlignment="1">
      <alignment horizontal="center" vertical="center"/>
    </xf>
    <xf numFmtId="0" fontId="10" fillId="5" borderId="0" xfId="0" applyFont="1" applyFill="1" applyAlignment="1">
      <alignment horizontal="center" vertical="center"/>
    </xf>
    <xf numFmtId="0" fontId="13" fillId="5" borderId="11" xfId="0" applyFont="1" applyFill="1" applyBorder="1" applyAlignment="1">
      <alignment horizontal="center" vertical="center"/>
    </xf>
    <xf numFmtId="0" fontId="13" fillId="5" borderId="0" xfId="0" applyFont="1" applyFill="1" applyBorder="1" applyAlignment="1">
      <alignment horizontal="center" vertical="center"/>
    </xf>
    <xf numFmtId="0" fontId="13" fillId="5" borderId="12" xfId="0" applyFont="1" applyFill="1" applyBorder="1" applyAlignment="1">
      <alignment horizontal="center" vertical="center" wrapText="1"/>
    </xf>
    <xf numFmtId="0" fontId="13" fillId="5" borderId="0" xfId="0" applyFont="1" applyFill="1" applyBorder="1" applyAlignment="1">
      <alignment horizontal="center" vertical="center" wrapText="1"/>
    </xf>
    <xf numFmtId="0" fontId="13" fillId="5" borderId="7" xfId="0" applyFont="1" applyFill="1" applyBorder="1" applyAlignment="1">
      <alignment horizontal="center" vertical="center"/>
    </xf>
    <xf numFmtId="3" fontId="13" fillId="5" borderId="13" xfId="0" applyNumberFormat="1" applyFont="1" applyFill="1" applyBorder="1" applyAlignment="1">
      <alignment horizontal="center" vertical="center"/>
    </xf>
    <xf numFmtId="0" fontId="13" fillId="5" borderId="0" xfId="0" applyNumberFormat="1" applyFont="1" applyFill="1" applyBorder="1" applyAlignment="1">
      <alignment horizontal="center" vertical="center"/>
    </xf>
    <xf numFmtId="0" fontId="13" fillId="5" borderId="14" xfId="0" applyFont="1" applyFill="1" applyBorder="1" applyAlignment="1">
      <alignment horizontal="center" vertical="center"/>
    </xf>
    <xf numFmtId="0" fontId="13" fillId="5" borderId="24" xfId="0" applyFont="1" applyFill="1" applyBorder="1" applyAlignment="1">
      <alignment horizontal="center" vertical="center"/>
    </xf>
    <xf numFmtId="0" fontId="13" fillId="5" borderId="21" xfId="0" applyFont="1" applyFill="1" applyBorder="1" applyAlignment="1">
      <alignment horizontal="center" vertical="center"/>
    </xf>
    <xf numFmtId="3" fontId="13" fillId="5" borderId="22" xfId="0" applyNumberFormat="1" applyFont="1" applyFill="1" applyBorder="1" applyAlignment="1">
      <alignment horizontal="center" vertical="center"/>
    </xf>
    <xf numFmtId="0" fontId="13" fillId="5" borderId="8" xfId="0" applyNumberFormat="1" applyFont="1" applyFill="1" applyBorder="1" applyAlignment="1">
      <alignment horizontal="center" vertical="center"/>
    </xf>
    <xf numFmtId="3" fontId="13" fillId="5" borderId="8" xfId="0" applyNumberFormat="1" applyFont="1" applyFill="1" applyBorder="1" applyAlignment="1">
      <alignment horizontal="center" vertical="center"/>
    </xf>
    <xf numFmtId="3" fontId="13" fillId="5" borderId="23" xfId="0" applyNumberFormat="1" applyFont="1" applyFill="1" applyBorder="1" applyAlignment="1">
      <alignment horizontal="center" vertical="center"/>
    </xf>
    <xf numFmtId="0" fontId="6" fillId="5" borderId="0" xfId="0" applyFont="1" applyFill="1" applyBorder="1" applyAlignment="1" applyProtection="1">
      <alignment horizontal="center" vertical="center"/>
    </xf>
    <xf numFmtId="14" fontId="6" fillId="5" borderId="0" xfId="0" applyNumberFormat="1" applyFont="1" applyFill="1" applyBorder="1" applyAlignment="1" applyProtection="1">
      <alignment horizontal="center" vertical="center"/>
    </xf>
    <xf numFmtId="165" fontId="6" fillId="5" borderId="0" xfId="1" applyNumberFormat="1" applyFont="1" applyFill="1" applyBorder="1" applyAlignment="1" applyProtection="1">
      <alignment horizontal="center" vertical="center"/>
    </xf>
    <xf numFmtId="0" fontId="6" fillId="5" borderId="0" xfId="3" applyFont="1" applyFill="1" applyBorder="1" applyAlignment="1" applyProtection="1">
      <alignment horizontal="center" vertical="center"/>
    </xf>
    <xf numFmtId="0" fontId="6" fillId="5" borderId="13" xfId="0" applyFont="1" applyFill="1" applyBorder="1" applyAlignment="1" applyProtection="1">
      <alignment horizontal="center" vertical="center"/>
    </xf>
    <xf numFmtId="14" fontId="6" fillId="5" borderId="13" xfId="0" applyNumberFormat="1" applyFont="1" applyFill="1" applyBorder="1" applyAlignment="1" applyProtection="1">
      <alignment horizontal="center" vertical="center"/>
    </xf>
    <xf numFmtId="3" fontId="6" fillId="5" borderId="13" xfId="1" applyNumberFormat="1" applyFont="1" applyFill="1" applyBorder="1" applyAlignment="1" applyProtection="1">
      <alignment horizontal="center" vertical="center"/>
    </xf>
    <xf numFmtId="0" fontId="6" fillId="5" borderId="47" xfId="0" applyFont="1" applyFill="1" applyBorder="1" applyAlignment="1" applyProtection="1">
      <alignment horizontal="center" vertical="center" wrapText="1"/>
    </xf>
    <xf numFmtId="0" fontId="6" fillId="5" borderId="25" xfId="0" applyFont="1" applyFill="1" applyBorder="1" applyAlignment="1" applyProtection="1">
      <alignment horizontal="center" vertical="center"/>
    </xf>
    <xf numFmtId="0" fontId="6" fillId="5" borderId="25" xfId="1" applyNumberFormat="1" applyFont="1" applyFill="1" applyBorder="1" applyAlignment="1" applyProtection="1">
      <alignment horizontal="center" vertical="center"/>
    </xf>
    <xf numFmtId="0" fontId="6" fillId="5" borderId="25" xfId="0" applyNumberFormat="1" applyFont="1" applyFill="1" applyBorder="1" applyAlignment="1" applyProtection="1">
      <alignment horizontal="center" vertical="center"/>
    </xf>
    <xf numFmtId="164" fontId="6" fillId="5" borderId="25" xfId="0" applyNumberFormat="1" applyFont="1" applyFill="1" applyBorder="1" applyAlignment="1" applyProtection="1">
      <alignment horizontal="center" vertical="center" wrapText="1"/>
    </xf>
    <xf numFmtId="0" fontId="6" fillId="5" borderId="25" xfId="0" applyFont="1" applyFill="1" applyBorder="1" applyAlignment="1" applyProtection="1">
      <alignment horizontal="center" vertical="center" wrapText="1"/>
    </xf>
    <xf numFmtId="165" fontId="6" fillId="5" borderId="25" xfId="1" applyNumberFormat="1" applyFont="1" applyFill="1" applyBorder="1" applyAlignment="1" applyProtection="1">
      <alignment horizontal="center" vertical="center" wrapText="1"/>
    </xf>
    <xf numFmtId="0" fontId="13" fillId="5" borderId="0" xfId="0" applyFont="1" applyFill="1" applyBorder="1" applyAlignment="1" applyProtection="1">
      <alignment horizontal="center" vertical="center"/>
    </xf>
    <xf numFmtId="0" fontId="9" fillId="5" borderId="27" xfId="0" applyFont="1" applyFill="1" applyBorder="1" applyAlignment="1" applyProtection="1">
      <alignment horizontal="center" vertical="center"/>
    </xf>
    <xf numFmtId="0" fontId="7" fillId="0" borderId="0" xfId="0" applyNumberFormat="1" applyFont="1" applyFill="1" applyBorder="1" applyAlignment="1" applyProtection="1">
      <alignment horizontal="center" vertical="center"/>
      <protection locked="0"/>
    </xf>
    <xf numFmtId="0" fontId="7" fillId="0" borderId="0" xfId="0" quotePrefix="1" applyFont="1" applyFill="1" applyAlignment="1" applyProtection="1">
      <alignment horizontal="center" vertical="center"/>
    </xf>
    <xf numFmtId="0" fontId="7" fillId="0" borderId="0" xfId="0" applyFont="1" applyFill="1" applyAlignment="1" applyProtection="1">
      <alignment horizontal="center" vertical="center"/>
    </xf>
    <xf numFmtId="0" fontId="7" fillId="0" borderId="0" xfId="0" applyNumberFormat="1" applyFont="1" applyFill="1" applyBorder="1" applyProtection="1">
      <protection locked="0"/>
    </xf>
    <xf numFmtId="0" fontId="7" fillId="0" borderId="0" xfId="0" quotePrefix="1" applyFont="1" applyFill="1" applyProtection="1"/>
    <xf numFmtId="0" fontId="7" fillId="0" borderId="0" xfId="0" applyFont="1" applyFill="1" applyProtection="1"/>
    <xf numFmtId="0" fontId="7" fillId="0" borderId="0" xfId="0" quotePrefix="1" applyFont="1" applyFill="1" applyBorder="1" applyProtection="1"/>
    <xf numFmtId="0" fontId="7" fillId="0" borderId="0" xfId="0" applyFont="1" applyFill="1" applyBorder="1" applyProtection="1"/>
    <xf numFmtId="0" fontId="7" fillId="0" borderId="0" xfId="0" applyFont="1" applyAlignment="1" applyProtection="1">
      <alignment horizontal="center" vertical="center"/>
      <protection locked="0"/>
    </xf>
    <xf numFmtId="165" fontId="7" fillId="0" borderId="0" xfId="1" applyNumberFormat="1" applyFont="1" applyAlignment="1" applyProtection="1">
      <alignment horizontal="center" vertical="center"/>
      <protection locked="0"/>
    </xf>
    <xf numFmtId="164" fontId="7" fillId="0" borderId="0" xfId="0" applyNumberFormat="1" applyFont="1" applyBorder="1" applyAlignment="1" applyProtection="1">
      <alignment horizontal="left" vertical="center" wrapText="1"/>
      <protection locked="0"/>
    </xf>
    <xf numFmtId="0" fontId="13" fillId="5" borderId="0" xfId="0" applyFont="1" applyFill="1" applyBorder="1" applyAlignment="1" applyProtection="1">
      <alignment horizontal="center"/>
    </xf>
    <xf numFmtId="0" fontId="25" fillId="0" borderId="0" xfId="0" applyFont="1" applyFill="1" applyAlignment="1" applyProtection="1">
      <alignment vertical="center"/>
      <protection locked="0"/>
    </xf>
    <xf numFmtId="0" fontId="0" fillId="0" borderId="0" xfId="0" applyFill="1" applyProtection="1">
      <protection locked="0"/>
    </xf>
    <xf numFmtId="3" fontId="6" fillId="5" borderId="25" xfId="0" applyNumberFormat="1" applyFont="1" applyFill="1" applyBorder="1" applyAlignment="1" applyProtection="1">
      <alignment horizontal="center" vertical="center"/>
    </xf>
    <xf numFmtId="0" fontId="54" fillId="5" borderId="5" xfId="0" applyFont="1" applyFill="1" applyBorder="1" applyAlignment="1" applyProtection="1">
      <alignment horizontal="center" vertical="center"/>
    </xf>
    <xf numFmtId="166" fontId="25" fillId="5" borderId="32" xfId="0" applyNumberFormat="1" applyFont="1" applyFill="1" applyBorder="1" applyAlignment="1">
      <alignment horizontal="center" vertical="center"/>
    </xf>
    <xf numFmtId="0" fontId="25" fillId="5" borderId="49" xfId="0" applyFont="1" applyFill="1" applyBorder="1" applyAlignment="1">
      <alignment vertical="center" wrapText="1"/>
    </xf>
    <xf numFmtId="0" fontId="25" fillId="5" borderId="34" xfId="0" applyFont="1" applyFill="1" applyBorder="1" applyAlignment="1">
      <alignment vertical="center"/>
    </xf>
    <xf numFmtId="166" fontId="25" fillId="5" borderId="35" xfId="0" applyNumberFormat="1" applyFont="1" applyFill="1" applyBorder="1" applyAlignment="1">
      <alignment horizontal="center" vertical="center"/>
    </xf>
    <xf numFmtId="0" fontId="25" fillId="5" borderId="36" xfId="0" applyFont="1" applyFill="1" applyBorder="1" applyAlignment="1">
      <alignment vertical="center"/>
    </xf>
    <xf numFmtId="0" fontId="26" fillId="5" borderId="35" xfId="0" applyFont="1" applyFill="1" applyBorder="1" applyAlignment="1" applyProtection="1">
      <alignment horizontal="left" vertical="center"/>
    </xf>
    <xf numFmtId="0" fontId="25" fillId="5" borderId="0" xfId="0" applyFont="1" applyFill="1" applyBorder="1" applyAlignment="1">
      <alignment vertical="center" wrapText="1"/>
    </xf>
    <xf numFmtId="0" fontId="27" fillId="5" borderId="35" xfId="0" applyFont="1" applyFill="1" applyBorder="1" applyAlignment="1">
      <alignment vertical="center"/>
    </xf>
    <xf numFmtId="166" fontId="25" fillId="5" borderId="50" xfId="0" applyNumberFormat="1" applyFont="1" applyFill="1" applyBorder="1" applyAlignment="1">
      <alignment horizontal="center" vertical="center"/>
    </xf>
    <xf numFmtId="0" fontId="25" fillId="5" borderId="51" xfId="0" applyFont="1" applyFill="1" applyBorder="1" applyAlignment="1">
      <alignment horizontal="center" vertical="center" wrapText="1"/>
    </xf>
    <xf numFmtId="0" fontId="49" fillId="5" borderId="52" xfId="0" applyFont="1" applyFill="1" applyBorder="1" applyAlignment="1">
      <alignment vertical="center"/>
    </xf>
    <xf numFmtId="3" fontId="7" fillId="0" borderId="0" xfId="0" applyNumberFormat="1" applyFont="1" applyBorder="1" applyAlignment="1" applyProtection="1">
      <alignment horizontal="center" vertical="center" wrapText="1"/>
      <protection locked="0"/>
    </xf>
    <xf numFmtId="3" fontId="7" fillId="0" borderId="0" xfId="0" applyNumberFormat="1" applyFont="1" applyBorder="1" applyAlignment="1" applyProtection="1">
      <alignment horizontal="center" vertical="center"/>
      <protection locked="0"/>
    </xf>
    <xf numFmtId="3" fontId="7" fillId="0" borderId="0" xfId="0" applyNumberFormat="1" applyFont="1" applyAlignment="1" applyProtection="1">
      <alignment horizontal="center" vertical="center"/>
      <protection locked="0"/>
    </xf>
    <xf numFmtId="0" fontId="7" fillId="0" borderId="0" xfId="0" applyFont="1" applyBorder="1" applyAlignment="1" applyProtection="1">
      <alignment horizontal="left" vertical="center" wrapText="1"/>
      <protection locked="0"/>
    </xf>
    <xf numFmtId="0" fontId="6" fillId="0" borderId="29" xfId="0" applyFont="1" applyFill="1" applyBorder="1" applyAlignment="1" applyProtection="1">
      <alignment horizontal="left"/>
      <protection locked="0"/>
    </xf>
    <xf numFmtId="0" fontId="6" fillId="0" borderId="30" xfId="0" applyFont="1" applyFill="1" applyBorder="1" applyAlignment="1" applyProtection="1">
      <alignment horizontal="left"/>
      <protection locked="0"/>
    </xf>
    <xf numFmtId="0" fontId="17" fillId="0" borderId="31" xfId="2" applyFill="1" applyBorder="1" applyAlignment="1" applyProtection="1">
      <alignment horizontal="left"/>
      <protection locked="0"/>
    </xf>
    <xf numFmtId="0" fontId="47" fillId="0" borderId="0" xfId="5" applyFont="1" applyFill="1" applyAlignment="1" applyProtection="1">
      <alignment horizontal="center"/>
    </xf>
    <xf numFmtId="0" fontId="13" fillId="5" borderId="0" xfId="0" applyFont="1" applyFill="1" applyBorder="1" applyAlignment="1" applyProtection="1">
      <alignment horizontal="right" wrapText="1"/>
    </xf>
    <xf numFmtId="0" fontId="13" fillId="5" borderId="12" xfId="0" applyFont="1" applyFill="1" applyBorder="1" applyAlignment="1" applyProtection="1">
      <alignment horizontal="right" wrapText="1"/>
    </xf>
    <xf numFmtId="0" fontId="13" fillId="5" borderId="0" xfId="0" applyFont="1" applyFill="1" applyAlignment="1" applyProtection="1">
      <alignment horizontal="center" vertical="center"/>
    </xf>
    <xf numFmtId="0" fontId="55" fillId="5" borderId="0" xfId="0" applyFont="1" applyFill="1" applyAlignment="1" applyProtection="1">
      <alignment horizontal="left"/>
    </xf>
    <xf numFmtId="0" fontId="34" fillId="0" borderId="0" xfId="5" applyFont="1" applyFill="1" applyAlignment="1">
      <alignment horizontal="left" wrapText="1"/>
    </xf>
    <xf numFmtId="0" fontId="32" fillId="0" borderId="0" xfId="4" applyFont="1" applyFill="1" applyAlignment="1">
      <alignment horizontal="left" vertical="center" wrapText="1"/>
    </xf>
    <xf numFmtId="0" fontId="5" fillId="0" borderId="0" xfId="4" applyFont="1" applyFill="1" applyAlignment="1">
      <alignment horizontal="left" vertical="center"/>
    </xf>
    <xf numFmtId="0" fontId="39" fillId="0" borderId="0" xfId="5" applyFont="1" applyFill="1" applyAlignment="1">
      <alignment horizontal="left" vertical="center" wrapText="1"/>
    </xf>
    <xf numFmtId="0" fontId="32" fillId="0" borderId="0" xfId="5" applyFont="1" applyFill="1" applyAlignment="1">
      <alignment horizontal="left" vertical="center" wrapText="1"/>
    </xf>
    <xf numFmtId="0" fontId="35" fillId="0" borderId="0" xfId="5" applyFont="1" applyFill="1" applyAlignment="1">
      <alignment horizontal="left" vertical="center" wrapText="1"/>
    </xf>
    <xf numFmtId="0" fontId="46" fillId="0" borderId="0" xfId="5" applyFont="1" applyFill="1" applyAlignment="1">
      <alignment horizontal="left" vertical="center" wrapText="1"/>
    </xf>
    <xf numFmtId="0" fontId="34" fillId="0" borderId="0" xfId="5" applyFont="1" applyFill="1" applyAlignment="1">
      <alignment horizontal="left" vertical="center" wrapText="1"/>
    </xf>
    <xf numFmtId="0" fontId="31" fillId="0" borderId="0" xfId="4" applyFont="1" applyFill="1" applyAlignment="1">
      <alignment horizontal="left" vertical="center" wrapText="1"/>
    </xf>
    <xf numFmtId="0" fontId="33" fillId="0" borderId="0" xfId="5" applyFont="1" applyFill="1" applyAlignment="1">
      <alignment horizontal="center" vertical="center"/>
    </xf>
    <xf numFmtId="0" fontId="28" fillId="0" borderId="0" xfId="4" applyFont="1" applyFill="1" applyAlignment="1">
      <alignment horizontal="center" vertical="center"/>
    </xf>
    <xf numFmtId="0" fontId="56" fillId="0" borderId="0" xfId="4" applyFont="1" applyFill="1" applyAlignment="1">
      <alignment horizontal="center" wrapText="1"/>
    </xf>
    <xf numFmtId="0" fontId="40" fillId="0" borderId="0" xfId="5" applyFont="1" applyFill="1" applyAlignment="1">
      <alignment horizontal="left" vertical="center" wrapText="1"/>
    </xf>
    <xf numFmtId="0" fontId="2" fillId="0" borderId="0" xfId="4" applyFont="1" applyFill="1" applyAlignment="1">
      <alignment wrapText="1"/>
    </xf>
    <xf numFmtId="0" fontId="2" fillId="0" borderId="0" xfId="4" applyFont="1" applyFill="1" applyAlignment="1">
      <alignment horizontal="center" vertical="center" wrapText="1"/>
    </xf>
    <xf numFmtId="0" fontId="32" fillId="0" borderId="0" xfId="5" applyFont="1" applyFill="1" applyAlignment="1">
      <alignment horizontal="left" wrapText="1"/>
    </xf>
    <xf numFmtId="0" fontId="32" fillId="5" borderId="0" xfId="4" applyFont="1" applyFill="1" applyAlignment="1">
      <alignment horizontal="left" vertical="center" wrapText="1"/>
    </xf>
    <xf numFmtId="0" fontId="32" fillId="5" borderId="0" xfId="5" applyFont="1" applyFill="1" applyAlignment="1">
      <alignment horizontal="left" vertical="center" wrapText="1"/>
    </xf>
    <xf numFmtId="0" fontId="33" fillId="5" borderId="0" xfId="4" applyFont="1" applyFill="1" applyAlignment="1">
      <alignment horizontal="center" vertical="center"/>
    </xf>
    <xf numFmtId="0" fontId="33" fillId="5" borderId="0" xfId="5" applyFont="1" applyFill="1" applyAlignment="1">
      <alignment horizontal="center" vertical="center"/>
    </xf>
    <xf numFmtId="0" fontId="7" fillId="5" borderId="0" xfId="0" applyFont="1" applyFill="1" applyAlignment="1">
      <alignment horizontal="left" vertical="center"/>
    </xf>
    <xf numFmtId="166" fontId="26" fillId="5" borderId="35" xfId="0" applyNumberFormat="1" applyFont="1" applyFill="1" applyBorder="1" applyAlignment="1">
      <alignment horizontal="left" vertical="center"/>
    </xf>
    <xf numFmtId="0" fontId="7" fillId="5" borderId="0" xfId="0" applyFont="1" applyFill="1" applyBorder="1" applyAlignment="1" applyProtection="1">
      <alignment horizontal="center" vertical="center" wrapText="1"/>
    </xf>
    <xf numFmtId="0" fontId="7" fillId="0" borderId="0" xfId="0" applyFont="1" applyBorder="1" applyAlignment="1" applyProtection="1">
      <alignment horizontal="left" vertical="center"/>
      <protection locked="0"/>
    </xf>
    <xf numFmtId="0" fontId="0" fillId="0" borderId="0" xfId="0" applyAlignment="1" applyProtection="1">
      <alignment horizontal="left"/>
      <protection locked="0"/>
    </xf>
    <xf numFmtId="49" fontId="6" fillId="0" borderId="25" xfId="0" applyNumberFormat="1" applyFont="1" applyFill="1" applyBorder="1" applyAlignment="1" applyProtection="1">
      <alignment horizontal="left" wrapText="1"/>
      <protection locked="0"/>
    </xf>
    <xf numFmtId="0" fontId="12" fillId="0" borderId="4" xfId="0" applyFont="1" applyFill="1" applyBorder="1" applyProtection="1">
      <protection locked="0"/>
    </xf>
    <xf numFmtId="0" fontId="13" fillId="0" borderId="3" xfId="0" applyFont="1" applyFill="1" applyBorder="1" applyAlignment="1" applyProtection="1">
      <alignment horizontal="center"/>
      <protection locked="0"/>
    </xf>
    <xf numFmtId="0" fontId="12" fillId="0" borderId="4" xfId="0" applyFont="1" applyFill="1" applyBorder="1" applyAlignment="1" applyProtection="1">
      <alignment horizontal="center"/>
      <protection locked="0"/>
    </xf>
    <xf numFmtId="164" fontId="6" fillId="0" borderId="5" xfId="0" applyNumberFormat="1" applyFont="1" applyFill="1" applyBorder="1" applyAlignment="1" applyProtection="1">
      <alignment horizontal="center"/>
      <protection locked="0"/>
    </xf>
    <xf numFmtId="0" fontId="0" fillId="0" borderId="0" xfId="0" applyAlignment="1" applyProtection="1">
      <alignment horizontal="center"/>
      <protection locked="0"/>
    </xf>
    <xf numFmtId="0" fontId="37" fillId="0" borderId="0" xfId="5" applyFont="1" applyFill="1" applyProtection="1">
      <protection locked="0"/>
    </xf>
    <xf numFmtId="0" fontId="5" fillId="0" borderId="0" xfId="4" applyFont="1" applyFill="1" applyProtection="1">
      <protection locked="0"/>
    </xf>
    <xf numFmtId="0" fontId="5" fillId="0" borderId="0" xfId="4" applyFont="1" applyFill="1" applyAlignment="1" applyProtection="1">
      <alignment vertical="top"/>
      <protection locked="0"/>
    </xf>
    <xf numFmtId="0" fontId="32" fillId="0" borderId="0" xfId="5" applyFont="1" applyFill="1" applyBorder="1" applyProtection="1">
      <protection locked="0"/>
    </xf>
    <xf numFmtId="0" fontId="32" fillId="0" borderId="0" xfId="5" applyFont="1" applyFill="1" applyProtection="1">
      <protection locked="0"/>
    </xf>
    <xf numFmtId="0" fontId="32" fillId="0" borderId="0" xfId="5" applyFont="1" applyFill="1" applyAlignment="1" applyProtection="1">
      <protection locked="0"/>
    </xf>
    <xf numFmtId="0" fontId="5" fillId="0" borderId="0" xfId="4" applyFont="1" applyFill="1" applyAlignment="1" applyProtection="1">
      <protection locked="0"/>
    </xf>
    <xf numFmtId="0" fontId="5" fillId="0" borderId="0" xfId="4" applyFont="1" applyFill="1" applyAlignment="1" applyProtection="1">
      <alignment horizontal="left" vertical="center"/>
      <protection locked="0"/>
    </xf>
    <xf numFmtId="0" fontId="32" fillId="0" borderId="0" xfId="5" applyFont="1" applyFill="1" applyAlignment="1" applyProtection="1">
      <alignment horizontal="left" vertical="center"/>
      <protection locked="0"/>
    </xf>
    <xf numFmtId="0" fontId="1" fillId="0" borderId="0" xfId="4" applyFont="1" applyFill="1" applyAlignment="1">
      <alignment vertical="top" wrapText="1"/>
    </xf>
    <xf numFmtId="0" fontId="57" fillId="0" borderId="0" xfId="5" applyFont="1" applyFill="1" applyAlignment="1">
      <alignment wrapText="1"/>
    </xf>
    <xf numFmtId="0" fontId="57" fillId="0" borderId="0" xfId="5" applyNumberFormat="1" applyFont="1" applyFill="1" applyBorder="1" applyAlignment="1">
      <alignment wrapText="1"/>
    </xf>
    <xf numFmtId="0" fontId="52" fillId="5" borderId="0" xfId="0" applyFont="1" applyFill="1" applyAlignment="1" applyProtection="1">
      <alignment horizontal="center"/>
    </xf>
    <xf numFmtId="0" fontId="0" fillId="0" borderId="0" xfId="0" applyAlignment="1" applyProtection="1"/>
    <xf numFmtId="0" fontId="24" fillId="5" borderId="0" xfId="0" applyFont="1" applyFill="1" applyAlignment="1" applyProtection="1">
      <alignment horizontal="center"/>
    </xf>
    <xf numFmtId="0" fontId="6" fillId="0" borderId="32" xfId="0" applyFont="1" applyFill="1" applyBorder="1" applyAlignment="1" applyProtection="1">
      <protection locked="0"/>
    </xf>
    <xf numFmtId="0" fontId="0" fillId="0" borderId="33" xfId="0" applyFill="1" applyBorder="1" applyAlignment="1" applyProtection="1">
      <protection locked="0"/>
    </xf>
    <xf numFmtId="0" fontId="0" fillId="0" borderId="34" xfId="0" applyFill="1" applyBorder="1" applyAlignment="1" applyProtection="1">
      <protection locked="0"/>
    </xf>
    <xf numFmtId="0" fontId="6" fillId="0" borderId="35" xfId="0" applyFont="1" applyFill="1" applyBorder="1" applyAlignment="1" applyProtection="1">
      <protection locked="0"/>
    </xf>
    <xf numFmtId="0" fontId="6" fillId="0" borderId="0" xfId="0" applyFont="1" applyFill="1" applyBorder="1" applyAlignment="1" applyProtection="1">
      <protection locked="0"/>
    </xf>
    <xf numFmtId="0" fontId="6" fillId="0" borderId="36" xfId="0" applyFont="1" applyFill="1" applyBorder="1" applyAlignment="1" applyProtection="1">
      <protection locked="0"/>
    </xf>
    <xf numFmtId="0" fontId="17" fillId="0" borderId="37" xfId="2" applyFill="1" applyBorder="1" applyAlignment="1" applyProtection="1">
      <protection locked="0"/>
    </xf>
    <xf numFmtId="0" fontId="0" fillId="0" borderId="38" xfId="0" applyFill="1" applyBorder="1" applyAlignment="1" applyProtection="1">
      <protection locked="0"/>
    </xf>
    <xf numFmtId="0" fontId="0" fillId="0" borderId="39" xfId="0" applyFill="1" applyBorder="1" applyAlignment="1" applyProtection="1">
      <protection locked="0"/>
    </xf>
    <xf numFmtId="0" fontId="0" fillId="0" borderId="0" xfId="0" applyAlignment="1" applyProtection="1">
      <alignment horizontal="center"/>
    </xf>
    <xf numFmtId="165" fontId="15" fillId="5" borderId="33" xfId="1" applyNumberFormat="1"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30" fillId="6" borderId="0" xfId="0" applyFont="1" applyFill="1" applyAlignment="1" applyProtection="1"/>
    <xf numFmtId="0" fontId="13" fillId="5" borderId="40" xfId="0" applyFont="1" applyFill="1" applyBorder="1" applyAlignment="1">
      <alignment horizontal="center" vertical="center" wrapText="1"/>
    </xf>
    <xf numFmtId="0" fontId="13" fillId="5" borderId="18" xfId="0" applyFont="1" applyFill="1" applyBorder="1" applyAlignment="1">
      <alignment horizontal="center" vertical="center"/>
    </xf>
  </cellXfs>
  <cellStyles count="10">
    <cellStyle name="Comma" xfId="1" builtinId="3"/>
    <cellStyle name="Comma 2" xfId="6"/>
    <cellStyle name="Hyperlink" xfId="2" builtinId="8"/>
    <cellStyle name="Hyperlink 2" xfId="8"/>
    <cellStyle name="Normal" xfId="0" builtinId="0"/>
    <cellStyle name="Normal 2" xfId="5"/>
    <cellStyle name="Normal 3" xfId="4"/>
    <cellStyle name="Normal 3 2" xfId="9"/>
    <cellStyle name="Normal_STEVEMA" xfId="3"/>
    <cellStyle name="Percent" xfId="7" builtinId="5"/>
  </cellStyles>
  <dxfs count="47">
    <dxf>
      <fill>
        <patternFill>
          <bgColor indexed="29"/>
        </patternFill>
      </fill>
    </dxf>
    <dxf>
      <fill>
        <patternFill>
          <bgColor indexed="29"/>
        </patternFill>
      </fill>
    </dxf>
    <dxf>
      <fill>
        <patternFill>
          <bgColor indexed="29"/>
        </patternFill>
      </fill>
    </dxf>
    <dxf>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ill>
        <patternFill>
          <bgColor theme="1"/>
        </patternFill>
      </fill>
    </dxf>
    <dxf>
      <fill>
        <patternFill>
          <bgColor theme="6" tint="0.39994506668294322"/>
        </patternFill>
      </fill>
    </dxf>
    <dxf>
      <fill>
        <patternFill>
          <bgColor theme="6" tint="0.39994506668294322"/>
        </patternFill>
      </fill>
    </dxf>
    <dxf>
      <fill>
        <patternFill>
          <bgColor theme="1"/>
        </patternFill>
      </fill>
    </dxf>
    <dxf>
      <fill>
        <patternFill>
          <bgColor theme="1"/>
        </patternFill>
      </fill>
    </dxf>
    <dxf>
      <font>
        <condense val="0"/>
        <extend val="0"/>
        <color auto="1"/>
      </font>
      <fill>
        <patternFill>
          <bgColor indexed="29"/>
        </patternFill>
      </fill>
    </dxf>
    <dxf>
      <font>
        <strike/>
        <condense val="0"/>
        <extend val="0"/>
      </font>
      <fill>
        <patternFill patternType="lightUp"/>
      </fill>
    </dxf>
    <dxf>
      <fill>
        <patternFill>
          <bgColor indexed="29"/>
        </patternFill>
      </fill>
    </dxf>
    <dxf>
      <fill>
        <patternFill>
          <bgColor theme="6" tint="0.39994506668294322"/>
        </patternFill>
      </fill>
    </dxf>
    <dxf>
      <fill>
        <patternFill>
          <bgColor theme="6" tint="0.39994506668294322"/>
        </patternFill>
      </fill>
    </dxf>
    <dxf>
      <font>
        <color rgb="FFFF0000"/>
      </font>
    </dxf>
    <dxf>
      <fill>
        <patternFill>
          <bgColor indexed="29"/>
        </patternFill>
      </fill>
    </dxf>
    <dxf>
      <font>
        <strike/>
        <condense val="0"/>
        <extend val="0"/>
      </font>
      <fill>
        <patternFill>
          <bgColor indexed="29"/>
        </patternFill>
      </fill>
    </dxf>
    <dxf>
      <font>
        <strike/>
        <condense val="0"/>
        <extend val="0"/>
        <color auto="1"/>
      </font>
      <fill>
        <patternFill>
          <bgColor indexed="29"/>
        </patternFill>
      </fill>
    </dxf>
    <dxf>
      <fill>
        <patternFill patternType="solid">
          <bgColor indexed="29"/>
        </patternFill>
      </fill>
      <border>
        <left/>
        <right/>
        <top/>
        <bottom/>
      </border>
    </dxf>
    <dxf>
      <font>
        <color rgb="FFFF0000"/>
      </font>
    </dxf>
    <dxf>
      <fill>
        <patternFill>
          <bgColor indexed="29"/>
        </patternFill>
      </fill>
    </dxf>
    <dxf>
      <font>
        <strike/>
        <condense val="0"/>
        <extend val="0"/>
      </font>
      <fill>
        <patternFill>
          <bgColor indexed="29"/>
        </patternFill>
      </fill>
    </dxf>
    <dxf>
      <font>
        <strike/>
        <condense val="0"/>
        <extend val="0"/>
        <color auto="1"/>
      </font>
      <fill>
        <patternFill>
          <bgColor indexed="29"/>
        </patternFill>
      </fill>
    </dxf>
    <dxf>
      <fill>
        <patternFill patternType="solid">
          <bgColor indexed="29"/>
        </patternFill>
      </fill>
      <border>
        <left/>
        <right/>
        <top/>
        <bottom/>
      </border>
    </dxf>
    <dxf>
      <font>
        <strike/>
        <condense val="0"/>
        <extend val="0"/>
      </font>
      <fill>
        <patternFill patternType="lightUp"/>
      </fill>
    </dxf>
    <dxf>
      <fill>
        <patternFill>
          <bgColor indexed="29"/>
        </patternFill>
      </fill>
    </dxf>
    <dxf>
      <font>
        <strike/>
        <condense val="0"/>
        <extend val="0"/>
      </font>
      <fill>
        <patternFill>
          <bgColor indexed="29"/>
        </patternFill>
      </fill>
    </dxf>
    <dxf>
      <font>
        <strike/>
        <condense val="0"/>
        <extend val="0"/>
        <color auto="1"/>
      </font>
      <fill>
        <patternFill>
          <bgColor indexed="29"/>
        </patternFill>
      </fill>
    </dxf>
    <dxf>
      <fill>
        <patternFill>
          <bgColor indexed="29"/>
        </patternFill>
      </fill>
    </dxf>
    <dxf>
      <font>
        <strike/>
        <condense val="0"/>
        <extend val="0"/>
      </font>
      <fill>
        <patternFill>
          <bgColor indexed="29"/>
        </patternFill>
      </fill>
    </dxf>
    <dxf>
      <font>
        <strike/>
        <condense val="0"/>
        <extend val="0"/>
        <color auto="1"/>
      </font>
      <fill>
        <patternFill>
          <bgColor indexed="29"/>
        </patternFill>
      </fill>
    </dxf>
    <dxf>
      <fill>
        <patternFill>
          <bgColor indexed="29"/>
        </patternFill>
      </fill>
    </dxf>
    <dxf>
      <font>
        <strike/>
        <condense val="0"/>
        <extend val="0"/>
      </font>
      <fill>
        <patternFill>
          <bgColor indexed="29"/>
        </patternFill>
      </fill>
    </dxf>
    <dxf>
      <font>
        <strike/>
        <condense val="0"/>
        <extend val="0"/>
        <color auto="1"/>
      </font>
      <fill>
        <patternFill>
          <bgColor indexed="29"/>
        </patternFill>
      </fill>
    </dxf>
    <dxf>
      <fill>
        <patternFill patternType="solid">
          <bgColor indexed="29"/>
        </patternFill>
      </fill>
      <border>
        <left/>
        <right/>
        <top/>
        <bottom/>
      </border>
    </dxf>
    <dxf>
      <fill>
        <patternFill>
          <bgColor indexed="22"/>
        </patternFill>
      </fill>
    </dxf>
    <dxf>
      <font>
        <strike/>
        <condense val="0"/>
        <extend val="0"/>
      </font>
      <fill>
        <patternFill>
          <bgColor indexed="2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876300</xdr:rowOff>
    </xdr:from>
    <xdr:to>
      <xdr:col>3</xdr:col>
      <xdr:colOff>0</xdr:colOff>
      <xdr:row>7</xdr:row>
      <xdr:rowOff>0</xdr:rowOff>
    </xdr:to>
    <xdr:sp macro="" textlink="">
      <xdr:nvSpPr>
        <xdr:cNvPr id="2" name="Text Box 38"/>
        <xdr:cNvSpPr txBox="1">
          <a:spLocks noChangeArrowheads="1"/>
        </xdr:cNvSpPr>
      </xdr:nvSpPr>
      <xdr:spPr bwMode="auto">
        <a:xfrm>
          <a:off x="4869180" y="1699260"/>
          <a:ext cx="0" cy="27432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strike="noStrike">
              <a:solidFill>
                <a:srgbClr val="000000"/>
              </a:solidFill>
              <a:latin typeface="Arial"/>
              <a:cs typeface="Arial"/>
            </a:rPr>
            <a:t>dd</a:t>
          </a:r>
        </a:p>
      </xdr:txBody>
    </xdr:sp>
    <xdr:clientData/>
  </xdr:twoCellAnchor>
  <xdr:twoCellAnchor>
    <xdr:from>
      <xdr:col>3</xdr:col>
      <xdr:colOff>0</xdr:colOff>
      <xdr:row>5</xdr:row>
      <xdr:rowOff>895350</xdr:rowOff>
    </xdr:from>
    <xdr:to>
      <xdr:col>3</xdr:col>
      <xdr:colOff>0</xdr:colOff>
      <xdr:row>7</xdr:row>
      <xdr:rowOff>0</xdr:rowOff>
    </xdr:to>
    <xdr:sp macro="" textlink="">
      <xdr:nvSpPr>
        <xdr:cNvPr id="3" name="Text Box 39"/>
        <xdr:cNvSpPr txBox="1">
          <a:spLocks noChangeArrowheads="1"/>
        </xdr:cNvSpPr>
      </xdr:nvSpPr>
      <xdr:spPr bwMode="auto">
        <a:xfrm>
          <a:off x="4869180" y="1718310"/>
          <a:ext cx="0" cy="25527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strike="noStrike">
              <a:solidFill>
                <a:srgbClr val="000000"/>
              </a:solidFill>
              <a:latin typeface="Arial"/>
              <a:cs typeface="Arial"/>
            </a:rPr>
            <a:t>dd</a:t>
          </a:r>
        </a:p>
      </xdr:txBody>
    </xdr:sp>
    <xdr:clientData/>
  </xdr:twoCellAnchor>
  <xdr:twoCellAnchor>
    <xdr:from>
      <xdr:col>4</xdr:col>
      <xdr:colOff>0</xdr:colOff>
      <xdr:row>5</xdr:row>
      <xdr:rowOff>876300</xdr:rowOff>
    </xdr:from>
    <xdr:to>
      <xdr:col>4</xdr:col>
      <xdr:colOff>0</xdr:colOff>
      <xdr:row>7</xdr:row>
      <xdr:rowOff>0</xdr:rowOff>
    </xdr:to>
    <xdr:sp macro="" textlink="">
      <xdr:nvSpPr>
        <xdr:cNvPr id="4" name="Text Box 38"/>
        <xdr:cNvSpPr txBox="1">
          <a:spLocks noChangeArrowheads="1"/>
        </xdr:cNvSpPr>
      </xdr:nvSpPr>
      <xdr:spPr bwMode="auto">
        <a:xfrm>
          <a:off x="6423660" y="1699260"/>
          <a:ext cx="0" cy="27432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strike="noStrike">
              <a:solidFill>
                <a:srgbClr val="000000"/>
              </a:solidFill>
              <a:latin typeface="Arial"/>
              <a:cs typeface="Arial"/>
            </a:rPr>
            <a:t>dd</a:t>
          </a:r>
        </a:p>
      </xdr:txBody>
    </xdr:sp>
    <xdr:clientData/>
  </xdr:twoCellAnchor>
  <xdr:twoCellAnchor>
    <xdr:from>
      <xdr:col>4</xdr:col>
      <xdr:colOff>0</xdr:colOff>
      <xdr:row>5</xdr:row>
      <xdr:rowOff>895350</xdr:rowOff>
    </xdr:from>
    <xdr:to>
      <xdr:col>4</xdr:col>
      <xdr:colOff>0</xdr:colOff>
      <xdr:row>7</xdr:row>
      <xdr:rowOff>0</xdr:rowOff>
    </xdr:to>
    <xdr:sp macro="" textlink="">
      <xdr:nvSpPr>
        <xdr:cNvPr id="5" name="Text Box 39"/>
        <xdr:cNvSpPr txBox="1">
          <a:spLocks noChangeArrowheads="1"/>
        </xdr:cNvSpPr>
      </xdr:nvSpPr>
      <xdr:spPr bwMode="auto">
        <a:xfrm>
          <a:off x="6423660" y="1718310"/>
          <a:ext cx="0" cy="25527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strike="noStrike">
              <a:solidFill>
                <a:srgbClr val="000000"/>
              </a:solidFill>
              <a:latin typeface="Arial"/>
              <a:cs typeface="Arial"/>
            </a:rPr>
            <a:t>dd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ASA-CONS\02-03\Budget\NCLB_v0203h_eBudg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1-Instructions"/>
      <sheetName val="2a-Cover Page"/>
      <sheetName val="2b-District TRANSFER Page"/>
      <sheetName val="2c-BOCES Signover Amounts"/>
      <sheetName val="2d-BOCES TRANSFER Page"/>
      <sheetName val="3a-Budget Detail"/>
      <sheetName val="3b-TRANSFER Budget Detail"/>
      <sheetName val="4a-Staff Detail"/>
      <sheetName val="4b-TRANSFER Staff Detail"/>
      <sheetName val="5a-Equipment Detail"/>
      <sheetName val="5b-TRANSFER Equipment Detail"/>
      <sheetName val="6a-Interfund Budget Summary"/>
      <sheetName val="6b-TRANSFER Budget Summary"/>
      <sheetName val="7-Statutory Budget Check"/>
      <sheetName val="8-Error Checking"/>
      <sheetName val="9-LEA Work Notes &amp; CDE Comments"/>
      <sheetName val="11-District Table"/>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mailto:Electronic_budget@cde.state.co.us"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24"/>
  <sheetViews>
    <sheetView workbookViewId="0">
      <selection activeCell="A17" sqref="A17:A19"/>
    </sheetView>
  </sheetViews>
  <sheetFormatPr defaultColWidth="0" defaultRowHeight="12.75" zeroHeight="1"/>
  <cols>
    <col min="1" max="1" width="84.7109375" customWidth="1"/>
    <col min="2" max="16384" width="8.85546875" hidden="1"/>
  </cols>
  <sheetData>
    <row r="1" spans="1:1" ht="37.5">
      <c r="A1" s="143" t="s">
        <v>98</v>
      </c>
    </row>
    <row r="2" spans="1:1" ht="19.5" thickBot="1">
      <c r="A2" s="142" t="s">
        <v>89</v>
      </c>
    </row>
    <row r="3" spans="1:1" ht="18.75">
      <c r="A3" s="144" t="s">
        <v>88</v>
      </c>
    </row>
    <row r="4" spans="1:1" ht="31.5">
      <c r="A4" s="145" t="s">
        <v>74</v>
      </c>
    </row>
    <row r="5" spans="1:1" ht="15.75">
      <c r="A5" s="145" t="s">
        <v>75</v>
      </c>
    </row>
    <row r="6" spans="1:1" ht="48" thickBot="1">
      <c r="A6" s="146" t="s">
        <v>76</v>
      </c>
    </row>
    <row r="7" spans="1:1" ht="19.5" thickBot="1">
      <c r="A7" s="142" t="s">
        <v>99</v>
      </c>
    </row>
    <row r="8" spans="1:1" ht="31.5">
      <c r="A8" s="147" t="s">
        <v>87</v>
      </c>
    </row>
    <row r="9" spans="1:1" ht="48" thickBot="1">
      <c r="A9" s="146" t="s">
        <v>80</v>
      </c>
    </row>
    <row r="10" spans="1:1" ht="19.5" thickBot="1">
      <c r="A10" s="142" t="s">
        <v>93</v>
      </c>
    </row>
    <row r="11" spans="1:1" ht="31.5">
      <c r="A11" s="147" t="s">
        <v>86</v>
      </c>
    </row>
    <row r="12" spans="1:1" ht="48" thickBot="1">
      <c r="A12" s="146" t="s">
        <v>80</v>
      </c>
    </row>
    <row r="13" spans="1:1" ht="18.75">
      <c r="A13" s="142"/>
    </row>
    <row r="14" spans="1:1" ht="15.75">
      <c r="A14" s="148" t="s">
        <v>72</v>
      </c>
    </row>
    <row r="15" spans="1:1" ht="47.25">
      <c r="A15" s="107" t="s">
        <v>90</v>
      </c>
    </row>
    <row r="16" spans="1:1" ht="15.75">
      <c r="A16" s="149" t="s">
        <v>73</v>
      </c>
    </row>
    <row r="17" spans="1:1" ht="157.5">
      <c r="A17" s="306" t="s">
        <v>103</v>
      </c>
    </row>
    <row r="18" spans="1:1" ht="31.5">
      <c r="A18" s="306" t="s">
        <v>71</v>
      </c>
    </row>
    <row r="19" spans="1:1" ht="63">
      <c r="A19" s="307" t="s">
        <v>194</v>
      </c>
    </row>
    <row r="20" spans="1:1"/>
    <row r="21" spans="1:1"/>
    <row r="22" spans="1:1"/>
    <row r="23" spans="1:1"/>
    <row r="24" spans="1:1"/>
  </sheetData>
  <sheetProtection password="EE48"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101"/>
  <sheetViews>
    <sheetView tabSelected="1" zoomScaleNormal="100" workbookViewId="0">
      <selection activeCell="B21" sqref="B21"/>
    </sheetView>
  </sheetViews>
  <sheetFormatPr defaultRowHeight="15"/>
  <cols>
    <col min="1" max="1" width="9.140625" style="82"/>
    <col min="2" max="2" width="83.140625" style="73" customWidth="1"/>
    <col min="3" max="3" width="40.28515625" style="297" customWidth="1"/>
    <col min="4" max="257" width="9.140625" style="80"/>
    <col min="258" max="258" width="83.140625" style="80" customWidth="1"/>
    <col min="259" max="513" width="9.140625" style="80"/>
    <col min="514" max="514" width="83.140625" style="80" customWidth="1"/>
    <col min="515" max="769" width="9.140625" style="80"/>
    <col min="770" max="770" width="83.140625" style="80" customWidth="1"/>
    <col min="771" max="1025" width="9.140625" style="80"/>
    <col min="1026" max="1026" width="83.140625" style="80" customWidth="1"/>
    <col min="1027" max="1281" width="9.140625" style="80"/>
    <col min="1282" max="1282" width="83.140625" style="80" customWidth="1"/>
    <col min="1283" max="1537" width="9.140625" style="80"/>
    <col min="1538" max="1538" width="83.140625" style="80" customWidth="1"/>
    <col min="1539" max="1793" width="9.140625" style="80"/>
    <col min="1794" max="1794" width="83.140625" style="80" customWidth="1"/>
    <col min="1795" max="2049" width="9.140625" style="80"/>
    <col min="2050" max="2050" width="83.140625" style="80" customWidth="1"/>
    <col min="2051" max="2305" width="9.140625" style="80"/>
    <col min="2306" max="2306" width="83.140625" style="80" customWidth="1"/>
    <col min="2307" max="2561" width="9.140625" style="80"/>
    <col min="2562" max="2562" width="83.140625" style="80" customWidth="1"/>
    <col min="2563" max="2817" width="9.140625" style="80"/>
    <col min="2818" max="2818" width="83.140625" style="80" customWidth="1"/>
    <col min="2819" max="3073" width="9.140625" style="80"/>
    <col min="3074" max="3074" width="83.140625" style="80" customWidth="1"/>
    <col min="3075" max="3329" width="9.140625" style="80"/>
    <col min="3330" max="3330" width="83.140625" style="80" customWidth="1"/>
    <col min="3331" max="3585" width="9.140625" style="80"/>
    <col min="3586" max="3586" width="83.140625" style="80" customWidth="1"/>
    <col min="3587" max="3841" width="9.140625" style="80"/>
    <col min="3842" max="3842" width="83.140625" style="80" customWidth="1"/>
    <col min="3843" max="4097" width="9.140625" style="80"/>
    <col min="4098" max="4098" width="83.140625" style="80" customWidth="1"/>
    <col min="4099" max="4353" width="9.140625" style="80"/>
    <col min="4354" max="4354" width="83.140625" style="80" customWidth="1"/>
    <col min="4355" max="4609" width="9.140625" style="80"/>
    <col min="4610" max="4610" width="83.140625" style="80" customWidth="1"/>
    <col min="4611" max="4865" width="9.140625" style="80"/>
    <col min="4866" max="4866" width="83.140625" style="80" customWidth="1"/>
    <col min="4867" max="5121" width="9.140625" style="80"/>
    <col min="5122" max="5122" width="83.140625" style="80" customWidth="1"/>
    <col min="5123" max="5377" width="9.140625" style="80"/>
    <col min="5378" max="5378" width="83.140625" style="80" customWidth="1"/>
    <col min="5379" max="5633" width="9.140625" style="80"/>
    <col min="5634" max="5634" width="83.140625" style="80" customWidth="1"/>
    <col min="5635" max="5889" width="9.140625" style="80"/>
    <col min="5890" max="5890" width="83.140625" style="80" customWidth="1"/>
    <col min="5891" max="6145" width="9.140625" style="80"/>
    <col min="6146" max="6146" width="83.140625" style="80" customWidth="1"/>
    <col min="6147" max="6401" width="9.140625" style="80"/>
    <col min="6402" max="6402" width="83.140625" style="80" customWidth="1"/>
    <col min="6403" max="6657" width="9.140625" style="80"/>
    <col min="6658" max="6658" width="83.140625" style="80" customWidth="1"/>
    <col min="6659" max="6913" width="9.140625" style="80"/>
    <col min="6914" max="6914" width="83.140625" style="80" customWidth="1"/>
    <col min="6915" max="7169" width="9.140625" style="80"/>
    <col min="7170" max="7170" width="83.140625" style="80" customWidth="1"/>
    <col min="7171" max="7425" width="9.140625" style="80"/>
    <col min="7426" max="7426" width="83.140625" style="80" customWidth="1"/>
    <col min="7427" max="7681" width="9.140625" style="80"/>
    <col min="7682" max="7682" width="83.140625" style="80" customWidth="1"/>
    <col min="7683" max="7937" width="9.140625" style="80"/>
    <col min="7938" max="7938" width="83.140625" style="80" customWidth="1"/>
    <col min="7939" max="8193" width="9.140625" style="80"/>
    <col min="8194" max="8194" width="83.140625" style="80" customWidth="1"/>
    <col min="8195" max="8449" width="9.140625" style="80"/>
    <col min="8450" max="8450" width="83.140625" style="80" customWidth="1"/>
    <col min="8451" max="8705" width="9.140625" style="80"/>
    <col min="8706" max="8706" width="83.140625" style="80" customWidth="1"/>
    <col min="8707" max="8961" width="9.140625" style="80"/>
    <col min="8962" max="8962" width="83.140625" style="80" customWidth="1"/>
    <col min="8963" max="9217" width="9.140625" style="80"/>
    <col min="9218" max="9218" width="83.140625" style="80" customWidth="1"/>
    <col min="9219" max="9473" width="9.140625" style="80"/>
    <col min="9474" max="9474" width="83.140625" style="80" customWidth="1"/>
    <col min="9475" max="9729" width="9.140625" style="80"/>
    <col min="9730" max="9730" width="83.140625" style="80" customWidth="1"/>
    <col min="9731" max="9985" width="9.140625" style="80"/>
    <col min="9986" max="9986" width="83.140625" style="80" customWidth="1"/>
    <col min="9987" max="10241" width="9.140625" style="80"/>
    <col min="10242" max="10242" width="83.140625" style="80" customWidth="1"/>
    <col min="10243" max="10497" width="9.140625" style="80"/>
    <col min="10498" max="10498" width="83.140625" style="80" customWidth="1"/>
    <col min="10499" max="10753" width="9.140625" style="80"/>
    <col min="10754" max="10754" width="83.140625" style="80" customWidth="1"/>
    <col min="10755" max="11009" width="9.140625" style="80"/>
    <col min="11010" max="11010" width="83.140625" style="80" customWidth="1"/>
    <col min="11011" max="11265" width="9.140625" style="80"/>
    <col min="11266" max="11266" width="83.140625" style="80" customWidth="1"/>
    <col min="11267" max="11521" width="9.140625" style="80"/>
    <col min="11522" max="11522" width="83.140625" style="80" customWidth="1"/>
    <col min="11523" max="11777" width="9.140625" style="80"/>
    <col min="11778" max="11778" width="83.140625" style="80" customWidth="1"/>
    <col min="11779" max="12033" width="9.140625" style="80"/>
    <col min="12034" max="12034" width="83.140625" style="80" customWidth="1"/>
    <col min="12035" max="12289" width="9.140625" style="80"/>
    <col min="12290" max="12290" width="83.140625" style="80" customWidth="1"/>
    <col min="12291" max="12545" width="9.140625" style="80"/>
    <col min="12546" max="12546" width="83.140625" style="80" customWidth="1"/>
    <col min="12547" max="12801" width="9.140625" style="80"/>
    <col min="12802" max="12802" width="83.140625" style="80" customWidth="1"/>
    <col min="12803" max="13057" width="9.140625" style="80"/>
    <col min="13058" max="13058" width="83.140625" style="80" customWidth="1"/>
    <col min="13059" max="13313" width="9.140625" style="80"/>
    <col min="13314" max="13314" width="83.140625" style="80" customWidth="1"/>
    <col min="13315" max="13569" width="9.140625" style="80"/>
    <col min="13570" max="13570" width="83.140625" style="80" customWidth="1"/>
    <col min="13571" max="13825" width="9.140625" style="80"/>
    <col min="13826" max="13826" width="83.140625" style="80" customWidth="1"/>
    <col min="13827" max="14081" width="9.140625" style="80"/>
    <col min="14082" max="14082" width="83.140625" style="80" customWidth="1"/>
    <col min="14083" max="14337" width="9.140625" style="80"/>
    <col min="14338" max="14338" width="83.140625" style="80" customWidth="1"/>
    <col min="14339" max="14593" width="9.140625" style="80"/>
    <col min="14594" max="14594" width="83.140625" style="80" customWidth="1"/>
    <col min="14595" max="14849" width="9.140625" style="80"/>
    <col min="14850" max="14850" width="83.140625" style="80" customWidth="1"/>
    <col min="14851" max="15105" width="9.140625" style="80"/>
    <col min="15106" max="15106" width="83.140625" style="80" customWidth="1"/>
    <col min="15107" max="15361" width="9.140625" style="80"/>
    <col min="15362" max="15362" width="83.140625" style="80" customWidth="1"/>
    <col min="15363" max="15617" width="9.140625" style="80"/>
    <col min="15618" max="15618" width="83.140625" style="80" customWidth="1"/>
    <col min="15619" max="15873" width="9.140625" style="80"/>
    <col min="15874" max="15874" width="83.140625" style="80" customWidth="1"/>
    <col min="15875" max="16129" width="9.140625" style="80"/>
    <col min="16130" max="16130" width="83.140625" style="80" customWidth="1"/>
    <col min="16131" max="16384" width="9.140625" style="80"/>
  </cols>
  <sheetData>
    <row r="1" spans="1:3" ht="21">
      <c r="A1" s="260"/>
      <c r="B1" s="260" t="s">
        <v>61</v>
      </c>
      <c r="C1" s="295"/>
    </row>
    <row r="2" spans="1:3" ht="18.75">
      <c r="B2" s="142" t="s">
        <v>85</v>
      </c>
      <c r="C2" s="296"/>
    </row>
    <row r="3" spans="1:3" ht="18.75">
      <c r="B3" s="142" t="s">
        <v>112</v>
      </c>
      <c r="C3" s="296"/>
    </row>
    <row r="4" spans="1:3" ht="18.75">
      <c r="B4" s="142" t="s">
        <v>84</v>
      </c>
      <c r="C4" s="296"/>
    </row>
    <row r="5" spans="1:3" ht="15.75">
      <c r="A5" s="150"/>
      <c r="B5" s="108" t="s">
        <v>62</v>
      </c>
    </row>
    <row r="6" spans="1:3" s="151" customFormat="1" ht="74.45" customHeight="1">
      <c r="A6" s="79"/>
      <c r="B6" s="305" t="s">
        <v>193</v>
      </c>
      <c r="C6" s="298"/>
    </row>
    <row r="7" spans="1:3" s="151" customFormat="1">
      <c r="A7" s="152"/>
      <c r="B7" s="74" t="s">
        <v>69</v>
      </c>
      <c r="C7" s="298"/>
    </row>
    <row r="8" spans="1:3" s="151" customFormat="1">
      <c r="A8" s="79"/>
      <c r="B8" s="74" t="s">
        <v>178</v>
      </c>
      <c r="C8" s="298"/>
    </row>
    <row r="9" spans="1:3" s="151" customFormat="1">
      <c r="A9" s="152"/>
      <c r="B9" s="75"/>
      <c r="C9" s="298"/>
    </row>
    <row r="10" spans="1:3" s="151" customFormat="1" ht="38.25">
      <c r="A10" s="79"/>
      <c r="B10" s="74" t="s">
        <v>179</v>
      </c>
      <c r="C10" s="298"/>
    </row>
    <row r="11" spans="1:3">
      <c r="A11" s="81"/>
      <c r="B11" s="80"/>
      <c r="C11" s="299"/>
    </row>
    <row r="12" spans="1:3">
      <c r="A12" s="81"/>
      <c r="B12" s="76"/>
      <c r="C12" s="299"/>
    </row>
    <row r="13" spans="1:3" ht="21">
      <c r="A13" s="150" t="s">
        <v>19</v>
      </c>
      <c r="B13" s="110" t="s">
        <v>63</v>
      </c>
      <c r="C13" s="300"/>
    </row>
    <row r="14" spans="1:3" s="153" customFormat="1">
      <c r="A14" s="150">
        <v>1</v>
      </c>
      <c r="B14" s="77" t="s">
        <v>180</v>
      </c>
      <c r="C14" s="301"/>
    </row>
    <row r="15" spans="1:3" s="153" customFormat="1">
      <c r="A15" s="150">
        <v>2</v>
      </c>
      <c r="B15" s="77" t="s">
        <v>145</v>
      </c>
      <c r="C15" s="301" t="s">
        <v>158</v>
      </c>
    </row>
    <row r="16" spans="1:3" s="153" customFormat="1" ht="26.25">
      <c r="A16" s="150">
        <v>3</v>
      </c>
      <c r="B16" s="77" t="s">
        <v>161</v>
      </c>
      <c r="C16" s="301" t="s">
        <v>146</v>
      </c>
    </row>
    <row r="17" spans="1:3" s="153" customFormat="1" ht="20.25" customHeight="1">
      <c r="A17" s="150">
        <v>4</v>
      </c>
      <c r="B17" s="154" t="s">
        <v>181</v>
      </c>
      <c r="C17" s="302"/>
    </row>
    <row r="18" spans="1:3" s="153" customFormat="1">
      <c r="A18" s="82">
        <v>5</v>
      </c>
      <c r="B18" s="154" t="s">
        <v>91</v>
      </c>
      <c r="C18" s="301"/>
    </row>
    <row r="19" spans="1:3" s="153" customFormat="1">
      <c r="A19" s="82">
        <v>6</v>
      </c>
      <c r="B19" s="77" t="s">
        <v>147</v>
      </c>
      <c r="C19" s="302"/>
    </row>
    <row r="20" spans="1:3" s="153" customFormat="1">
      <c r="A20" s="150">
        <v>7</v>
      </c>
      <c r="B20" s="77" t="s">
        <v>64</v>
      </c>
      <c r="C20" s="301"/>
    </row>
    <row r="21" spans="1:3" s="153" customFormat="1">
      <c r="A21" s="150">
        <v>8</v>
      </c>
      <c r="B21" s="77" t="s">
        <v>65</v>
      </c>
      <c r="C21" s="301"/>
    </row>
    <row r="22" spans="1:3" s="153" customFormat="1">
      <c r="A22" s="150">
        <v>9</v>
      </c>
      <c r="B22" s="77" t="s">
        <v>66</v>
      </c>
      <c r="C22" s="301"/>
    </row>
    <row r="23" spans="1:3">
      <c r="A23" s="150"/>
      <c r="B23" s="77"/>
      <c r="C23" s="300"/>
    </row>
    <row r="24" spans="1:3" ht="21">
      <c r="A24" s="150"/>
      <c r="B24" s="110" t="s">
        <v>148</v>
      </c>
      <c r="C24" s="300"/>
    </row>
    <row r="25" spans="1:3" ht="26.25">
      <c r="A25" s="150"/>
      <c r="B25" s="280" t="s">
        <v>159</v>
      </c>
      <c r="C25" s="300"/>
    </row>
    <row r="26" spans="1:3" ht="15.75">
      <c r="A26" s="150"/>
      <c r="B26" s="265" t="s">
        <v>149</v>
      </c>
      <c r="C26" s="300"/>
    </row>
    <row r="27" spans="1:3" ht="15.75">
      <c r="A27" s="150"/>
      <c r="B27" s="265" t="s">
        <v>150</v>
      </c>
      <c r="C27" s="300"/>
    </row>
    <row r="28" spans="1:3" ht="15.75">
      <c r="A28" s="150"/>
      <c r="B28" s="265" t="s">
        <v>182</v>
      </c>
      <c r="C28" s="300"/>
    </row>
    <row r="29" spans="1:3" ht="15.75">
      <c r="A29" s="150"/>
      <c r="B29" s="155" t="s">
        <v>127</v>
      </c>
      <c r="C29" s="300"/>
    </row>
    <row r="30" spans="1:3" ht="15.75">
      <c r="A30" s="156"/>
      <c r="B30" s="157" t="s">
        <v>151</v>
      </c>
    </row>
    <row r="31" spans="1:3">
      <c r="A31" s="79"/>
      <c r="B31" s="78"/>
    </row>
    <row r="32" spans="1:3" s="267" customFormat="1" ht="25.5">
      <c r="A32" s="274">
        <v>1</v>
      </c>
      <c r="B32" s="266" t="s">
        <v>96</v>
      </c>
      <c r="C32" s="303"/>
    </row>
    <row r="33" spans="1:3" s="267" customFormat="1">
      <c r="A33" s="274"/>
      <c r="B33" s="266"/>
      <c r="C33" s="303"/>
    </row>
    <row r="34" spans="1:3" s="267" customFormat="1" ht="25.5">
      <c r="A34" s="274">
        <v>2</v>
      </c>
      <c r="B34" s="268" t="s">
        <v>152</v>
      </c>
      <c r="C34" s="303"/>
    </row>
    <row r="35" spans="1:3" s="267" customFormat="1">
      <c r="A35" s="274"/>
      <c r="B35" s="266"/>
      <c r="C35" s="303"/>
    </row>
    <row r="36" spans="1:3" s="267" customFormat="1" ht="25.5">
      <c r="A36" s="274">
        <v>3</v>
      </c>
      <c r="B36" s="268" t="s">
        <v>153</v>
      </c>
      <c r="C36" s="303"/>
    </row>
    <row r="37" spans="1:3" s="267" customFormat="1">
      <c r="A37" s="274"/>
      <c r="B37" s="268" t="s">
        <v>154</v>
      </c>
      <c r="C37" s="303"/>
    </row>
    <row r="38" spans="1:3" s="267" customFormat="1" ht="25.5">
      <c r="A38" s="274"/>
      <c r="B38" s="268" t="s">
        <v>183</v>
      </c>
      <c r="C38" s="303"/>
    </row>
    <row r="39" spans="1:3" s="267" customFormat="1" ht="25.5">
      <c r="A39" s="274"/>
      <c r="B39" s="268" t="s">
        <v>155</v>
      </c>
      <c r="C39" s="303"/>
    </row>
    <row r="40" spans="1:3" s="267" customFormat="1">
      <c r="A40" s="274"/>
      <c r="B40" s="269"/>
      <c r="C40" s="303"/>
    </row>
    <row r="41" spans="1:3" s="267" customFormat="1">
      <c r="A41" s="274">
        <v>4</v>
      </c>
      <c r="B41" s="268" t="s">
        <v>94</v>
      </c>
      <c r="C41" s="303"/>
    </row>
    <row r="42" spans="1:3" s="267" customFormat="1">
      <c r="A42" s="274"/>
      <c r="B42" s="269"/>
      <c r="C42" s="303"/>
    </row>
    <row r="43" spans="1:3" s="267" customFormat="1">
      <c r="A43" s="274">
        <v>5</v>
      </c>
      <c r="B43" s="268" t="s">
        <v>95</v>
      </c>
      <c r="C43" s="303"/>
    </row>
    <row r="44" spans="1:3" s="267" customFormat="1">
      <c r="A44" s="274"/>
      <c r="B44" s="269"/>
      <c r="C44" s="303"/>
    </row>
    <row r="45" spans="1:3" s="267" customFormat="1" ht="25.5">
      <c r="A45" s="274">
        <v>6</v>
      </c>
      <c r="B45" s="268" t="s">
        <v>175</v>
      </c>
      <c r="C45" s="303"/>
    </row>
    <row r="46" spans="1:3" s="267" customFormat="1">
      <c r="A46" s="274"/>
      <c r="B46" s="268"/>
      <c r="C46" s="303"/>
    </row>
    <row r="47" spans="1:3" s="267" customFormat="1" ht="25.5">
      <c r="A47" s="283">
        <v>7</v>
      </c>
      <c r="B47" s="281" t="s">
        <v>156</v>
      </c>
      <c r="C47" s="303"/>
    </row>
    <row r="48" spans="1:3" s="267" customFormat="1">
      <c r="A48" s="274"/>
      <c r="B48" s="270"/>
      <c r="C48" s="303"/>
    </row>
    <row r="49" spans="1:3" s="267" customFormat="1" ht="25.5">
      <c r="A49" s="284">
        <v>8</v>
      </c>
      <c r="B49" s="282" t="s">
        <v>157</v>
      </c>
      <c r="C49" s="303"/>
    </row>
    <row r="50" spans="1:3" s="267" customFormat="1">
      <c r="A50" s="274"/>
      <c r="B50" s="270"/>
      <c r="C50" s="303"/>
    </row>
    <row r="51" spans="1:3" s="267" customFormat="1" ht="21">
      <c r="A51" s="274"/>
      <c r="B51" s="271" t="s">
        <v>134</v>
      </c>
      <c r="C51" s="304"/>
    </row>
    <row r="52" spans="1:3" s="267" customFormat="1" ht="31.5">
      <c r="A52" s="274"/>
      <c r="B52" s="272" t="s">
        <v>135</v>
      </c>
      <c r="C52" s="304"/>
    </row>
    <row r="53" spans="1:3" s="267" customFormat="1" ht="15.75">
      <c r="A53" s="275"/>
      <c r="B53" s="273"/>
      <c r="C53" s="303"/>
    </row>
    <row r="54" spans="1:3" s="267" customFormat="1" ht="25.5">
      <c r="A54" s="274">
        <v>1</v>
      </c>
      <c r="B54" s="266" t="s">
        <v>96</v>
      </c>
      <c r="C54" s="303"/>
    </row>
    <row r="55" spans="1:3" s="267" customFormat="1">
      <c r="A55" s="274"/>
      <c r="B55" s="266"/>
      <c r="C55" s="303"/>
    </row>
    <row r="56" spans="1:3" s="267" customFormat="1" ht="25.5">
      <c r="A56" s="274">
        <v>6</v>
      </c>
      <c r="B56" s="268" t="s">
        <v>152</v>
      </c>
      <c r="C56" s="303"/>
    </row>
    <row r="57" spans="1:3" s="267" customFormat="1">
      <c r="A57" s="274"/>
      <c r="B57" s="266"/>
      <c r="C57" s="303"/>
    </row>
    <row r="58" spans="1:3" s="267" customFormat="1" ht="25.5">
      <c r="A58" s="274">
        <v>2</v>
      </c>
      <c r="B58" s="268" t="s">
        <v>153</v>
      </c>
      <c r="C58" s="303"/>
    </row>
    <row r="59" spans="1:3" s="267" customFormat="1">
      <c r="A59" s="274"/>
      <c r="B59" s="268" t="s">
        <v>154</v>
      </c>
      <c r="C59" s="303"/>
    </row>
    <row r="60" spans="1:3" s="267" customFormat="1" ht="25.5">
      <c r="A60" s="274"/>
      <c r="B60" s="268" t="s">
        <v>183</v>
      </c>
      <c r="C60" s="303"/>
    </row>
    <row r="61" spans="1:3" s="267" customFormat="1" ht="25.5">
      <c r="A61" s="274"/>
      <c r="B61" s="268" t="s">
        <v>155</v>
      </c>
      <c r="C61" s="303"/>
    </row>
    <row r="62" spans="1:3" s="267" customFormat="1">
      <c r="A62" s="274"/>
      <c r="B62" s="269"/>
      <c r="C62" s="303"/>
    </row>
    <row r="63" spans="1:3" s="267" customFormat="1">
      <c r="A63" s="274">
        <v>3</v>
      </c>
      <c r="B63" s="277" t="s">
        <v>164</v>
      </c>
      <c r="C63" s="303"/>
    </row>
    <row r="64" spans="1:3" s="267" customFormat="1">
      <c r="A64" s="274"/>
      <c r="B64" s="277"/>
      <c r="C64" s="303"/>
    </row>
    <row r="65" spans="1:3" s="267" customFormat="1">
      <c r="A65" s="274">
        <v>4</v>
      </c>
      <c r="B65" s="269" t="s">
        <v>174</v>
      </c>
      <c r="C65" s="303"/>
    </row>
    <row r="66" spans="1:3" s="267" customFormat="1">
      <c r="A66" s="274"/>
      <c r="B66" s="269"/>
      <c r="C66" s="303"/>
    </row>
    <row r="67" spans="1:3" s="267" customFormat="1">
      <c r="A67" s="274">
        <v>5</v>
      </c>
      <c r="B67" s="269" t="s">
        <v>184</v>
      </c>
      <c r="C67" s="303"/>
    </row>
    <row r="69" spans="1:3" s="267" customFormat="1" ht="25.5">
      <c r="A69" s="274">
        <v>6</v>
      </c>
      <c r="B69" s="268" t="s">
        <v>175</v>
      </c>
      <c r="C69" s="303"/>
    </row>
    <row r="70" spans="1:3" s="267" customFormat="1">
      <c r="A70" s="274"/>
      <c r="B70" s="268"/>
      <c r="C70" s="303"/>
    </row>
    <row r="71" spans="1:3" s="267" customFormat="1">
      <c r="A71" s="274">
        <v>7</v>
      </c>
      <c r="B71" s="268" t="s">
        <v>187</v>
      </c>
      <c r="C71" s="303"/>
    </row>
    <row r="72" spans="1:3" s="267" customFormat="1">
      <c r="A72" s="274"/>
      <c r="B72" s="268"/>
      <c r="C72" s="303"/>
    </row>
    <row r="73" spans="1:3" s="267" customFormat="1" ht="38.25">
      <c r="A73" s="274">
        <v>8</v>
      </c>
      <c r="B73" s="268" t="s">
        <v>186</v>
      </c>
      <c r="C73" s="303"/>
    </row>
    <row r="74" spans="1:3" s="267" customFormat="1">
      <c r="A74" s="274"/>
      <c r="B74" s="268"/>
      <c r="C74" s="303"/>
    </row>
    <row r="75" spans="1:3" s="267" customFormat="1">
      <c r="A75" s="274">
        <v>9</v>
      </c>
      <c r="B75" s="268" t="s">
        <v>185</v>
      </c>
      <c r="C75" s="303"/>
    </row>
    <row r="76" spans="1:3" s="267" customFormat="1">
      <c r="A76" s="274"/>
      <c r="B76" s="268"/>
      <c r="C76" s="303"/>
    </row>
    <row r="77" spans="1:3" s="267" customFormat="1" ht="25.5">
      <c r="A77" s="283">
        <v>10</v>
      </c>
      <c r="B77" s="281" t="s">
        <v>165</v>
      </c>
      <c r="C77" s="303"/>
    </row>
    <row r="78" spans="1:3" s="267" customFormat="1">
      <c r="A78" s="274"/>
      <c r="B78" s="270"/>
      <c r="C78" s="303"/>
    </row>
    <row r="79" spans="1:3" s="267" customFormat="1" ht="25.5">
      <c r="A79" s="284">
        <v>11</v>
      </c>
      <c r="B79" s="282" t="s">
        <v>166</v>
      </c>
      <c r="C79" s="303"/>
    </row>
    <row r="80" spans="1:3" s="267" customFormat="1">
      <c r="A80" s="274"/>
      <c r="B80" s="269"/>
      <c r="C80" s="303"/>
    </row>
    <row r="81" spans="1:3" s="267" customFormat="1" ht="15.75">
      <c r="A81" s="275"/>
      <c r="B81" s="273"/>
      <c r="C81" s="303"/>
    </row>
    <row r="82" spans="1:3" ht="21">
      <c r="A82" s="150" t="s">
        <v>67</v>
      </c>
      <c r="B82" s="110" t="s">
        <v>109</v>
      </c>
    </row>
    <row r="83" spans="1:3">
      <c r="A83" s="158">
        <v>1</v>
      </c>
      <c r="B83" s="109" t="s">
        <v>171</v>
      </c>
    </row>
    <row r="84" spans="1:3">
      <c r="A84" s="82">
        <v>1</v>
      </c>
      <c r="B84" s="278" t="s">
        <v>172</v>
      </c>
    </row>
    <row r="85" spans="1:3">
      <c r="A85" s="82">
        <v>1</v>
      </c>
      <c r="B85" s="278" t="s">
        <v>173</v>
      </c>
    </row>
    <row r="86" spans="1:3">
      <c r="A86" s="150"/>
      <c r="B86" s="77"/>
    </row>
    <row r="87" spans="1:3" ht="30">
      <c r="B87" s="111" t="s">
        <v>81</v>
      </c>
    </row>
    <row r="88" spans="1:3">
      <c r="A88" s="150"/>
      <c r="B88" s="77"/>
    </row>
    <row r="90" spans="1:3" ht="21">
      <c r="A90" s="150"/>
      <c r="B90" s="110" t="s">
        <v>169</v>
      </c>
    </row>
    <row r="91" spans="1:3" ht="66" customHeight="1">
      <c r="A91" s="150"/>
      <c r="B91" s="109" t="s">
        <v>92</v>
      </c>
    </row>
    <row r="93" spans="1:3" ht="30">
      <c r="A93" s="150"/>
      <c r="B93" s="109" t="s">
        <v>68</v>
      </c>
    </row>
    <row r="95" spans="1:3" ht="21">
      <c r="B95" s="110" t="s">
        <v>170</v>
      </c>
    </row>
    <row r="96" spans="1:3" ht="30">
      <c r="B96" s="109" t="s">
        <v>110</v>
      </c>
    </row>
    <row r="97" spans="2:2" ht="38.450000000000003" customHeight="1">
      <c r="B97" s="159" t="s">
        <v>111</v>
      </c>
    </row>
    <row r="99" spans="2:2" ht="18.75">
      <c r="B99" s="276" t="s">
        <v>160</v>
      </c>
    </row>
    <row r="100" spans="2:2">
      <c r="B100" s="279" t="s">
        <v>167</v>
      </c>
    </row>
    <row r="101" spans="2:2">
      <c r="B101" s="279" t="s">
        <v>168</v>
      </c>
    </row>
  </sheetData>
  <pageMargins left="0.1" right="0.1" top="0.1" bottom="0.1" header="0.3" footer="0.3"/>
  <pageSetup scale="96" orientation="landscape" r:id="rId1"/>
  <rowBreaks count="3" manualBreakCount="3">
    <brk id="34" max="2" man="1"/>
    <brk id="61" max="2" man="1"/>
    <brk id="81" max="2"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tabColor theme="6" tint="0.39997558519241921"/>
  </sheetPr>
  <dimension ref="A1:G56"/>
  <sheetViews>
    <sheetView zoomScaleNormal="100" workbookViewId="0">
      <selection activeCell="C24" sqref="C24"/>
    </sheetView>
  </sheetViews>
  <sheetFormatPr defaultColWidth="0" defaultRowHeight="12.75" zeroHeight="1"/>
  <cols>
    <col min="1" max="1" width="4.140625" style="38" customWidth="1"/>
    <col min="2" max="2" width="41.42578125" style="39" customWidth="1"/>
    <col min="3" max="3" width="48.140625" style="39" customWidth="1"/>
    <col min="4" max="4" width="10.28515625" style="39" customWidth="1"/>
    <col min="5" max="6" width="14.28515625" style="39" customWidth="1"/>
    <col min="7" max="7" width="0" style="39" hidden="1" customWidth="1"/>
    <col min="8" max="16384" width="14.28515625" style="39" hidden="1"/>
  </cols>
  <sheetData>
    <row r="1" spans="1:7" ht="20.25">
      <c r="B1" s="308" t="s">
        <v>78</v>
      </c>
      <c r="C1" s="309"/>
      <c r="D1" s="309"/>
    </row>
    <row r="2" spans="1:7" ht="15.75">
      <c r="B2" s="310" t="s">
        <v>131</v>
      </c>
      <c r="C2" s="310"/>
      <c r="D2" s="320"/>
    </row>
    <row r="3" spans="1:7" ht="15.75">
      <c r="B3" s="310"/>
      <c r="C3" s="310"/>
    </row>
    <row r="4" spans="1:7">
      <c r="A4" s="38" t="s">
        <v>41</v>
      </c>
      <c r="B4" s="40" t="str">
        <f>C24</f>
        <v>14-15v9</v>
      </c>
      <c r="C4" s="41" t="s">
        <v>137</v>
      </c>
      <c r="D4" s="42"/>
    </row>
    <row r="5" spans="1:7">
      <c r="B5" s="43" t="s">
        <v>28</v>
      </c>
      <c r="C5" s="44" t="s">
        <v>45</v>
      </c>
      <c r="D5" s="42"/>
      <c r="E5" s="42"/>
    </row>
    <row r="6" spans="1:7">
      <c r="A6" s="237">
        <v>1</v>
      </c>
      <c r="B6" s="46" t="s">
        <v>143</v>
      </c>
      <c r="C6" s="126"/>
      <c r="D6" s="264" t="s">
        <v>144</v>
      </c>
      <c r="E6" s="42"/>
    </row>
    <row r="7" spans="1:7" ht="20.45" customHeight="1">
      <c r="A7" s="237">
        <v>2</v>
      </c>
      <c r="B7" s="262" t="s">
        <v>176</v>
      </c>
      <c r="C7" s="290"/>
      <c r="D7" s="42"/>
      <c r="E7" s="42"/>
    </row>
    <row r="8" spans="1:7" ht="25.9" customHeight="1">
      <c r="A8" s="237">
        <v>3</v>
      </c>
      <c r="B8" s="261" t="s">
        <v>142</v>
      </c>
      <c r="C8" s="291"/>
      <c r="D8" s="42"/>
      <c r="E8" s="42"/>
    </row>
    <row r="9" spans="1:7">
      <c r="A9" s="237">
        <v>4</v>
      </c>
      <c r="B9" s="50" t="s">
        <v>16</v>
      </c>
      <c r="C9" s="292"/>
      <c r="D9" s="42"/>
      <c r="E9" s="42"/>
    </row>
    <row r="10" spans="1:7">
      <c r="A10" s="237">
        <v>5</v>
      </c>
      <c r="B10" s="47" t="s">
        <v>34</v>
      </c>
      <c r="C10" s="293"/>
      <c r="D10" s="42"/>
      <c r="E10" s="42"/>
    </row>
    <row r="11" spans="1:7">
      <c r="A11" s="237">
        <v>6</v>
      </c>
      <c r="B11" s="51" t="s">
        <v>35</v>
      </c>
      <c r="C11" s="294" t="s">
        <v>41</v>
      </c>
      <c r="D11" s="42"/>
      <c r="E11" s="42"/>
    </row>
    <row r="12" spans="1:7">
      <c r="A12" s="45"/>
      <c r="B12" s="52"/>
      <c r="D12" s="42"/>
      <c r="E12" s="42"/>
    </row>
    <row r="13" spans="1:7" ht="13.5" thickBot="1">
      <c r="B13" s="53" t="s">
        <v>46</v>
      </c>
      <c r="C13" s="127" t="s">
        <v>177</v>
      </c>
      <c r="D13" s="54" t="s">
        <v>47</v>
      </c>
    </row>
    <row r="14" spans="1:7">
      <c r="A14" s="42">
        <v>7</v>
      </c>
      <c r="B14" s="55" t="s">
        <v>139</v>
      </c>
      <c r="C14" s="257"/>
      <c r="D14" s="311"/>
      <c r="E14" s="312"/>
      <c r="F14" s="313"/>
      <c r="G14" s="123">
        <v>5</v>
      </c>
    </row>
    <row r="15" spans="1:7">
      <c r="A15" s="42">
        <v>8</v>
      </c>
      <c r="B15" s="55" t="s">
        <v>140</v>
      </c>
      <c r="C15" s="258"/>
      <c r="D15" s="314"/>
      <c r="E15" s="315"/>
      <c r="F15" s="316"/>
      <c r="G15" s="123">
        <v>6</v>
      </c>
    </row>
    <row r="16" spans="1:7" ht="13.5" thickBot="1">
      <c r="A16" s="42">
        <v>9</v>
      </c>
      <c r="B16" s="55" t="s">
        <v>141</v>
      </c>
      <c r="C16" s="259"/>
      <c r="D16" s="317"/>
      <c r="E16" s="318"/>
      <c r="F16" s="319"/>
      <c r="G16" s="123">
        <v>7</v>
      </c>
    </row>
    <row r="17" spans="1:5">
      <c r="B17" s="48"/>
      <c r="C17" s="48"/>
      <c r="D17" s="48"/>
    </row>
    <row r="18" spans="1:5" s="59" customFormat="1" ht="17.25" customHeight="1">
      <c r="A18" s="263">
        <v>10</v>
      </c>
      <c r="B18" s="56" t="s">
        <v>42</v>
      </c>
      <c r="C18" s="57" t="s">
        <v>44</v>
      </c>
      <c r="D18" s="58"/>
    </row>
    <row r="19" spans="1:5">
      <c r="B19" s="60"/>
      <c r="C19" s="124"/>
      <c r="D19" s="48"/>
    </row>
    <row r="20" spans="1:5">
      <c r="B20" s="61" t="s">
        <v>31</v>
      </c>
      <c r="C20" s="53" t="s">
        <v>43</v>
      </c>
      <c r="D20" s="62"/>
    </row>
    <row r="21" spans="1:5">
      <c r="B21" s="128" t="s">
        <v>113</v>
      </c>
      <c r="C21" s="129" t="s">
        <v>114</v>
      </c>
      <c r="D21" s="62"/>
    </row>
    <row r="22" spans="1:5">
      <c r="D22" s="62"/>
    </row>
    <row r="23" spans="1:5">
      <c r="B23" s="49"/>
      <c r="C23" s="63"/>
    </row>
    <row r="24" spans="1:5">
      <c r="B24" s="161" t="s">
        <v>4</v>
      </c>
      <c r="C24" s="67" t="s">
        <v>195</v>
      </c>
    </row>
    <row r="25" spans="1:5" hidden="1"/>
    <row r="26" spans="1:5" hidden="1"/>
    <row r="27" spans="1:5" hidden="1"/>
    <row r="28" spans="1:5" hidden="1"/>
    <row r="29" spans="1:5" hidden="1">
      <c r="B29" s="35"/>
      <c r="C29" s="35"/>
      <c r="D29" s="35"/>
      <c r="E29" s="35"/>
    </row>
    <row r="30" spans="1:5" hidden="1">
      <c r="B30" s="35"/>
      <c r="C30" s="35"/>
      <c r="D30" s="35"/>
      <c r="E30" s="35"/>
    </row>
    <row r="31" spans="1:5" hidden="1">
      <c r="B31" s="35"/>
      <c r="C31" s="35"/>
      <c r="D31" s="35"/>
      <c r="E31" s="35"/>
    </row>
    <row r="32" spans="1:5" hidden="1">
      <c r="B32" s="35"/>
      <c r="C32" s="35"/>
      <c r="D32" s="35"/>
      <c r="E32" s="35"/>
    </row>
    <row r="33" spans="2:6" hidden="1">
      <c r="B33" s="35"/>
      <c r="C33" s="35"/>
      <c r="D33" s="35"/>
      <c r="E33" s="35"/>
    </row>
    <row r="34" spans="2:6" hidden="1">
      <c r="B34" s="35"/>
      <c r="C34" s="35"/>
      <c r="D34" s="35"/>
      <c r="E34" s="35"/>
    </row>
    <row r="35" spans="2:6" hidden="1">
      <c r="B35" s="35"/>
      <c r="C35" s="35"/>
      <c r="D35" s="35"/>
      <c r="E35" s="35"/>
      <c r="F35" s="35"/>
    </row>
    <row r="36" spans="2:6" hidden="1">
      <c r="B36" s="35"/>
      <c r="C36" s="35"/>
      <c r="D36" s="35"/>
      <c r="E36" s="35"/>
      <c r="F36" s="35"/>
    </row>
    <row r="37" spans="2:6" hidden="1">
      <c r="B37" s="35"/>
      <c r="C37" s="35"/>
      <c r="D37" s="35"/>
      <c r="E37" s="35"/>
      <c r="F37" s="35"/>
    </row>
    <row r="38" spans="2:6" hidden="1">
      <c r="B38" s="35"/>
      <c r="C38" s="35"/>
      <c r="D38" s="35"/>
      <c r="E38" s="35"/>
      <c r="F38" s="35"/>
    </row>
    <row r="39" spans="2:6" hidden="1">
      <c r="B39" s="35"/>
      <c r="C39" s="35"/>
      <c r="D39" s="35"/>
      <c r="E39" s="35"/>
      <c r="F39" s="35"/>
    </row>
    <row r="40" spans="2:6" hidden="1">
      <c r="B40" s="35"/>
      <c r="C40" s="35"/>
      <c r="D40" s="35"/>
      <c r="E40" s="35"/>
      <c r="F40" s="35"/>
    </row>
    <row r="41" spans="2:6" hidden="1">
      <c r="B41" s="35"/>
      <c r="C41" s="35"/>
      <c r="D41" s="35"/>
      <c r="E41" s="35"/>
      <c r="F41" s="35"/>
    </row>
    <row r="42" spans="2:6" hidden="1">
      <c r="B42" s="35"/>
      <c r="C42" s="35"/>
      <c r="D42" s="35"/>
      <c r="E42" s="35"/>
      <c r="F42" s="35"/>
    </row>
    <row r="43" spans="2:6" hidden="1">
      <c r="B43" s="35"/>
      <c r="C43" s="35"/>
      <c r="D43" s="35"/>
      <c r="E43" s="35"/>
      <c r="F43" s="35"/>
    </row>
    <row r="44" spans="2:6" hidden="1">
      <c r="B44" s="35"/>
      <c r="C44" s="35"/>
      <c r="D44" s="35"/>
      <c r="E44" s="35"/>
      <c r="F44" s="35"/>
    </row>
    <row r="45" spans="2:6" hidden="1">
      <c r="B45" s="35"/>
      <c r="C45" s="35"/>
      <c r="D45" s="35"/>
      <c r="E45" s="35"/>
      <c r="F45" s="35"/>
    </row>
    <row r="46" spans="2:6" hidden="1">
      <c r="B46" s="35"/>
      <c r="C46" s="35"/>
      <c r="D46" s="35"/>
      <c r="E46" s="35"/>
      <c r="F46" s="35"/>
    </row>
    <row r="47" spans="2:6" hidden="1">
      <c r="B47" s="35"/>
      <c r="C47" s="35"/>
      <c r="D47" s="35"/>
      <c r="E47" s="35"/>
      <c r="F47" s="35"/>
    </row>
    <row r="48" spans="2:6" hidden="1">
      <c r="B48" s="35"/>
      <c r="C48" s="35"/>
      <c r="D48" s="35"/>
      <c r="E48" s="35"/>
    </row>
    <row r="49" spans="2:5" hidden="1">
      <c r="B49" s="35"/>
      <c r="C49" s="35"/>
      <c r="D49" s="35"/>
      <c r="E49" s="35"/>
    </row>
    <row r="50" spans="2:5" hidden="1">
      <c r="B50" s="35"/>
      <c r="C50" s="35"/>
      <c r="D50" s="35"/>
      <c r="E50" s="35"/>
    </row>
    <row r="51" spans="2:5" hidden="1">
      <c r="B51" s="35"/>
      <c r="C51" s="35"/>
      <c r="D51" s="35"/>
      <c r="E51" s="35"/>
    </row>
    <row r="52" spans="2:5" hidden="1">
      <c r="B52" s="35"/>
      <c r="C52" s="35"/>
      <c r="D52" s="35"/>
      <c r="E52" s="35"/>
    </row>
    <row r="53" spans="2:5" hidden="1">
      <c r="B53" s="35"/>
      <c r="C53" s="35"/>
      <c r="D53" s="35"/>
      <c r="E53" s="35"/>
    </row>
    <row r="54" spans="2:5" hidden="1">
      <c r="B54" s="35"/>
      <c r="C54" s="35"/>
      <c r="D54" s="35"/>
      <c r="E54" s="35"/>
    </row>
    <row r="55" spans="2:5" hidden="1">
      <c r="B55" s="35"/>
      <c r="C55" s="35"/>
      <c r="D55" s="35"/>
      <c r="E55" s="35"/>
    </row>
    <row r="56" spans="2:5" hidden="1"/>
  </sheetData>
  <sheetProtection password="EF32" sheet="1" objects="1" scenarios="1"/>
  <mergeCells count="6">
    <mergeCell ref="B1:D1"/>
    <mergeCell ref="B3:C3"/>
    <mergeCell ref="D14:F14"/>
    <mergeCell ref="D15:F15"/>
    <mergeCell ref="D16:F16"/>
    <mergeCell ref="B2:D2"/>
  </mergeCells>
  <phoneticPr fontId="0" type="noConversion"/>
  <conditionalFormatting sqref="C10">
    <cfRule type="expression" dxfId="46" priority="1" stopIfTrue="1">
      <formula>AND(OR($C$9="original budget",$C$9="Annual financial report"),ISBLANK($C$10)=FALSE)</formula>
    </cfRule>
    <cfRule type="expression" dxfId="45" priority="2" stopIfTrue="1">
      <formula>OR($C$9="original budget",$C$9="Annual financial report")</formula>
    </cfRule>
  </conditionalFormatting>
  <dataValidations count="2">
    <dataValidation type="list" allowBlank="1" showInputMessage="1" showErrorMessage="1" error="The value you entered is not valid._x000a__x000a_Please choose one of the four choices in the drop-down list." sqref="C9">
      <formula1>report</formula1>
    </dataValidation>
    <dataValidation type="list" allowBlank="1" showInputMessage="1" showErrorMessage="1" sqref="C8">
      <formula1>Active_Inactive</formula1>
    </dataValidation>
  </dataValidations>
  <hyperlinks>
    <hyperlink ref="C18" r:id="rId1"/>
    <hyperlink ref="G15" location="Instructions!A39" display="Instructions!A39"/>
    <hyperlink ref="G14" location="Instructions!A38" display="Instructions!A38"/>
  </hyperlinks>
  <printOptions horizontalCentered="1"/>
  <pageMargins left="0.25" right="0.25" top="0.5" bottom="0.51" header="0.25" footer="0.28000000000000003"/>
  <pageSetup scale="93" orientation="landscape" r:id="rId2"/>
  <headerFooter alignWithMargins="0">
    <oddFooter>&amp;L&amp;8Page &amp;P of &amp;N&amp;C&amp;8&amp;D &amp;T&amp;R&amp;8&amp;A sheet</oddFooter>
  </headerFooter>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L500"/>
  <sheetViews>
    <sheetView topLeftCell="C1" zoomScaleNormal="100" workbookViewId="0">
      <pane ySplit="7" topLeftCell="A428" activePane="bottomLeft" state="frozen"/>
      <selection pane="bottomLeft" activeCell="G8" sqref="G8:H1048576"/>
    </sheetView>
  </sheetViews>
  <sheetFormatPr defaultColWidth="0" defaultRowHeight="12.75" zeroHeight="1"/>
  <cols>
    <col min="1" max="1" width="30.5703125" customWidth="1"/>
    <col min="2" max="2" width="23" customWidth="1"/>
    <col min="3" max="3" width="14.140625" customWidth="1"/>
    <col min="4" max="4" width="23.85546875" customWidth="1"/>
    <col min="5" max="5" width="12.28515625" customWidth="1"/>
    <col min="6" max="6" width="19.7109375" customWidth="1"/>
    <col min="7" max="7" width="21.140625" style="112" customWidth="1"/>
    <col min="8" max="8" width="14.140625" style="112" customWidth="1"/>
    <col min="9" max="12" width="0" hidden="1" customWidth="1"/>
    <col min="13" max="16384" width="33.85546875" hidden="1"/>
  </cols>
  <sheetData>
    <row r="1" spans="1:12" ht="18">
      <c r="A1" s="321" t="s">
        <v>188</v>
      </c>
      <c r="B1" s="321"/>
      <c r="C1" s="321"/>
      <c r="D1" s="321"/>
      <c r="E1" s="321"/>
      <c r="F1" s="321"/>
      <c r="G1" s="321"/>
      <c r="H1" s="321"/>
      <c r="I1" s="135"/>
      <c r="J1" s="135"/>
      <c r="K1" s="14"/>
      <c r="L1" s="14"/>
    </row>
    <row r="2" spans="1:12" ht="15.75">
      <c r="A2" s="322" t="str">
        <f>'1-Cover Page'!C5</f>
        <v>Adult Education and Literacy Budget Form</v>
      </c>
      <c r="B2" s="322"/>
      <c r="C2" s="322"/>
      <c r="D2" s="322"/>
      <c r="E2" s="322"/>
      <c r="F2" s="322"/>
      <c r="G2" s="322"/>
      <c r="H2" s="322"/>
      <c r="I2" s="135"/>
      <c r="J2" s="135"/>
      <c r="K2" s="14"/>
      <c r="L2" s="14"/>
    </row>
    <row r="3" spans="1:12">
      <c r="A3" s="210"/>
      <c r="B3" s="287">
        <f>'1-Cover Page'!$C$6</f>
        <v>0</v>
      </c>
      <c r="C3" s="211"/>
      <c r="D3" s="212"/>
      <c r="E3" s="213"/>
      <c r="F3" s="213"/>
      <c r="G3" s="213"/>
      <c r="H3" s="210"/>
      <c r="I3" s="135"/>
      <c r="J3" s="135"/>
      <c r="K3" s="14"/>
      <c r="L3" s="14"/>
    </row>
    <row r="4" spans="1:12">
      <c r="A4" s="214"/>
      <c r="B4" s="175" t="str">
        <f>'1-Cover Page'!$C$24</f>
        <v>14-15v9</v>
      </c>
      <c r="C4" s="215"/>
      <c r="D4" s="216"/>
      <c r="E4" s="214"/>
      <c r="F4" s="210"/>
      <c r="G4" s="210"/>
      <c r="H4" s="210"/>
      <c r="I4" s="135"/>
      <c r="J4" s="135"/>
      <c r="K4" s="14"/>
      <c r="L4" s="14"/>
    </row>
    <row r="5" spans="1:12">
      <c r="A5" s="240">
        <v>1</v>
      </c>
      <c r="B5" s="217">
        <v>2</v>
      </c>
      <c r="C5" s="218">
        <v>3</v>
      </c>
      <c r="D5" s="219">
        <v>4</v>
      </c>
      <c r="E5" s="220">
        <v>5</v>
      </c>
      <c r="F5" s="220">
        <v>6</v>
      </c>
      <c r="G5" s="220">
        <v>7</v>
      </c>
      <c r="H5" s="220">
        <v>8</v>
      </c>
      <c r="I5" s="136"/>
      <c r="J5" s="136"/>
      <c r="K5" s="14"/>
      <c r="L5" s="14"/>
    </row>
    <row r="6" spans="1:12" ht="50.1" customHeight="1">
      <c r="A6" s="221" t="s">
        <v>97</v>
      </c>
      <c r="B6" s="217" t="s">
        <v>28</v>
      </c>
      <c r="C6" s="222" t="s">
        <v>115</v>
      </c>
      <c r="D6" s="221" t="s">
        <v>30</v>
      </c>
      <c r="E6" s="223" t="s">
        <v>125</v>
      </c>
      <c r="F6" s="221" t="s">
        <v>29</v>
      </c>
      <c r="G6" s="221" t="s">
        <v>190</v>
      </c>
      <c r="H6" s="221" t="s">
        <v>138</v>
      </c>
      <c r="I6" s="137"/>
      <c r="J6" s="137"/>
      <c r="K6" s="14"/>
      <c r="L6" s="133" t="s">
        <v>97</v>
      </c>
    </row>
    <row r="7" spans="1:12">
      <c r="A7" s="222"/>
      <c r="B7" s="222"/>
      <c r="C7" s="222"/>
      <c r="D7" s="222"/>
      <c r="E7" s="223">
        <f>SUM(E8:E500)</f>
        <v>0</v>
      </c>
      <c r="F7" s="222"/>
      <c r="G7" s="222"/>
      <c r="H7" s="222"/>
      <c r="I7" s="137"/>
      <c r="J7" s="137"/>
      <c r="K7" s="14"/>
      <c r="L7" s="14"/>
    </row>
    <row r="8" spans="1:12">
      <c r="A8" s="166"/>
      <c r="B8" s="140"/>
      <c r="C8" s="140"/>
      <c r="D8" s="183"/>
      <c r="E8" s="184"/>
      <c r="F8" s="236"/>
      <c r="G8" s="288"/>
      <c r="H8" s="186"/>
      <c r="I8" s="134" t="str">
        <f>RIGHT($B8,3)</f>
        <v/>
      </c>
      <c r="J8" s="14" t="str">
        <f>LEFT($C8,2)</f>
        <v/>
      </c>
      <c r="K8" s="14" t="str">
        <f>RIGHT($D8,6)</f>
        <v/>
      </c>
      <c r="L8" s="14">
        <f t="shared" ref="L8:L71" si="0">E8*A8</f>
        <v>0</v>
      </c>
    </row>
    <row r="9" spans="1:12">
      <c r="A9" s="166"/>
      <c r="B9" s="140"/>
      <c r="C9" s="140"/>
      <c r="D9" s="183"/>
      <c r="E9" s="184"/>
      <c r="F9" s="236"/>
      <c r="G9" s="288"/>
      <c r="H9" s="186"/>
      <c r="I9" s="134" t="str">
        <f t="shared" ref="I9:I72" si="1">RIGHT($B9,3)</f>
        <v/>
      </c>
      <c r="J9" s="14" t="str">
        <f t="shared" ref="J9:J72" si="2">LEFT($C9,2)</f>
        <v/>
      </c>
      <c r="K9" s="14" t="str">
        <f t="shared" ref="K9:K72" si="3">RIGHT($D9,6)</f>
        <v/>
      </c>
      <c r="L9" s="14">
        <f t="shared" si="0"/>
        <v>0</v>
      </c>
    </row>
    <row r="10" spans="1:12">
      <c r="A10" s="166"/>
      <c r="B10" s="140"/>
      <c r="C10" s="140"/>
      <c r="D10" s="183"/>
      <c r="E10" s="184"/>
      <c r="F10" s="236"/>
      <c r="G10" s="288"/>
      <c r="H10" s="186"/>
      <c r="I10" s="134" t="str">
        <f t="shared" si="1"/>
        <v/>
      </c>
      <c r="J10" s="14" t="str">
        <f t="shared" si="2"/>
        <v/>
      </c>
      <c r="K10" s="14" t="str">
        <f t="shared" si="3"/>
        <v/>
      </c>
      <c r="L10" s="14">
        <f t="shared" si="0"/>
        <v>0</v>
      </c>
    </row>
    <row r="11" spans="1:12">
      <c r="A11" s="166"/>
      <c r="B11" s="140"/>
      <c r="C11" s="140"/>
      <c r="D11" s="183"/>
      <c r="E11" s="184"/>
      <c r="F11" s="236"/>
      <c r="G11" s="288"/>
      <c r="H11" s="186"/>
      <c r="I11" s="134" t="str">
        <f t="shared" si="1"/>
        <v/>
      </c>
      <c r="J11" s="14" t="str">
        <f t="shared" si="2"/>
        <v/>
      </c>
      <c r="K11" s="14" t="str">
        <f t="shared" si="3"/>
        <v/>
      </c>
      <c r="L11" s="14">
        <f t="shared" si="0"/>
        <v>0</v>
      </c>
    </row>
    <row r="12" spans="1:12">
      <c r="A12" s="166"/>
      <c r="B12" s="140"/>
      <c r="C12" s="140"/>
      <c r="D12" s="183"/>
      <c r="E12" s="184"/>
      <c r="F12" s="236"/>
      <c r="G12" s="288"/>
      <c r="H12" s="186"/>
      <c r="I12" s="134" t="str">
        <f t="shared" si="1"/>
        <v/>
      </c>
      <c r="J12" s="14" t="str">
        <f t="shared" si="2"/>
        <v/>
      </c>
      <c r="K12" s="14" t="str">
        <f t="shared" si="3"/>
        <v/>
      </c>
      <c r="L12" s="14">
        <f t="shared" si="0"/>
        <v>0</v>
      </c>
    </row>
    <row r="13" spans="1:12">
      <c r="A13" s="166"/>
      <c r="B13" s="140"/>
      <c r="C13" s="140"/>
      <c r="D13" s="183"/>
      <c r="E13" s="184"/>
      <c r="F13" s="236"/>
      <c r="G13" s="288"/>
      <c r="H13" s="186"/>
      <c r="I13" s="134" t="str">
        <f t="shared" si="1"/>
        <v/>
      </c>
      <c r="J13" s="14" t="str">
        <f t="shared" si="2"/>
        <v/>
      </c>
      <c r="K13" s="14" t="str">
        <f t="shared" si="3"/>
        <v/>
      </c>
      <c r="L13" s="14">
        <f t="shared" si="0"/>
        <v>0</v>
      </c>
    </row>
    <row r="14" spans="1:12">
      <c r="A14" s="166"/>
      <c r="B14" s="140"/>
      <c r="C14" s="140"/>
      <c r="D14" s="183"/>
      <c r="E14" s="184"/>
      <c r="F14" s="236"/>
      <c r="G14" s="288"/>
      <c r="H14" s="186"/>
      <c r="I14" s="134" t="str">
        <f t="shared" si="1"/>
        <v/>
      </c>
      <c r="J14" s="14" t="str">
        <f t="shared" si="2"/>
        <v/>
      </c>
      <c r="K14" s="14" t="str">
        <f t="shared" si="3"/>
        <v/>
      </c>
      <c r="L14" s="14">
        <f t="shared" si="0"/>
        <v>0</v>
      </c>
    </row>
    <row r="15" spans="1:12">
      <c r="A15" s="166"/>
      <c r="B15" s="140"/>
      <c r="C15" s="140"/>
      <c r="D15" s="183"/>
      <c r="E15" s="184"/>
      <c r="F15" s="236"/>
      <c r="G15" s="288"/>
      <c r="H15" s="186"/>
      <c r="I15" s="134" t="str">
        <f t="shared" si="1"/>
        <v/>
      </c>
      <c r="J15" s="14" t="str">
        <f t="shared" si="2"/>
        <v/>
      </c>
      <c r="K15" s="14" t="str">
        <f t="shared" si="3"/>
        <v/>
      </c>
      <c r="L15" s="14">
        <f t="shared" si="0"/>
        <v>0</v>
      </c>
    </row>
    <row r="16" spans="1:12">
      <c r="A16" s="166"/>
      <c r="B16" s="140"/>
      <c r="C16" s="140"/>
      <c r="D16" s="183"/>
      <c r="E16" s="184"/>
      <c r="F16" s="236"/>
      <c r="G16" s="288"/>
      <c r="H16" s="186"/>
      <c r="I16" s="134" t="str">
        <f t="shared" si="1"/>
        <v/>
      </c>
      <c r="J16" s="14" t="str">
        <f t="shared" si="2"/>
        <v/>
      </c>
      <c r="K16" s="14" t="str">
        <f t="shared" si="3"/>
        <v/>
      </c>
      <c r="L16" s="14">
        <f t="shared" si="0"/>
        <v>0</v>
      </c>
    </row>
    <row r="17" spans="1:12">
      <c r="A17" s="166"/>
      <c r="B17" s="140"/>
      <c r="C17" s="140"/>
      <c r="D17" s="183"/>
      <c r="E17" s="184"/>
      <c r="F17" s="236"/>
      <c r="G17" s="288"/>
      <c r="H17" s="186"/>
      <c r="I17" s="134" t="str">
        <f t="shared" si="1"/>
        <v/>
      </c>
      <c r="J17" s="14" t="str">
        <f t="shared" si="2"/>
        <v/>
      </c>
      <c r="K17" s="14" t="str">
        <f t="shared" si="3"/>
        <v/>
      </c>
      <c r="L17" s="14">
        <f t="shared" si="0"/>
        <v>0</v>
      </c>
    </row>
    <row r="18" spans="1:12">
      <c r="A18" s="166"/>
      <c r="B18" s="140"/>
      <c r="C18" s="140"/>
      <c r="D18" s="183"/>
      <c r="E18" s="184"/>
      <c r="F18" s="236"/>
      <c r="G18" s="288"/>
      <c r="H18" s="186"/>
      <c r="I18" s="134" t="str">
        <f t="shared" si="1"/>
        <v/>
      </c>
      <c r="J18" s="14" t="str">
        <f t="shared" si="2"/>
        <v/>
      </c>
      <c r="K18" s="14" t="str">
        <f t="shared" si="3"/>
        <v/>
      </c>
      <c r="L18" s="14">
        <f t="shared" si="0"/>
        <v>0</v>
      </c>
    </row>
    <row r="19" spans="1:12">
      <c r="A19" s="166"/>
      <c r="B19" s="140"/>
      <c r="C19" s="140"/>
      <c r="D19" s="183"/>
      <c r="E19" s="184"/>
      <c r="F19" s="236"/>
      <c r="G19" s="288"/>
      <c r="H19" s="186"/>
      <c r="I19" s="134" t="str">
        <f t="shared" si="1"/>
        <v/>
      </c>
      <c r="J19" s="14" t="str">
        <f t="shared" si="2"/>
        <v/>
      </c>
      <c r="K19" s="14" t="str">
        <f t="shared" si="3"/>
        <v/>
      </c>
      <c r="L19" s="14">
        <f t="shared" si="0"/>
        <v>0</v>
      </c>
    </row>
    <row r="20" spans="1:12">
      <c r="A20" s="166"/>
      <c r="B20" s="140"/>
      <c r="C20" s="140"/>
      <c r="D20" s="187"/>
      <c r="E20" s="184"/>
      <c r="F20" s="236"/>
      <c r="G20" s="288"/>
      <c r="H20" s="186"/>
      <c r="I20" s="134" t="str">
        <f t="shared" si="1"/>
        <v/>
      </c>
      <c r="J20" s="14" t="str">
        <f t="shared" si="2"/>
        <v/>
      </c>
      <c r="K20" s="14" t="str">
        <f t="shared" si="3"/>
        <v/>
      </c>
      <c r="L20" s="14">
        <f t="shared" si="0"/>
        <v>0</v>
      </c>
    </row>
    <row r="21" spans="1:12">
      <c r="A21" s="166"/>
      <c r="B21" s="140"/>
      <c r="C21" s="140"/>
      <c r="D21" s="187"/>
      <c r="E21" s="184"/>
      <c r="F21" s="236"/>
      <c r="G21" s="288"/>
      <c r="H21" s="186"/>
      <c r="I21" s="134" t="str">
        <f t="shared" si="1"/>
        <v/>
      </c>
      <c r="J21" s="14" t="str">
        <f t="shared" si="2"/>
        <v/>
      </c>
      <c r="K21" s="14" t="str">
        <f t="shared" si="3"/>
        <v/>
      </c>
      <c r="L21" s="14">
        <f t="shared" si="0"/>
        <v>0</v>
      </c>
    </row>
    <row r="22" spans="1:12">
      <c r="A22" s="166"/>
      <c r="B22" s="140"/>
      <c r="C22" s="140"/>
      <c r="D22" s="183"/>
      <c r="E22" s="184"/>
      <c r="F22" s="236"/>
      <c r="G22" s="288"/>
      <c r="H22" s="186"/>
      <c r="I22" s="134" t="str">
        <f t="shared" si="1"/>
        <v/>
      </c>
      <c r="J22" s="14" t="str">
        <f t="shared" si="2"/>
        <v/>
      </c>
      <c r="K22" s="14" t="str">
        <f t="shared" si="3"/>
        <v/>
      </c>
      <c r="L22" s="14">
        <f t="shared" si="0"/>
        <v>0</v>
      </c>
    </row>
    <row r="23" spans="1:12">
      <c r="A23" s="166"/>
      <c r="B23" s="140"/>
      <c r="C23" s="140"/>
      <c r="D23" s="183"/>
      <c r="E23" s="188"/>
      <c r="F23" s="236"/>
      <c r="G23" s="288"/>
      <c r="H23" s="186"/>
      <c r="I23" s="134" t="str">
        <f t="shared" si="1"/>
        <v/>
      </c>
      <c r="J23" s="14" t="str">
        <f t="shared" si="2"/>
        <v/>
      </c>
      <c r="K23" s="14" t="str">
        <f t="shared" si="3"/>
        <v/>
      </c>
      <c r="L23" s="14">
        <f t="shared" si="0"/>
        <v>0</v>
      </c>
    </row>
    <row r="24" spans="1:12">
      <c r="A24" s="166"/>
      <c r="B24" s="140"/>
      <c r="C24" s="140"/>
      <c r="D24" s="183"/>
      <c r="E24" s="188"/>
      <c r="F24" s="236"/>
      <c r="G24" s="288"/>
      <c r="H24" s="186"/>
      <c r="I24" s="134" t="str">
        <f t="shared" si="1"/>
        <v/>
      </c>
      <c r="J24" s="14" t="str">
        <f t="shared" si="2"/>
        <v/>
      </c>
      <c r="K24" s="14" t="str">
        <f t="shared" si="3"/>
        <v/>
      </c>
      <c r="L24" s="14">
        <f t="shared" si="0"/>
        <v>0</v>
      </c>
    </row>
    <row r="25" spans="1:12">
      <c r="A25" s="166"/>
      <c r="B25" s="140"/>
      <c r="C25" s="140"/>
      <c r="D25" s="183"/>
      <c r="E25" s="188"/>
      <c r="F25" s="236"/>
      <c r="G25" s="288"/>
      <c r="H25" s="186"/>
      <c r="I25" s="134" t="str">
        <f t="shared" si="1"/>
        <v/>
      </c>
      <c r="J25" s="14" t="str">
        <f t="shared" si="2"/>
        <v/>
      </c>
      <c r="K25" s="14" t="str">
        <f t="shared" si="3"/>
        <v/>
      </c>
      <c r="L25" s="14">
        <f t="shared" si="0"/>
        <v>0</v>
      </c>
    </row>
    <row r="26" spans="1:12">
      <c r="A26" s="166"/>
      <c r="B26" s="140"/>
      <c r="C26" s="140"/>
      <c r="D26" s="183"/>
      <c r="E26" s="188"/>
      <c r="F26" s="236"/>
      <c r="G26" s="288"/>
      <c r="H26" s="186"/>
      <c r="I26" s="134" t="str">
        <f t="shared" si="1"/>
        <v/>
      </c>
      <c r="J26" s="14" t="str">
        <f t="shared" si="2"/>
        <v/>
      </c>
      <c r="K26" s="14" t="str">
        <f t="shared" si="3"/>
        <v/>
      </c>
      <c r="L26" s="14">
        <f t="shared" si="0"/>
        <v>0</v>
      </c>
    </row>
    <row r="27" spans="1:12">
      <c r="A27" s="166"/>
      <c r="B27" s="140"/>
      <c r="C27" s="140"/>
      <c r="D27" s="183"/>
      <c r="E27" s="184"/>
      <c r="F27" s="236"/>
      <c r="G27" s="288"/>
      <c r="H27" s="186"/>
      <c r="I27" s="134" t="str">
        <f t="shared" si="1"/>
        <v/>
      </c>
      <c r="J27" s="14" t="str">
        <f t="shared" si="2"/>
        <v/>
      </c>
      <c r="K27" s="14" t="str">
        <f t="shared" si="3"/>
        <v/>
      </c>
      <c r="L27" s="14">
        <f t="shared" si="0"/>
        <v>0</v>
      </c>
    </row>
    <row r="28" spans="1:12">
      <c r="A28" s="166"/>
      <c r="B28" s="140"/>
      <c r="C28" s="140"/>
      <c r="D28" s="183"/>
      <c r="E28" s="184"/>
      <c r="F28" s="236"/>
      <c r="G28" s="288"/>
      <c r="H28" s="186"/>
      <c r="I28" s="134" t="str">
        <f t="shared" si="1"/>
        <v/>
      </c>
      <c r="J28" s="14" t="str">
        <f t="shared" si="2"/>
        <v/>
      </c>
      <c r="K28" s="14" t="str">
        <f t="shared" si="3"/>
        <v/>
      </c>
      <c r="L28" s="14">
        <f t="shared" si="0"/>
        <v>0</v>
      </c>
    </row>
    <row r="29" spans="1:12">
      <c r="A29" s="166"/>
      <c r="B29" s="140"/>
      <c r="C29" s="140"/>
      <c r="D29" s="183"/>
      <c r="E29" s="184"/>
      <c r="F29" s="236"/>
      <c r="G29" s="288"/>
      <c r="H29" s="186"/>
      <c r="I29" s="134" t="str">
        <f t="shared" si="1"/>
        <v/>
      </c>
      <c r="J29" s="14" t="str">
        <f t="shared" si="2"/>
        <v/>
      </c>
      <c r="K29" s="14" t="str">
        <f t="shared" si="3"/>
        <v/>
      </c>
      <c r="L29" s="14">
        <f t="shared" si="0"/>
        <v>0</v>
      </c>
    </row>
    <row r="30" spans="1:12">
      <c r="A30" s="166"/>
      <c r="B30" s="140"/>
      <c r="C30" s="140"/>
      <c r="D30" s="183"/>
      <c r="E30" s="184"/>
      <c r="F30" s="236"/>
      <c r="G30" s="288"/>
      <c r="H30" s="186"/>
      <c r="I30" s="134" t="str">
        <f t="shared" si="1"/>
        <v/>
      </c>
      <c r="J30" s="14" t="str">
        <f t="shared" si="2"/>
        <v/>
      </c>
      <c r="K30" s="14" t="str">
        <f t="shared" si="3"/>
        <v/>
      </c>
      <c r="L30" s="14">
        <f t="shared" si="0"/>
        <v>0</v>
      </c>
    </row>
    <row r="31" spans="1:12">
      <c r="A31" s="166"/>
      <c r="B31" s="140"/>
      <c r="C31" s="140"/>
      <c r="D31" s="183"/>
      <c r="E31" s="184"/>
      <c r="F31" s="236"/>
      <c r="G31" s="288"/>
      <c r="H31" s="186"/>
      <c r="I31" s="134" t="str">
        <f t="shared" si="1"/>
        <v/>
      </c>
      <c r="J31" s="14" t="str">
        <f t="shared" si="2"/>
        <v/>
      </c>
      <c r="K31" s="14" t="str">
        <f t="shared" si="3"/>
        <v/>
      </c>
      <c r="L31" s="14">
        <f t="shared" si="0"/>
        <v>0</v>
      </c>
    </row>
    <row r="32" spans="1:12">
      <c r="A32" s="166"/>
      <c r="B32" s="140"/>
      <c r="C32" s="140"/>
      <c r="D32" s="183"/>
      <c r="E32" s="184"/>
      <c r="F32" s="236"/>
      <c r="G32" s="288"/>
      <c r="H32" s="186"/>
      <c r="I32" s="134" t="str">
        <f t="shared" si="1"/>
        <v/>
      </c>
      <c r="J32" s="14" t="str">
        <f t="shared" si="2"/>
        <v/>
      </c>
      <c r="K32" s="14" t="str">
        <f t="shared" si="3"/>
        <v/>
      </c>
      <c r="L32" s="14">
        <f t="shared" si="0"/>
        <v>0</v>
      </c>
    </row>
    <row r="33" spans="1:12">
      <c r="A33" s="166"/>
      <c r="B33" s="140"/>
      <c r="C33" s="140"/>
      <c r="D33" s="183"/>
      <c r="E33" s="184"/>
      <c r="F33" s="236"/>
      <c r="G33" s="288"/>
      <c r="H33" s="186"/>
      <c r="I33" s="134" t="str">
        <f t="shared" si="1"/>
        <v/>
      </c>
      <c r="J33" s="14" t="str">
        <f t="shared" si="2"/>
        <v/>
      </c>
      <c r="K33" s="14" t="str">
        <f t="shared" si="3"/>
        <v/>
      </c>
      <c r="L33" s="14">
        <f t="shared" si="0"/>
        <v>0</v>
      </c>
    </row>
    <row r="34" spans="1:12">
      <c r="A34" s="166"/>
      <c r="B34" s="140"/>
      <c r="C34" s="140"/>
      <c r="D34" s="183"/>
      <c r="E34" s="184"/>
      <c r="F34" s="236"/>
      <c r="G34" s="288"/>
      <c r="H34" s="186"/>
      <c r="I34" s="134" t="str">
        <f t="shared" si="1"/>
        <v/>
      </c>
      <c r="J34" s="14" t="str">
        <f t="shared" si="2"/>
        <v/>
      </c>
      <c r="K34" s="14" t="str">
        <f t="shared" si="3"/>
        <v/>
      </c>
      <c r="L34" s="14">
        <f t="shared" si="0"/>
        <v>0</v>
      </c>
    </row>
    <row r="35" spans="1:12">
      <c r="A35" s="166"/>
      <c r="B35" s="140"/>
      <c r="C35" s="140"/>
      <c r="D35" s="183"/>
      <c r="E35" s="184"/>
      <c r="F35" s="236"/>
      <c r="G35" s="288"/>
      <c r="H35" s="186"/>
      <c r="I35" s="134" t="str">
        <f t="shared" si="1"/>
        <v/>
      </c>
      <c r="J35" s="14" t="str">
        <f t="shared" si="2"/>
        <v/>
      </c>
      <c r="K35" s="14" t="str">
        <f t="shared" si="3"/>
        <v/>
      </c>
      <c r="L35" s="14">
        <f t="shared" si="0"/>
        <v>0</v>
      </c>
    </row>
    <row r="36" spans="1:12">
      <c r="A36" s="166"/>
      <c r="B36" s="140"/>
      <c r="C36" s="140"/>
      <c r="D36" s="183"/>
      <c r="E36" s="184"/>
      <c r="F36" s="236"/>
      <c r="G36" s="288"/>
      <c r="H36" s="186"/>
      <c r="I36" s="134" t="str">
        <f t="shared" si="1"/>
        <v/>
      </c>
      <c r="J36" s="14" t="str">
        <f t="shared" si="2"/>
        <v/>
      </c>
      <c r="K36" s="14" t="str">
        <f t="shared" si="3"/>
        <v/>
      </c>
      <c r="L36" s="14">
        <f t="shared" si="0"/>
        <v>0</v>
      </c>
    </row>
    <row r="37" spans="1:12">
      <c r="A37" s="166"/>
      <c r="B37" s="140"/>
      <c r="C37" s="140"/>
      <c r="D37" s="183"/>
      <c r="E37" s="184"/>
      <c r="F37" s="236"/>
      <c r="G37" s="288"/>
      <c r="H37" s="186"/>
      <c r="I37" s="134" t="str">
        <f t="shared" si="1"/>
        <v/>
      </c>
      <c r="J37" s="14" t="str">
        <f t="shared" si="2"/>
        <v/>
      </c>
      <c r="K37" s="14" t="str">
        <f t="shared" si="3"/>
        <v/>
      </c>
      <c r="L37" s="14">
        <f t="shared" si="0"/>
        <v>0</v>
      </c>
    </row>
    <row r="38" spans="1:12">
      <c r="A38" s="166"/>
      <c r="B38" s="140"/>
      <c r="C38" s="140"/>
      <c r="D38" s="183"/>
      <c r="E38" s="184"/>
      <c r="F38" s="236"/>
      <c r="G38" s="288"/>
      <c r="H38" s="186"/>
      <c r="I38" s="134" t="str">
        <f t="shared" si="1"/>
        <v/>
      </c>
      <c r="J38" s="14" t="str">
        <f t="shared" si="2"/>
        <v/>
      </c>
      <c r="K38" s="14" t="str">
        <f t="shared" si="3"/>
        <v/>
      </c>
      <c r="L38" s="14">
        <f t="shared" si="0"/>
        <v>0</v>
      </c>
    </row>
    <row r="39" spans="1:12">
      <c r="A39" s="166"/>
      <c r="B39" s="140"/>
      <c r="C39" s="140"/>
      <c r="D39" s="183"/>
      <c r="E39" s="184"/>
      <c r="F39" s="236"/>
      <c r="G39" s="288"/>
      <c r="H39" s="186"/>
      <c r="I39" s="134" t="str">
        <f t="shared" si="1"/>
        <v/>
      </c>
      <c r="J39" s="14" t="str">
        <f t="shared" si="2"/>
        <v/>
      </c>
      <c r="K39" s="14" t="str">
        <f t="shared" si="3"/>
        <v/>
      </c>
      <c r="L39" s="14">
        <f t="shared" si="0"/>
        <v>0</v>
      </c>
    </row>
    <row r="40" spans="1:12">
      <c r="A40" s="166"/>
      <c r="B40" s="140"/>
      <c r="C40" s="140"/>
      <c r="D40" s="183"/>
      <c r="E40" s="184"/>
      <c r="F40" s="236"/>
      <c r="G40" s="288"/>
      <c r="H40" s="186"/>
      <c r="I40" s="134" t="str">
        <f t="shared" si="1"/>
        <v/>
      </c>
      <c r="J40" s="14" t="str">
        <f t="shared" si="2"/>
        <v/>
      </c>
      <c r="K40" s="14" t="str">
        <f t="shared" si="3"/>
        <v/>
      </c>
      <c r="L40" s="14">
        <f t="shared" si="0"/>
        <v>0</v>
      </c>
    </row>
    <row r="41" spans="1:12">
      <c r="A41" s="166"/>
      <c r="B41" s="140"/>
      <c r="C41" s="140"/>
      <c r="D41" s="183"/>
      <c r="E41" s="184"/>
      <c r="F41" s="236"/>
      <c r="G41" s="288"/>
      <c r="H41" s="186"/>
      <c r="I41" s="134" t="str">
        <f t="shared" si="1"/>
        <v/>
      </c>
      <c r="J41" s="14" t="str">
        <f t="shared" si="2"/>
        <v/>
      </c>
      <c r="K41" s="14" t="str">
        <f t="shared" si="3"/>
        <v/>
      </c>
      <c r="L41" s="14">
        <f t="shared" si="0"/>
        <v>0</v>
      </c>
    </row>
    <row r="42" spans="1:12">
      <c r="A42" s="166"/>
      <c r="B42" s="140"/>
      <c r="C42" s="140"/>
      <c r="D42" s="183"/>
      <c r="E42" s="184"/>
      <c r="F42" s="236"/>
      <c r="G42" s="288"/>
      <c r="H42" s="186"/>
      <c r="I42" s="134" t="str">
        <f t="shared" si="1"/>
        <v/>
      </c>
      <c r="J42" s="14" t="str">
        <f t="shared" si="2"/>
        <v/>
      </c>
      <c r="K42" s="14" t="str">
        <f t="shared" si="3"/>
        <v/>
      </c>
      <c r="L42" s="14">
        <f t="shared" si="0"/>
        <v>0</v>
      </c>
    </row>
    <row r="43" spans="1:12">
      <c r="A43" s="166"/>
      <c r="B43" s="140"/>
      <c r="C43" s="140"/>
      <c r="D43" s="183"/>
      <c r="E43" s="184"/>
      <c r="F43" s="236"/>
      <c r="G43" s="288"/>
      <c r="H43" s="186"/>
      <c r="I43" s="134" t="str">
        <f t="shared" si="1"/>
        <v/>
      </c>
      <c r="J43" s="14" t="str">
        <f t="shared" si="2"/>
        <v/>
      </c>
      <c r="K43" s="14" t="str">
        <f t="shared" si="3"/>
        <v/>
      </c>
      <c r="L43" s="14">
        <f t="shared" si="0"/>
        <v>0</v>
      </c>
    </row>
    <row r="44" spans="1:12">
      <c r="A44" s="166"/>
      <c r="B44" s="140"/>
      <c r="C44" s="140"/>
      <c r="D44" s="183"/>
      <c r="E44" s="184"/>
      <c r="F44" s="236"/>
      <c r="G44" s="288"/>
      <c r="H44" s="186"/>
      <c r="I44" s="134" t="str">
        <f t="shared" si="1"/>
        <v/>
      </c>
      <c r="J44" s="14" t="str">
        <f t="shared" si="2"/>
        <v/>
      </c>
      <c r="K44" s="14" t="str">
        <f t="shared" si="3"/>
        <v/>
      </c>
      <c r="L44" s="14">
        <f t="shared" si="0"/>
        <v>0</v>
      </c>
    </row>
    <row r="45" spans="1:12">
      <c r="A45" s="166"/>
      <c r="B45" s="140"/>
      <c r="C45" s="140"/>
      <c r="D45" s="183"/>
      <c r="E45" s="184"/>
      <c r="F45" s="236"/>
      <c r="G45" s="288"/>
      <c r="H45" s="186"/>
      <c r="I45" s="134" t="str">
        <f t="shared" si="1"/>
        <v/>
      </c>
      <c r="J45" s="14" t="str">
        <f t="shared" si="2"/>
        <v/>
      </c>
      <c r="K45" s="14" t="str">
        <f t="shared" si="3"/>
        <v/>
      </c>
      <c r="L45" s="14">
        <f t="shared" si="0"/>
        <v>0</v>
      </c>
    </row>
    <row r="46" spans="1:12">
      <c r="A46" s="166"/>
      <c r="B46" s="140"/>
      <c r="C46" s="140"/>
      <c r="D46" s="183"/>
      <c r="E46" s="184"/>
      <c r="F46" s="236"/>
      <c r="G46" s="288"/>
      <c r="H46" s="186"/>
      <c r="I46" s="134" t="str">
        <f t="shared" si="1"/>
        <v/>
      </c>
      <c r="J46" s="14" t="str">
        <f t="shared" si="2"/>
        <v/>
      </c>
      <c r="K46" s="14" t="str">
        <f t="shared" si="3"/>
        <v/>
      </c>
      <c r="L46" s="14">
        <f t="shared" si="0"/>
        <v>0</v>
      </c>
    </row>
    <row r="47" spans="1:12">
      <c r="A47" s="166"/>
      <c r="B47" s="140"/>
      <c r="C47" s="140"/>
      <c r="D47" s="183"/>
      <c r="E47" s="184"/>
      <c r="F47" s="236"/>
      <c r="G47" s="288"/>
      <c r="H47" s="186"/>
      <c r="I47" s="134" t="str">
        <f t="shared" si="1"/>
        <v/>
      </c>
      <c r="J47" s="14" t="str">
        <f t="shared" si="2"/>
        <v/>
      </c>
      <c r="K47" s="14" t="str">
        <f t="shared" si="3"/>
        <v/>
      </c>
      <c r="L47" s="14">
        <f t="shared" si="0"/>
        <v>0</v>
      </c>
    </row>
    <row r="48" spans="1:12">
      <c r="A48" s="166"/>
      <c r="B48" s="140"/>
      <c r="C48" s="140"/>
      <c r="D48" s="183"/>
      <c r="E48" s="184"/>
      <c r="F48" s="236"/>
      <c r="G48" s="288"/>
      <c r="H48" s="186"/>
      <c r="I48" s="134" t="str">
        <f t="shared" si="1"/>
        <v/>
      </c>
      <c r="J48" s="14" t="str">
        <f t="shared" si="2"/>
        <v/>
      </c>
      <c r="K48" s="14" t="str">
        <f t="shared" si="3"/>
        <v/>
      </c>
      <c r="L48" s="14">
        <f t="shared" si="0"/>
        <v>0</v>
      </c>
    </row>
    <row r="49" spans="1:12">
      <c r="A49" s="166"/>
      <c r="B49" s="140"/>
      <c r="C49" s="140"/>
      <c r="D49" s="183"/>
      <c r="E49" s="184"/>
      <c r="F49" s="236"/>
      <c r="G49" s="288"/>
      <c r="H49" s="186"/>
      <c r="I49" s="134" t="str">
        <f t="shared" si="1"/>
        <v/>
      </c>
      <c r="J49" s="14" t="str">
        <f t="shared" si="2"/>
        <v/>
      </c>
      <c r="K49" s="14" t="str">
        <f t="shared" si="3"/>
        <v/>
      </c>
      <c r="L49" s="14">
        <f t="shared" si="0"/>
        <v>0</v>
      </c>
    </row>
    <row r="50" spans="1:12">
      <c r="A50" s="166"/>
      <c r="B50" s="140"/>
      <c r="C50" s="140"/>
      <c r="D50" s="183"/>
      <c r="E50" s="184"/>
      <c r="F50" s="236"/>
      <c r="G50" s="288"/>
      <c r="H50" s="186"/>
      <c r="I50" s="134" t="str">
        <f t="shared" si="1"/>
        <v/>
      </c>
      <c r="J50" s="14" t="str">
        <f t="shared" si="2"/>
        <v/>
      </c>
      <c r="K50" s="14" t="str">
        <f t="shared" si="3"/>
        <v/>
      </c>
      <c r="L50" s="14">
        <f t="shared" si="0"/>
        <v>0</v>
      </c>
    </row>
    <row r="51" spans="1:12">
      <c r="A51" s="166"/>
      <c r="B51" s="140"/>
      <c r="C51" s="140"/>
      <c r="D51" s="183"/>
      <c r="E51" s="184"/>
      <c r="F51" s="236"/>
      <c r="G51" s="288"/>
      <c r="H51" s="186"/>
      <c r="I51" s="134" t="str">
        <f t="shared" si="1"/>
        <v/>
      </c>
      <c r="J51" s="14" t="str">
        <f t="shared" si="2"/>
        <v/>
      </c>
      <c r="K51" s="14" t="str">
        <f t="shared" si="3"/>
        <v/>
      </c>
      <c r="L51" s="14">
        <f t="shared" si="0"/>
        <v>0</v>
      </c>
    </row>
    <row r="52" spans="1:12">
      <c r="A52" s="166"/>
      <c r="B52" s="140"/>
      <c r="C52" s="140"/>
      <c r="D52" s="183"/>
      <c r="E52" s="184"/>
      <c r="F52" s="236"/>
      <c r="G52" s="288"/>
      <c r="H52" s="186"/>
      <c r="I52" s="134" t="str">
        <f t="shared" si="1"/>
        <v/>
      </c>
      <c r="J52" s="14" t="str">
        <f t="shared" si="2"/>
        <v/>
      </c>
      <c r="K52" s="14" t="str">
        <f t="shared" si="3"/>
        <v/>
      </c>
      <c r="L52" s="14">
        <f t="shared" si="0"/>
        <v>0</v>
      </c>
    </row>
    <row r="53" spans="1:12">
      <c r="A53" s="166"/>
      <c r="B53" s="140"/>
      <c r="C53" s="140"/>
      <c r="D53" s="183"/>
      <c r="E53" s="184"/>
      <c r="F53" s="236"/>
      <c r="G53" s="288"/>
      <c r="H53" s="186"/>
      <c r="I53" s="134" t="str">
        <f t="shared" si="1"/>
        <v/>
      </c>
      <c r="J53" s="14" t="str">
        <f t="shared" si="2"/>
        <v/>
      </c>
      <c r="K53" s="14" t="str">
        <f t="shared" si="3"/>
        <v/>
      </c>
      <c r="L53" s="14">
        <f t="shared" si="0"/>
        <v>0</v>
      </c>
    </row>
    <row r="54" spans="1:12">
      <c r="A54" s="166"/>
      <c r="B54" s="140"/>
      <c r="C54" s="140"/>
      <c r="D54" s="183"/>
      <c r="E54" s="184"/>
      <c r="F54" s="236"/>
      <c r="G54" s="288"/>
      <c r="H54" s="186"/>
      <c r="I54" s="134" t="str">
        <f t="shared" si="1"/>
        <v/>
      </c>
      <c r="J54" s="14" t="str">
        <f t="shared" si="2"/>
        <v/>
      </c>
      <c r="K54" s="14" t="str">
        <f t="shared" si="3"/>
        <v/>
      </c>
      <c r="L54" s="14">
        <f t="shared" si="0"/>
        <v>0</v>
      </c>
    </row>
    <row r="55" spans="1:12">
      <c r="A55" s="166"/>
      <c r="B55" s="140"/>
      <c r="C55" s="140"/>
      <c r="D55" s="183"/>
      <c r="E55" s="184"/>
      <c r="F55" s="236"/>
      <c r="G55" s="288"/>
      <c r="H55" s="186"/>
      <c r="I55" s="134" t="str">
        <f t="shared" si="1"/>
        <v/>
      </c>
      <c r="J55" s="14" t="str">
        <f t="shared" si="2"/>
        <v/>
      </c>
      <c r="K55" s="14" t="str">
        <f t="shared" si="3"/>
        <v/>
      </c>
      <c r="L55" s="14">
        <f t="shared" si="0"/>
        <v>0</v>
      </c>
    </row>
    <row r="56" spans="1:12">
      <c r="A56" s="166"/>
      <c r="B56" s="140"/>
      <c r="C56" s="140"/>
      <c r="D56" s="183"/>
      <c r="E56" s="184"/>
      <c r="F56" s="236"/>
      <c r="G56" s="288"/>
      <c r="H56" s="186"/>
      <c r="I56" s="134" t="str">
        <f t="shared" si="1"/>
        <v/>
      </c>
      <c r="J56" s="14" t="str">
        <f t="shared" si="2"/>
        <v/>
      </c>
      <c r="K56" s="14" t="str">
        <f t="shared" si="3"/>
        <v/>
      </c>
      <c r="L56" s="14">
        <f t="shared" si="0"/>
        <v>0</v>
      </c>
    </row>
    <row r="57" spans="1:12">
      <c r="A57" s="166"/>
      <c r="B57" s="140"/>
      <c r="C57" s="140"/>
      <c r="D57" s="183"/>
      <c r="E57" s="184"/>
      <c r="F57" s="236"/>
      <c r="G57" s="288"/>
      <c r="H57" s="186"/>
      <c r="I57" s="134" t="str">
        <f t="shared" si="1"/>
        <v/>
      </c>
      <c r="J57" s="14" t="str">
        <f t="shared" si="2"/>
        <v/>
      </c>
      <c r="K57" s="14" t="str">
        <f t="shared" si="3"/>
        <v/>
      </c>
      <c r="L57" s="14">
        <f t="shared" si="0"/>
        <v>0</v>
      </c>
    </row>
    <row r="58" spans="1:12">
      <c r="A58" s="166"/>
      <c r="B58" s="140"/>
      <c r="C58" s="140"/>
      <c r="D58" s="183"/>
      <c r="E58" s="184"/>
      <c r="F58" s="236"/>
      <c r="G58" s="288"/>
      <c r="H58" s="186"/>
      <c r="I58" s="134" t="str">
        <f t="shared" si="1"/>
        <v/>
      </c>
      <c r="J58" s="14" t="str">
        <f t="shared" si="2"/>
        <v/>
      </c>
      <c r="K58" s="14" t="str">
        <f t="shared" si="3"/>
        <v/>
      </c>
      <c r="L58" s="14">
        <f t="shared" si="0"/>
        <v>0</v>
      </c>
    </row>
    <row r="59" spans="1:12">
      <c r="A59" s="166"/>
      <c r="B59" s="140"/>
      <c r="C59" s="140"/>
      <c r="D59" s="183"/>
      <c r="E59" s="184"/>
      <c r="F59" s="236"/>
      <c r="G59" s="288"/>
      <c r="H59" s="186"/>
      <c r="I59" s="134" t="str">
        <f t="shared" si="1"/>
        <v/>
      </c>
      <c r="J59" s="14" t="str">
        <f t="shared" si="2"/>
        <v/>
      </c>
      <c r="K59" s="14" t="str">
        <f t="shared" si="3"/>
        <v/>
      </c>
      <c r="L59" s="14">
        <f t="shared" si="0"/>
        <v>0</v>
      </c>
    </row>
    <row r="60" spans="1:12">
      <c r="A60" s="166"/>
      <c r="B60" s="140"/>
      <c r="C60" s="140"/>
      <c r="D60" s="183"/>
      <c r="E60" s="184"/>
      <c r="F60" s="236"/>
      <c r="G60" s="288"/>
      <c r="H60" s="186"/>
      <c r="I60" s="134" t="str">
        <f t="shared" si="1"/>
        <v/>
      </c>
      <c r="J60" s="14" t="str">
        <f t="shared" si="2"/>
        <v/>
      </c>
      <c r="K60" s="14" t="str">
        <f t="shared" si="3"/>
        <v/>
      </c>
      <c r="L60" s="14">
        <f t="shared" si="0"/>
        <v>0</v>
      </c>
    </row>
    <row r="61" spans="1:12">
      <c r="A61" s="166"/>
      <c r="B61" s="140"/>
      <c r="C61" s="140"/>
      <c r="D61" s="183"/>
      <c r="E61" s="184"/>
      <c r="F61" s="236"/>
      <c r="G61" s="288"/>
      <c r="H61" s="186"/>
      <c r="I61" s="134" t="str">
        <f t="shared" si="1"/>
        <v/>
      </c>
      <c r="J61" s="14" t="str">
        <f t="shared" si="2"/>
        <v/>
      </c>
      <c r="K61" s="14" t="str">
        <f t="shared" si="3"/>
        <v/>
      </c>
      <c r="L61" s="14">
        <f t="shared" si="0"/>
        <v>0</v>
      </c>
    </row>
    <row r="62" spans="1:12">
      <c r="A62" s="166"/>
      <c r="B62" s="140"/>
      <c r="C62" s="140"/>
      <c r="D62" s="183"/>
      <c r="E62" s="184"/>
      <c r="F62" s="236"/>
      <c r="G62" s="288"/>
      <c r="H62" s="186"/>
      <c r="I62" s="134" t="str">
        <f t="shared" si="1"/>
        <v/>
      </c>
      <c r="J62" s="14" t="str">
        <f t="shared" si="2"/>
        <v/>
      </c>
      <c r="K62" s="14" t="str">
        <f t="shared" si="3"/>
        <v/>
      </c>
      <c r="L62" s="14">
        <f t="shared" si="0"/>
        <v>0</v>
      </c>
    </row>
    <row r="63" spans="1:12">
      <c r="A63" s="166"/>
      <c r="B63" s="140"/>
      <c r="C63" s="140"/>
      <c r="D63" s="183"/>
      <c r="E63" s="184"/>
      <c r="F63" s="236"/>
      <c r="G63" s="288"/>
      <c r="H63" s="186"/>
      <c r="I63" s="134" t="str">
        <f t="shared" si="1"/>
        <v/>
      </c>
      <c r="J63" s="14" t="str">
        <f t="shared" si="2"/>
        <v/>
      </c>
      <c r="K63" s="14" t="str">
        <f t="shared" si="3"/>
        <v/>
      </c>
      <c r="L63" s="14">
        <f t="shared" si="0"/>
        <v>0</v>
      </c>
    </row>
    <row r="64" spans="1:12">
      <c r="A64" s="166"/>
      <c r="B64" s="140"/>
      <c r="C64" s="140"/>
      <c r="D64" s="183"/>
      <c r="E64" s="184"/>
      <c r="F64" s="236"/>
      <c r="G64" s="288"/>
      <c r="H64" s="186"/>
      <c r="I64" s="134" t="str">
        <f t="shared" si="1"/>
        <v/>
      </c>
      <c r="J64" s="14" t="str">
        <f t="shared" si="2"/>
        <v/>
      </c>
      <c r="K64" s="14" t="str">
        <f t="shared" si="3"/>
        <v/>
      </c>
      <c r="L64" s="14">
        <f t="shared" si="0"/>
        <v>0</v>
      </c>
    </row>
    <row r="65" spans="1:12">
      <c r="A65" s="166"/>
      <c r="B65" s="140"/>
      <c r="C65" s="140"/>
      <c r="D65" s="183"/>
      <c r="E65" s="184"/>
      <c r="F65" s="236"/>
      <c r="G65" s="288"/>
      <c r="H65" s="186"/>
      <c r="I65" s="134" t="str">
        <f t="shared" si="1"/>
        <v/>
      </c>
      <c r="J65" s="14" t="str">
        <f t="shared" si="2"/>
        <v/>
      </c>
      <c r="K65" s="14" t="str">
        <f t="shared" si="3"/>
        <v/>
      </c>
      <c r="L65" s="14">
        <f t="shared" si="0"/>
        <v>0</v>
      </c>
    </row>
    <row r="66" spans="1:12">
      <c r="A66" s="166"/>
      <c r="B66" s="140"/>
      <c r="C66" s="140"/>
      <c r="D66" s="183"/>
      <c r="E66" s="184"/>
      <c r="F66" s="236"/>
      <c r="G66" s="288"/>
      <c r="H66" s="186"/>
      <c r="I66" s="134" t="str">
        <f t="shared" si="1"/>
        <v/>
      </c>
      <c r="J66" s="14" t="str">
        <f t="shared" si="2"/>
        <v/>
      </c>
      <c r="K66" s="14" t="str">
        <f t="shared" si="3"/>
        <v/>
      </c>
      <c r="L66" s="14">
        <f t="shared" si="0"/>
        <v>0</v>
      </c>
    </row>
    <row r="67" spans="1:12">
      <c r="A67" s="166"/>
      <c r="B67" s="140"/>
      <c r="C67" s="140"/>
      <c r="D67" s="183"/>
      <c r="E67" s="184"/>
      <c r="F67" s="236"/>
      <c r="G67" s="288"/>
      <c r="H67" s="186"/>
      <c r="I67" s="134" t="str">
        <f t="shared" si="1"/>
        <v/>
      </c>
      <c r="J67" s="14" t="str">
        <f t="shared" si="2"/>
        <v/>
      </c>
      <c r="K67" s="14" t="str">
        <f t="shared" si="3"/>
        <v/>
      </c>
      <c r="L67" s="14">
        <f t="shared" si="0"/>
        <v>0</v>
      </c>
    </row>
    <row r="68" spans="1:12">
      <c r="A68" s="166"/>
      <c r="B68" s="140"/>
      <c r="C68" s="140"/>
      <c r="D68" s="183"/>
      <c r="E68" s="184"/>
      <c r="F68" s="236"/>
      <c r="G68" s="288"/>
      <c r="H68" s="186"/>
      <c r="I68" s="134" t="str">
        <f t="shared" si="1"/>
        <v/>
      </c>
      <c r="J68" s="14" t="str">
        <f t="shared" si="2"/>
        <v/>
      </c>
      <c r="K68" s="14" t="str">
        <f t="shared" si="3"/>
        <v/>
      </c>
      <c r="L68" s="14">
        <f t="shared" si="0"/>
        <v>0</v>
      </c>
    </row>
    <row r="69" spans="1:12">
      <c r="A69" s="166"/>
      <c r="B69" s="140"/>
      <c r="C69" s="140"/>
      <c r="D69" s="183"/>
      <c r="E69" s="184"/>
      <c r="F69" s="236"/>
      <c r="G69" s="288"/>
      <c r="H69" s="186"/>
      <c r="I69" s="134" t="str">
        <f t="shared" si="1"/>
        <v/>
      </c>
      <c r="J69" s="14" t="str">
        <f t="shared" si="2"/>
        <v/>
      </c>
      <c r="K69" s="14" t="str">
        <f t="shared" si="3"/>
        <v/>
      </c>
      <c r="L69" s="14">
        <f t="shared" si="0"/>
        <v>0</v>
      </c>
    </row>
    <row r="70" spans="1:12">
      <c r="A70" s="166"/>
      <c r="B70" s="140"/>
      <c r="C70" s="140"/>
      <c r="D70" s="183"/>
      <c r="E70" s="184"/>
      <c r="F70" s="236"/>
      <c r="G70" s="288"/>
      <c r="H70" s="186"/>
      <c r="I70" s="134" t="str">
        <f t="shared" si="1"/>
        <v/>
      </c>
      <c r="J70" s="14" t="str">
        <f t="shared" si="2"/>
        <v/>
      </c>
      <c r="K70" s="14" t="str">
        <f t="shared" si="3"/>
        <v/>
      </c>
      <c r="L70" s="14">
        <f t="shared" si="0"/>
        <v>0</v>
      </c>
    </row>
    <row r="71" spans="1:12">
      <c r="A71" s="166"/>
      <c r="B71" s="140"/>
      <c r="C71" s="140"/>
      <c r="D71" s="183"/>
      <c r="E71" s="184"/>
      <c r="F71" s="236"/>
      <c r="G71" s="288"/>
      <c r="H71" s="186"/>
      <c r="I71" s="134" t="str">
        <f t="shared" si="1"/>
        <v/>
      </c>
      <c r="J71" s="14" t="str">
        <f t="shared" si="2"/>
        <v/>
      </c>
      <c r="K71" s="14" t="str">
        <f t="shared" si="3"/>
        <v/>
      </c>
      <c r="L71" s="14">
        <f t="shared" si="0"/>
        <v>0</v>
      </c>
    </row>
    <row r="72" spans="1:12">
      <c r="A72" s="166"/>
      <c r="B72" s="140"/>
      <c r="C72" s="140"/>
      <c r="D72" s="183"/>
      <c r="E72" s="184"/>
      <c r="F72" s="236"/>
      <c r="G72" s="288"/>
      <c r="H72" s="186"/>
      <c r="I72" s="134" t="str">
        <f t="shared" si="1"/>
        <v/>
      </c>
      <c r="J72" s="14" t="str">
        <f t="shared" si="2"/>
        <v/>
      </c>
      <c r="K72" s="14" t="str">
        <f t="shared" si="3"/>
        <v/>
      </c>
      <c r="L72" s="14">
        <f t="shared" ref="L72:L135" si="4">E72*A72</f>
        <v>0</v>
      </c>
    </row>
    <row r="73" spans="1:12">
      <c r="A73" s="166"/>
      <c r="B73" s="140"/>
      <c r="C73" s="140"/>
      <c r="D73" s="183"/>
      <c r="E73" s="184"/>
      <c r="F73" s="236"/>
      <c r="G73" s="288"/>
      <c r="H73" s="186"/>
      <c r="I73" s="134" t="str">
        <f t="shared" ref="I73:I136" si="5">RIGHT($B73,3)</f>
        <v/>
      </c>
      <c r="J73" s="14" t="str">
        <f t="shared" ref="J73:J136" si="6">LEFT($C73,2)</f>
        <v/>
      </c>
      <c r="K73" s="14" t="str">
        <f t="shared" ref="K73:K136" si="7">RIGHT($D73,6)</f>
        <v/>
      </c>
      <c r="L73" s="14">
        <f t="shared" si="4"/>
        <v>0</v>
      </c>
    </row>
    <row r="74" spans="1:12">
      <c r="A74" s="166"/>
      <c r="B74" s="140"/>
      <c r="C74" s="140"/>
      <c r="D74" s="183"/>
      <c r="E74" s="184"/>
      <c r="F74" s="236"/>
      <c r="G74" s="288"/>
      <c r="H74" s="186"/>
      <c r="I74" s="134" t="str">
        <f t="shared" si="5"/>
        <v/>
      </c>
      <c r="J74" s="14" t="str">
        <f t="shared" si="6"/>
        <v/>
      </c>
      <c r="K74" s="14" t="str">
        <f t="shared" si="7"/>
        <v/>
      </c>
      <c r="L74" s="14">
        <f t="shared" si="4"/>
        <v>0</v>
      </c>
    </row>
    <row r="75" spans="1:12">
      <c r="A75" s="166"/>
      <c r="B75" s="140"/>
      <c r="C75" s="140"/>
      <c r="D75" s="183"/>
      <c r="E75" s="184"/>
      <c r="F75" s="236"/>
      <c r="G75" s="288"/>
      <c r="H75" s="186"/>
      <c r="I75" s="134" t="str">
        <f t="shared" si="5"/>
        <v/>
      </c>
      <c r="J75" s="14" t="str">
        <f t="shared" si="6"/>
        <v/>
      </c>
      <c r="K75" s="14" t="str">
        <f t="shared" si="7"/>
        <v/>
      </c>
      <c r="L75" s="14">
        <f t="shared" si="4"/>
        <v>0</v>
      </c>
    </row>
    <row r="76" spans="1:12">
      <c r="A76" s="166"/>
      <c r="B76" s="140"/>
      <c r="C76" s="140"/>
      <c r="D76" s="183"/>
      <c r="E76" s="184"/>
      <c r="F76" s="236"/>
      <c r="G76" s="288"/>
      <c r="H76" s="186"/>
      <c r="I76" s="134" t="str">
        <f t="shared" si="5"/>
        <v/>
      </c>
      <c r="J76" s="14" t="str">
        <f t="shared" si="6"/>
        <v/>
      </c>
      <c r="K76" s="14" t="str">
        <f t="shared" si="7"/>
        <v/>
      </c>
      <c r="L76" s="14">
        <f t="shared" si="4"/>
        <v>0</v>
      </c>
    </row>
    <row r="77" spans="1:12">
      <c r="A77" s="166"/>
      <c r="B77" s="140"/>
      <c r="C77" s="140"/>
      <c r="D77" s="183"/>
      <c r="E77" s="184"/>
      <c r="F77" s="236"/>
      <c r="G77" s="288"/>
      <c r="H77" s="186"/>
      <c r="I77" s="134" t="str">
        <f t="shared" si="5"/>
        <v/>
      </c>
      <c r="J77" s="14" t="str">
        <f t="shared" si="6"/>
        <v/>
      </c>
      <c r="K77" s="14" t="str">
        <f t="shared" si="7"/>
        <v/>
      </c>
      <c r="L77" s="14">
        <f t="shared" si="4"/>
        <v>0</v>
      </c>
    </row>
    <row r="78" spans="1:12">
      <c r="A78" s="166"/>
      <c r="B78" s="140"/>
      <c r="C78" s="140"/>
      <c r="D78" s="183"/>
      <c r="E78" s="184"/>
      <c r="F78" s="236"/>
      <c r="G78" s="288"/>
      <c r="H78" s="186"/>
      <c r="I78" s="134" t="str">
        <f t="shared" si="5"/>
        <v/>
      </c>
      <c r="J78" s="14" t="str">
        <f t="shared" si="6"/>
        <v/>
      </c>
      <c r="K78" s="14" t="str">
        <f t="shared" si="7"/>
        <v/>
      </c>
      <c r="L78" s="14">
        <f t="shared" si="4"/>
        <v>0</v>
      </c>
    </row>
    <row r="79" spans="1:12">
      <c r="A79" s="166"/>
      <c r="B79" s="140"/>
      <c r="C79" s="140"/>
      <c r="D79" s="183"/>
      <c r="E79" s="184"/>
      <c r="F79" s="236"/>
      <c r="G79" s="288"/>
      <c r="H79" s="186"/>
      <c r="I79" s="134" t="str">
        <f t="shared" si="5"/>
        <v/>
      </c>
      <c r="J79" s="14" t="str">
        <f t="shared" si="6"/>
        <v/>
      </c>
      <c r="K79" s="14" t="str">
        <f t="shared" si="7"/>
        <v/>
      </c>
      <c r="L79" s="14">
        <f t="shared" si="4"/>
        <v>0</v>
      </c>
    </row>
    <row r="80" spans="1:12">
      <c r="A80" s="166"/>
      <c r="B80" s="140"/>
      <c r="C80" s="140"/>
      <c r="D80" s="183"/>
      <c r="E80" s="184"/>
      <c r="F80" s="236"/>
      <c r="G80" s="288"/>
      <c r="H80" s="186"/>
      <c r="I80" s="134" t="str">
        <f t="shared" si="5"/>
        <v/>
      </c>
      <c r="J80" s="14" t="str">
        <f t="shared" si="6"/>
        <v/>
      </c>
      <c r="K80" s="14" t="str">
        <f t="shared" si="7"/>
        <v/>
      </c>
      <c r="L80" s="14">
        <f t="shared" si="4"/>
        <v>0</v>
      </c>
    </row>
    <row r="81" spans="1:12">
      <c r="A81" s="166"/>
      <c r="B81" s="140"/>
      <c r="C81" s="140"/>
      <c r="D81" s="183"/>
      <c r="E81" s="184"/>
      <c r="F81" s="236"/>
      <c r="G81" s="288"/>
      <c r="H81" s="186"/>
      <c r="I81" s="134" t="str">
        <f t="shared" si="5"/>
        <v/>
      </c>
      <c r="J81" s="14" t="str">
        <f t="shared" si="6"/>
        <v/>
      </c>
      <c r="K81" s="14" t="str">
        <f t="shared" si="7"/>
        <v/>
      </c>
      <c r="L81" s="14">
        <f t="shared" si="4"/>
        <v>0</v>
      </c>
    </row>
    <row r="82" spans="1:12">
      <c r="A82" s="166"/>
      <c r="B82" s="140"/>
      <c r="C82" s="140"/>
      <c r="D82" s="183"/>
      <c r="E82" s="184"/>
      <c r="F82" s="236"/>
      <c r="G82" s="288"/>
      <c r="H82" s="186"/>
      <c r="I82" s="134" t="str">
        <f t="shared" si="5"/>
        <v/>
      </c>
      <c r="J82" s="14" t="str">
        <f t="shared" si="6"/>
        <v/>
      </c>
      <c r="K82" s="14" t="str">
        <f t="shared" si="7"/>
        <v/>
      </c>
      <c r="L82" s="14">
        <f t="shared" si="4"/>
        <v>0</v>
      </c>
    </row>
    <row r="83" spans="1:12">
      <c r="A83" s="166"/>
      <c r="B83" s="140"/>
      <c r="C83" s="140"/>
      <c r="D83" s="183"/>
      <c r="E83" s="184"/>
      <c r="F83" s="236"/>
      <c r="G83" s="288"/>
      <c r="H83" s="186"/>
      <c r="I83" s="134" t="str">
        <f t="shared" si="5"/>
        <v/>
      </c>
      <c r="J83" s="14" t="str">
        <f t="shared" si="6"/>
        <v/>
      </c>
      <c r="K83" s="14" t="str">
        <f t="shared" si="7"/>
        <v/>
      </c>
      <c r="L83" s="14">
        <f t="shared" si="4"/>
        <v>0</v>
      </c>
    </row>
    <row r="84" spans="1:12">
      <c r="A84" s="166"/>
      <c r="B84" s="140"/>
      <c r="C84" s="140"/>
      <c r="D84" s="183"/>
      <c r="E84" s="184"/>
      <c r="F84" s="236"/>
      <c r="G84" s="288"/>
      <c r="H84" s="186"/>
      <c r="I84" s="134" t="str">
        <f t="shared" si="5"/>
        <v/>
      </c>
      <c r="J84" s="14" t="str">
        <f t="shared" si="6"/>
        <v/>
      </c>
      <c r="K84" s="14" t="str">
        <f t="shared" si="7"/>
        <v/>
      </c>
      <c r="L84" s="14">
        <f t="shared" si="4"/>
        <v>0</v>
      </c>
    </row>
    <row r="85" spans="1:12">
      <c r="A85" s="166"/>
      <c r="B85" s="140"/>
      <c r="C85" s="140"/>
      <c r="D85" s="183"/>
      <c r="E85" s="184"/>
      <c r="F85" s="236"/>
      <c r="G85" s="288"/>
      <c r="H85" s="186"/>
      <c r="I85" s="134" t="str">
        <f t="shared" si="5"/>
        <v/>
      </c>
      <c r="J85" s="14" t="str">
        <f t="shared" si="6"/>
        <v/>
      </c>
      <c r="K85" s="14" t="str">
        <f t="shared" si="7"/>
        <v/>
      </c>
      <c r="L85" s="14">
        <f t="shared" si="4"/>
        <v>0</v>
      </c>
    </row>
    <row r="86" spans="1:12">
      <c r="A86" s="166"/>
      <c r="B86" s="140"/>
      <c r="C86" s="140"/>
      <c r="D86" s="183"/>
      <c r="E86" s="184"/>
      <c r="F86" s="236"/>
      <c r="G86" s="288"/>
      <c r="H86" s="186"/>
      <c r="I86" s="134" t="str">
        <f t="shared" si="5"/>
        <v/>
      </c>
      <c r="J86" s="14" t="str">
        <f t="shared" si="6"/>
        <v/>
      </c>
      <c r="K86" s="14" t="str">
        <f t="shared" si="7"/>
        <v/>
      </c>
      <c r="L86" s="14">
        <f t="shared" si="4"/>
        <v>0</v>
      </c>
    </row>
    <row r="87" spans="1:12">
      <c r="A87" s="166"/>
      <c r="B87" s="140"/>
      <c r="C87" s="140"/>
      <c r="D87" s="183"/>
      <c r="E87" s="184"/>
      <c r="F87" s="236"/>
      <c r="G87" s="288"/>
      <c r="H87" s="186"/>
      <c r="I87" s="134" t="str">
        <f t="shared" si="5"/>
        <v/>
      </c>
      <c r="J87" s="14" t="str">
        <f t="shared" si="6"/>
        <v/>
      </c>
      <c r="K87" s="14" t="str">
        <f t="shared" si="7"/>
        <v/>
      </c>
      <c r="L87" s="14">
        <f t="shared" si="4"/>
        <v>0</v>
      </c>
    </row>
    <row r="88" spans="1:12">
      <c r="A88" s="166"/>
      <c r="B88" s="140"/>
      <c r="C88" s="140"/>
      <c r="D88" s="183"/>
      <c r="E88" s="184"/>
      <c r="F88" s="236"/>
      <c r="G88" s="288"/>
      <c r="H88" s="186"/>
      <c r="I88" s="134" t="str">
        <f t="shared" si="5"/>
        <v/>
      </c>
      <c r="J88" s="14" t="str">
        <f t="shared" si="6"/>
        <v/>
      </c>
      <c r="K88" s="14" t="str">
        <f t="shared" si="7"/>
        <v/>
      </c>
      <c r="L88" s="14">
        <f t="shared" si="4"/>
        <v>0</v>
      </c>
    </row>
    <row r="89" spans="1:12">
      <c r="A89" s="166"/>
      <c r="B89" s="140"/>
      <c r="C89" s="140"/>
      <c r="D89" s="183"/>
      <c r="E89" s="184"/>
      <c r="F89" s="236"/>
      <c r="G89" s="288"/>
      <c r="H89" s="186"/>
      <c r="I89" s="134" t="str">
        <f t="shared" si="5"/>
        <v/>
      </c>
      <c r="J89" s="14" t="str">
        <f t="shared" si="6"/>
        <v/>
      </c>
      <c r="K89" s="14" t="str">
        <f t="shared" si="7"/>
        <v/>
      </c>
      <c r="L89" s="14">
        <f t="shared" si="4"/>
        <v>0</v>
      </c>
    </row>
    <row r="90" spans="1:12">
      <c r="A90" s="166"/>
      <c r="B90" s="140"/>
      <c r="C90" s="140"/>
      <c r="D90" s="183"/>
      <c r="E90" s="184"/>
      <c r="F90" s="236"/>
      <c r="G90" s="288"/>
      <c r="H90" s="186"/>
      <c r="I90" s="134" t="str">
        <f t="shared" si="5"/>
        <v/>
      </c>
      <c r="J90" s="14" t="str">
        <f t="shared" si="6"/>
        <v/>
      </c>
      <c r="K90" s="14" t="str">
        <f t="shared" si="7"/>
        <v/>
      </c>
      <c r="L90" s="14">
        <f t="shared" si="4"/>
        <v>0</v>
      </c>
    </row>
    <row r="91" spans="1:12">
      <c r="A91" s="166"/>
      <c r="B91" s="140"/>
      <c r="C91" s="140"/>
      <c r="D91" s="183"/>
      <c r="E91" s="184"/>
      <c r="F91" s="236"/>
      <c r="G91" s="288"/>
      <c r="H91" s="186"/>
      <c r="I91" s="134" t="str">
        <f t="shared" si="5"/>
        <v/>
      </c>
      <c r="J91" s="14" t="str">
        <f t="shared" si="6"/>
        <v/>
      </c>
      <c r="K91" s="14" t="str">
        <f t="shared" si="7"/>
        <v/>
      </c>
      <c r="L91" s="14">
        <f t="shared" si="4"/>
        <v>0</v>
      </c>
    </row>
    <row r="92" spans="1:12">
      <c r="A92" s="166"/>
      <c r="B92" s="140"/>
      <c r="C92" s="140"/>
      <c r="D92" s="183"/>
      <c r="E92" s="184"/>
      <c r="F92" s="236"/>
      <c r="G92" s="288"/>
      <c r="H92" s="186"/>
      <c r="I92" s="134" t="str">
        <f t="shared" si="5"/>
        <v/>
      </c>
      <c r="J92" s="14" t="str">
        <f t="shared" si="6"/>
        <v/>
      </c>
      <c r="K92" s="14" t="str">
        <f t="shared" si="7"/>
        <v/>
      </c>
      <c r="L92" s="14">
        <f t="shared" si="4"/>
        <v>0</v>
      </c>
    </row>
    <row r="93" spans="1:12">
      <c r="A93" s="166"/>
      <c r="B93" s="140"/>
      <c r="C93" s="140"/>
      <c r="D93" s="183"/>
      <c r="E93" s="184"/>
      <c r="F93" s="236"/>
      <c r="G93" s="288"/>
      <c r="H93" s="186"/>
      <c r="I93" s="134" t="str">
        <f t="shared" si="5"/>
        <v/>
      </c>
      <c r="J93" s="14" t="str">
        <f t="shared" si="6"/>
        <v/>
      </c>
      <c r="K93" s="14" t="str">
        <f t="shared" si="7"/>
        <v/>
      </c>
      <c r="L93" s="14">
        <f t="shared" si="4"/>
        <v>0</v>
      </c>
    </row>
    <row r="94" spans="1:12">
      <c r="A94" s="166"/>
      <c r="B94" s="140"/>
      <c r="C94" s="140"/>
      <c r="D94" s="183"/>
      <c r="E94" s="184"/>
      <c r="F94" s="236"/>
      <c r="G94" s="288"/>
      <c r="H94" s="186"/>
      <c r="I94" s="134" t="str">
        <f t="shared" si="5"/>
        <v/>
      </c>
      <c r="J94" s="14" t="str">
        <f t="shared" si="6"/>
        <v/>
      </c>
      <c r="K94" s="14" t="str">
        <f t="shared" si="7"/>
        <v/>
      </c>
      <c r="L94" s="14">
        <f t="shared" si="4"/>
        <v>0</v>
      </c>
    </row>
    <row r="95" spans="1:12">
      <c r="A95" s="166"/>
      <c r="B95" s="140"/>
      <c r="C95" s="140"/>
      <c r="D95" s="183"/>
      <c r="E95" s="184"/>
      <c r="F95" s="236"/>
      <c r="G95" s="288"/>
      <c r="H95" s="186"/>
      <c r="I95" s="134" t="str">
        <f t="shared" si="5"/>
        <v/>
      </c>
      <c r="J95" s="14" t="str">
        <f t="shared" si="6"/>
        <v/>
      </c>
      <c r="K95" s="14" t="str">
        <f t="shared" si="7"/>
        <v/>
      </c>
      <c r="L95" s="14">
        <f t="shared" si="4"/>
        <v>0</v>
      </c>
    </row>
    <row r="96" spans="1:12">
      <c r="A96" s="166"/>
      <c r="B96" s="140"/>
      <c r="C96" s="140"/>
      <c r="D96" s="183"/>
      <c r="E96" s="184"/>
      <c r="F96" s="236"/>
      <c r="G96" s="288"/>
      <c r="H96" s="186"/>
      <c r="I96" s="134" t="str">
        <f t="shared" si="5"/>
        <v/>
      </c>
      <c r="J96" s="14" t="str">
        <f t="shared" si="6"/>
        <v/>
      </c>
      <c r="K96" s="14" t="str">
        <f t="shared" si="7"/>
        <v/>
      </c>
      <c r="L96" s="14">
        <f t="shared" si="4"/>
        <v>0</v>
      </c>
    </row>
    <row r="97" spans="1:12">
      <c r="A97" s="166"/>
      <c r="B97" s="140"/>
      <c r="C97" s="140"/>
      <c r="D97" s="183"/>
      <c r="E97" s="184"/>
      <c r="F97" s="236"/>
      <c r="G97" s="288"/>
      <c r="H97" s="186"/>
      <c r="I97" s="134" t="str">
        <f t="shared" si="5"/>
        <v/>
      </c>
      <c r="J97" s="14" t="str">
        <f t="shared" si="6"/>
        <v/>
      </c>
      <c r="K97" s="14" t="str">
        <f t="shared" si="7"/>
        <v/>
      </c>
      <c r="L97" s="14">
        <f t="shared" si="4"/>
        <v>0</v>
      </c>
    </row>
    <row r="98" spans="1:12">
      <c r="A98" s="166"/>
      <c r="B98" s="140"/>
      <c r="C98" s="140"/>
      <c r="D98" s="183"/>
      <c r="E98" s="184"/>
      <c r="F98" s="236"/>
      <c r="G98" s="288"/>
      <c r="H98" s="186"/>
      <c r="I98" s="134" t="str">
        <f t="shared" si="5"/>
        <v/>
      </c>
      <c r="J98" s="14" t="str">
        <f t="shared" si="6"/>
        <v/>
      </c>
      <c r="K98" s="14" t="str">
        <f t="shared" si="7"/>
        <v/>
      </c>
      <c r="L98" s="14">
        <f t="shared" si="4"/>
        <v>0</v>
      </c>
    </row>
    <row r="99" spans="1:12">
      <c r="A99" s="166"/>
      <c r="B99" s="140"/>
      <c r="C99" s="140"/>
      <c r="D99" s="183"/>
      <c r="E99" s="184"/>
      <c r="F99" s="236"/>
      <c r="G99" s="288"/>
      <c r="H99" s="186"/>
      <c r="I99" s="134" t="str">
        <f t="shared" si="5"/>
        <v/>
      </c>
      <c r="J99" s="14" t="str">
        <f t="shared" si="6"/>
        <v/>
      </c>
      <c r="K99" s="14" t="str">
        <f t="shared" si="7"/>
        <v/>
      </c>
      <c r="L99" s="14">
        <f t="shared" si="4"/>
        <v>0</v>
      </c>
    </row>
    <row r="100" spans="1:12">
      <c r="A100" s="166"/>
      <c r="B100" s="140"/>
      <c r="C100" s="140"/>
      <c r="D100" s="183"/>
      <c r="E100" s="184"/>
      <c r="F100" s="236"/>
      <c r="G100" s="288"/>
      <c r="H100" s="186"/>
      <c r="I100" s="134" t="str">
        <f t="shared" si="5"/>
        <v/>
      </c>
      <c r="J100" s="14" t="str">
        <f t="shared" si="6"/>
        <v/>
      </c>
      <c r="K100" s="14" t="str">
        <f t="shared" si="7"/>
        <v/>
      </c>
      <c r="L100" s="14">
        <f t="shared" si="4"/>
        <v>0</v>
      </c>
    </row>
    <row r="101" spans="1:12">
      <c r="A101" s="166"/>
      <c r="B101" s="185"/>
      <c r="C101" s="185"/>
      <c r="D101" s="185"/>
      <c r="E101" s="183"/>
      <c r="F101" s="236"/>
      <c r="G101" s="288"/>
      <c r="H101" s="186"/>
      <c r="I101" s="134" t="str">
        <f t="shared" si="5"/>
        <v/>
      </c>
      <c r="J101" s="14" t="str">
        <f t="shared" si="6"/>
        <v/>
      </c>
      <c r="K101" s="14" t="str">
        <f t="shared" si="7"/>
        <v/>
      </c>
      <c r="L101" s="14">
        <f t="shared" si="4"/>
        <v>0</v>
      </c>
    </row>
    <row r="102" spans="1:12">
      <c r="A102" s="166"/>
      <c r="B102" s="185"/>
      <c r="C102" s="185"/>
      <c r="D102" s="185"/>
      <c r="E102" s="183"/>
      <c r="F102" s="236"/>
      <c r="G102" s="288"/>
      <c r="H102" s="186"/>
      <c r="I102" s="134" t="str">
        <f t="shared" si="5"/>
        <v/>
      </c>
      <c r="J102" s="14" t="str">
        <f t="shared" si="6"/>
        <v/>
      </c>
      <c r="K102" s="14" t="str">
        <f t="shared" si="7"/>
        <v/>
      </c>
      <c r="L102" s="14">
        <f t="shared" si="4"/>
        <v>0</v>
      </c>
    </row>
    <row r="103" spans="1:12">
      <c r="A103" s="166"/>
      <c r="B103" s="185"/>
      <c r="C103" s="185"/>
      <c r="D103" s="185"/>
      <c r="E103" s="183"/>
      <c r="F103" s="236"/>
      <c r="G103" s="288"/>
      <c r="H103" s="186"/>
      <c r="I103" s="134" t="str">
        <f t="shared" si="5"/>
        <v/>
      </c>
      <c r="J103" s="14" t="str">
        <f t="shared" si="6"/>
        <v/>
      </c>
      <c r="K103" s="14" t="str">
        <f t="shared" si="7"/>
        <v/>
      </c>
      <c r="L103" s="14">
        <f t="shared" si="4"/>
        <v>0</v>
      </c>
    </row>
    <row r="104" spans="1:12">
      <c r="A104" s="166"/>
      <c r="B104" s="185"/>
      <c r="C104" s="185"/>
      <c r="D104" s="185"/>
      <c r="E104" s="183"/>
      <c r="F104" s="236"/>
      <c r="G104" s="288"/>
      <c r="H104" s="186"/>
      <c r="I104" s="134" t="str">
        <f t="shared" si="5"/>
        <v/>
      </c>
      <c r="J104" s="14" t="str">
        <f t="shared" si="6"/>
        <v/>
      </c>
      <c r="K104" s="14" t="str">
        <f t="shared" si="7"/>
        <v/>
      </c>
      <c r="L104" s="14">
        <f t="shared" si="4"/>
        <v>0</v>
      </c>
    </row>
    <row r="105" spans="1:12">
      <c r="A105" s="166"/>
      <c r="B105" s="185"/>
      <c r="C105" s="185"/>
      <c r="D105" s="185"/>
      <c r="E105" s="183"/>
      <c r="F105" s="236"/>
      <c r="G105" s="288"/>
      <c r="H105" s="186"/>
      <c r="I105" s="134" t="str">
        <f t="shared" si="5"/>
        <v/>
      </c>
      <c r="J105" s="14" t="str">
        <f t="shared" si="6"/>
        <v/>
      </c>
      <c r="K105" s="14" t="str">
        <f t="shared" si="7"/>
        <v/>
      </c>
      <c r="L105" s="14">
        <f t="shared" si="4"/>
        <v>0</v>
      </c>
    </row>
    <row r="106" spans="1:12">
      <c r="A106" s="166"/>
      <c r="B106" s="185"/>
      <c r="C106" s="185"/>
      <c r="D106" s="185"/>
      <c r="E106" s="183"/>
      <c r="F106" s="236"/>
      <c r="G106" s="288"/>
      <c r="H106" s="186"/>
      <c r="I106" s="134" t="str">
        <f t="shared" si="5"/>
        <v/>
      </c>
      <c r="J106" s="14" t="str">
        <f t="shared" si="6"/>
        <v/>
      </c>
      <c r="K106" s="14" t="str">
        <f t="shared" si="7"/>
        <v/>
      </c>
      <c r="L106" s="14">
        <f t="shared" si="4"/>
        <v>0</v>
      </c>
    </row>
    <row r="107" spans="1:12">
      <c r="A107" s="166"/>
      <c r="B107" s="185"/>
      <c r="C107" s="185"/>
      <c r="D107" s="185"/>
      <c r="E107" s="183"/>
      <c r="F107" s="236"/>
      <c r="G107" s="288"/>
      <c r="H107" s="186"/>
      <c r="I107" s="134" t="str">
        <f t="shared" si="5"/>
        <v/>
      </c>
      <c r="J107" s="14" t="str">
        <f t="shared" si="6"/>
        <v/>
      </c>
      <c r="K107" s="14" t="str">
        <f t="shared" si="7"/>
        <v/>
      </c>
      <c r="L107" s="14">
        <f t="shared" si="4"/>
        <v>0</v>
      </c>
    </row>
    <row r="108" spans="1:12">
      <c r="A108" s="166"/>
      <c r="B108" s="185"/>
      <c r="C108" s="185"/>
      <c r="D108" s="185"/>
      <c r="E108" s="183"/>
      <c r="F108" s="236"/>
      <c r="G108" s="288"/>
      <c r="H108" s="186"/>
      <c r="I108" s="134" t="str">
        <f t="shared" si="5"/>
        <v/>
      </c>
      <c r="J108" s="14" t="str">
        <f t="shared" si="6"/>
        <v/>
      </c>
      <c r="K108" s="14" t="str">
        <f t="shared" si="7"/>
        <v/>
      </c>
      <c r="L108" s="14">
        <f t="shared" si="4"/>
        <v>0</v>
      </c>
    </row>
    <row r="109" spans="1:12">
      <c r="A109" s="166"/>
      <c r="B109" s="185"/>
      <c r="C109" s="185"/>
      <c r="D109" s="185"/>
      <c r="E109" s="183"/>
      <c r="F109" s="236"/>
      <c r="G109" s="288"/>
      <c r="H109" s="186"/>
      <c r="I109" s="134" t="str">
        <f t="shared" si="5"/>
        <v/>
      </c>
      <c r="J109" s="14" t="str">
        <f t="shared" si="6"/>
        <v/>
      </c>
      <c r="K109" s="14" t="str">
        <f t="shared" si="7"/>
        <v/>
      </c>
      <c r="L109" s="14">
        <f t="shared" si="4"/>
        <v>0</v>
      </c>
    </row>
    <row r="110" spans="1:12">
      <c r="A110" s="166"/>
      <c r="B110" s="185"/>
      <c r="C110" s="185"/>
      <c r="D110" s="185"/>
      <c r="E110" s="183"/>
      <c r="F110" s="236"/>
      <c r="G110" s="288"/>
      <c r="H110" s="186"/>
      <c r="I110" s="134" t="str">
        <f t="shared" si="5"/>
        <v/>
      </c>
      <c r="J110" s="14" t="str">
        <f t="shared" si="6"/>
        <v/>
      </c>
      <c r="K110" s="14" t="str">
        <f t="shared" si="7"/>
        <v/>
      </c>
      <c r="L110" s="14">
        <f t="shared" si="4"/>
        <v>0</v>
      </c>
    </row>
    <row r="111" spans="1:12">
      <c r="A111" s="166"/>
      <c r="B111" s="185"/>
      <c r="C111" s="185"/>
      <c r="D111" s="185"/>
      <c r="E111" s="183"/>
      <c r="F111" s="236"/>
      <c r="G111" s="288"/>
      <c r="H111" s="186"/>
      <c r="I111" s="134" t="str">
        <f t="shared" si="5"/>
        <v/>
      </c>
      <c r="J111" s="14" t="str">
        <f t="shared" si="6"/>
        <v/>
      </c>
      <c r="K111" s="14" t="str">
        <f t="shared" si="7"/>
        <v/>
      </c>
      <c r="L111" s="14">
        <f t="shared" si="4"/>
        <v>0</v>
      </c>
    </row>
    <row r="112" spans="1:12">
      <c r="A112" s="166"/>
      <c r="B112" s="185"/>
      <c r="C112" s="185"/>
      <c r="D112" s="185"/>
      <c r="E112" s="183"/>
      <c r="F112" s="236"/>
      <c r="G112" s="288"/>
      <c r="H112" s="186"/>
      <c r="I112" s="134" t="str">
        <f t="shared" si="5"/>
        <v/>
      </c>
      <c r="J112" s="14" t="str">
        <f t="shared" si="6"/>
        <v/>
      </c>
      <c r="K112" s="14" t="str">
        <f t="shared" si="7"/>
        <v/>
      </c>
      <c r="L112" s="14">
        <f t="shared" si="4"/>
        <v>0</v>
      </c>
    </row>
    <row r="113" spans="1:12">
      <c r="A113" s="166"/>
      <c r="B113" s="185"/>
      <c r="C113" s="185"/>
      <c r="D113" s="185"/>
      <c r="E113" s="183"/>
      <c r="F113" s="236"/>
      <c r="G113" s="288"/>
      <c r="H113" s="186"/>
      <c r="I113" s="134" t="str">
        <f t="shared" si="5"/>
        <v/>
      </c>
      <c r="J113" s="14" t="str">
        <f t="shared" si="6"/>
        <v/>
      </c>
      <c r="K113" s="14" t="str">
        <f t="shared" si="7"/>
        <v/>
      </c>
      <c r="L113" s="14">
        <f t="shared" si="4"/>
        <v>0</v>
      </c>
    </row>
    <row r="114" spans="1:12">
      <c r="A114" s="166"/>
      <c r="B114" s="185"/>
      <c r="C114" s="185"/>
      <c r="D114" s="185"/>
      <c r="E114" s="183"/>
      <c r="F114" s="236"/>
      <c r="G114" s="288"/>
      <c r="H114" s="186"/>
      <c r="I114" s="134" t="str">
        <f t="shared" si="5"/>
        <v/>
      </c>
      <c r="J114" s="14" t="str">
        <f t="shared" si="6"/>
        <v/>
      </c>
      <c r="K114" s="14" t="str">
        <f t="shared" si="7"/>
        <v/>
      </c>
      <c r="L114" s="14">
        <f t="shared" si="4"/>
        <v>0</v>
      </c>
    </row>
    <row r="115" spans="1:12">
      <c r="A115" s="166"/>
      <c r="B115" s="185"/>
      <c r="C115" s="185"/>
      <c r="D115" s="185"/>
      <c r="E115" s="183"/>
      <c r="F115" s="236"/>
      <c r="G115" s="288"/>
      <c r="H115" s="186"/>
      <c r="I115" s="134" t="str">
        <f t="shared" si="5"/>
        <v/>
      </c>
      <c r="J115" s="14" t="str">
        <f t="shared" si="6"/>
        <v/>
      </c>
      <c r="K115" s="14" t="str">
        <f t="shared" si="7"/>
        <v/>
      </c>
      <c r="L115" s="14">
        <f t="shared" si="4"/>
        <v>0</v>
      </c>
    </row>
    <row r="116" spans="1:12">
      <c r="A116" s="166"/>
      <c r="B116" s="185"/>
      <c r="C116" s="185"/>
      <c r="D116" s="185"/>
      <c r="E116" s="183"/>
      <c r="F116" s="236"/>
      <c r="G116" s="288"/>
      <c r="H116" s="186"/>
      <c r="I116" s="134" t="str">
        <f t="shared" si="5"/>
        <v/>
      </c>
      <c r="J116" s="14" t="str">
        <f t="shared" si="6"/>
        <v/>
      </c>
      <c r="K116" s="14" t="str">
        <f t="shared" si="7"/>
        <v/>
      </c>
      <c r="L116" s="14">
        <f t="shared" si="4"/>
        <v>0</v>
      </c>
    </row>
    <row r="117" spans="1:12">
      <c r="A117" s="166"/>
      <c r="B117" s="185"/>
      <c r="C117" s="185"/>
      <c r="D117" s="185"/>
      <c r="E117" s="183"/>
      <c r="F117" s="236"/>
      <c r="G117" s="288"/>
      <c r="H117" s="186"/>
      <c r="I117" s="134" t="str">
        <f t="shared" si="5"/>
        <v/>
      </c>
      <c r="J117" s="14" t="str">
        <f t="shared" si="6"/>
        <v/>
      </c>
      <c r="K117" s="14" t="str">
        <f t="shared" si="7"/>
        <v/>
      </c>
      <c r="L117" s="14">
        <f t="shared" si="4"/>
        <v>0</v>
      </c>
    </row>
    <row r="118" spans="1:12">
      <c r="A118" s="166"/>
      <c r="B118" s="185"/>
      <c r="C118" s="185"/>
      <c r="D118" s="185"/>
      <c r="E118" s="183"/>
      <c r="F118" s="236"/>
      <c r="G118" s="288"/>
      <c r="H118" s="186"/>
      <c r="I118" s="134" t="str">
        <f t="shared" si="5"/>
        <v/>
      </c>
      <c r="J118" s="14" t="str">
        <f t="shared" si="6"/>
        <v/>
      </c>
      <c r="K118" s="14" t="str">
        <f t="shared" si="7"/>
        <v/>
      </c>
      <c r="L118" s="14">
        <f t="shared" si="4"/>
        <v>0</v>
      </c>
    </row>
    <row r="119" spans="1:12">
      <c r="A119" s="166"/>
      <c r="B119" s="185"/>
      <c r="C119" s="185"/>
      <c r="D119" s="185"/>
      <c r="E119" s="183"/>
      <c r="F119" s="236"/>
      <c r="G119" s="288"/>
      <c r="H119" s="186"/>
      <c r="I119" s="134" t="str">
        <f t="shared" si="5"/>
        <v/>
      </c>
      <c r="J119" s="14" t="str">
        <f t="shared" si="6"/>
        <v/>
      </c>
      <c r="K119" s="14" t="str">
        <f t="shared" si="7"/>
        <v/>
      </c>
      <c r="L119" s="14">
        <f t="shared" si="4"/>
        <v>0</v>
      </c>
    </row>
    <row r="120" spans="1:12">
      <c r="A120" s="166"/>
      <c r="B120" s="185"/>
      <c r="C120" s="185"/>
      <c r="D120" s="185"/>
      <c r="E120" s="183"/>
      <c r="F120" s="236"/>
      <c r="G120" s="288"/>
      <c r="H120" s="186"/>
      <c r="I120" s="134" t="str">
        <f t="shared" si="5"/>
        <v/>
      </c>
      <c r="J120" s="14" t="str">
        <f t="shared" si="6"/>
        <v/>
      </c>
      <c r="K120" s="14" t="str">
        <f t="shared" si="7"/>
        <v/>
      </c>
      <c r="L120" s="14">
        <f t="shared" si="4"/>
        <v>0</v>
      </c>
    </row>
    <row r="121" spans="1:12">
      <c r="A121" s="166"/>
      <c r="B121" s="185"/>
      <c r="C121" s="185"/>
      <c r="D121" s="185"/>
      <c r="E121" s="183"/>
      <c r="F121" s="236"/>
      <c r="G121" s="288"/>
      <c r="H121" s="186"/>
      <c r="I121" s="134" t="str">
        <f t="shared" si="5"/>
        <v/>
      </c>
      <c r="J121" s="14" t="str">
        <f t="shared" si="6"/>
        <v/>
      </c>
      <c r="K121" s="14" t="str">
        <f t="shared" si="7"/>
        <v/>
      </c>
      <c r="L121" s="14">
        <f t="shared" si="4"/>
        <v>0</v>
      </c>
    </row>
    <row r="122" spans="1:12">
      <c r="A122" s="166"/>
      <c r="B122" s="185"/>
      <c r="C122" s="185"/>
      <c r="D122" s="185"/>
      <c r="E122" s="183"/>
      <c r="F122" s="236"/>
      <c r="G122" s="288"/>
      <c r="H122" s="186"/>
      <c r="I122" s="134" t="str">
        <f t="shared" si="5"/>
        <v/>
      </c>
      <c r="J122" s="14" t="str">
        <f t="shared" si="6"/>
        <v/>
      </c>
      <c r="K122" s="14" t="str">
        <f t="shared" si="7"/>
        <v/>
      </c>
      <c r="L122" s="14">
        <f t="shared" si="4"/>
        <v>0</v>
      </c>
    </row>
    <row r="123" spans="1:12">
      <c r="A123" s="166"/>
      <c r="B123" s="185"/>
      <c r="C123" s="185"/>
      <c r="D123" s="185"/>
      <c r="E123" s="183"/>
      <c r="F123" s="236"/>
      <c r="G123" s="288"/>
      <c r="H123" s="186"/>
      <c r="I123" s="134" t="str">
        <f t="shared" si="5"/>
        <v/>
      </c>
      <c r="J123" s="14" t="str">
        <f t="shared" si="6"/>
        <v/>
      </c>
      <c r="K123" s="14" t="str">
        <f t="shared" si="7"/>
        <v/>
      </c>
      <c r="L123" s="14">
        <f t="shared" si="4"/>
        <v>0</v>
      </c>
    </row>
    <row r="124" spans="1:12">
      <c r="A124" s="166"/>
      <c r="B124" s="185"/>
      <c r="C124" s="185"/>
      <c r="D124" s="185"/>
      <c r="E124" s="183"/>
      <c r="F124" s="236"/>
      <c r="G124" s="288"/>
      <c r="H124" s="186"/>
      <c r="I124" s="134" t="str">
        <f t="shared" si="5"/>
        <v/>
      </c>
      <c r="J124" s="14" t="str">
        <f t="shared" si="6"/>
        <v/>
      </c>
      <c r="K124" s="14" t="str">
        <f t="shared" si="7"/>
        <v/>
      </c>
      <c r="L124" s="14">
        <f t="shared" si="4"/>
        <v>0</v>
      </c>
    </row>
    <row r="125" spans="1:12">
      <c r="A125" s="166"/>
      <c r="B125" s="185"/>
      <c r="C125" s="185"/>
      <c r="D125" s="185"/>
      <c r="E125" s="183"/>
      <c r="F125" s="236"/>
      <c r="G125" s="288"/>
      <c r="H125" s="186"/>
      <c r="I125" s="134" t="str">
        <f t="shared" si="5"/>
        <v/>
      </c>
      <c r="J125" s="14" t="str">
        <f t="shared" si="6"/>
        <v/>
      </c>
      <c r="K125" s="14" t="str">
        <f t="shared" si="7"/>
        <v/>
      </c>
      <c r="L125" s="14">
        <f t="shared" si="4"/>
        <v>0</v>
      </c>
    </row>
    <row r="126" spans="1:12">
      <c r="A126" s="166"/>
      <c r="B126" s="185"/>
      <c r="C126" s="185"/>
      <c r="D126" s="185"/>
      <c r="E126" s="183"/>
      <c r="F126" s="236"/>
      <c r="G126" s="288"/>
      <c r="H126" s="186"/>
      <c r="I126" s="134" t="str">
        <f t="shared" si="5"/>
        <v/>
      </c>
      <c r="J126" s="14" t="str">
        <f t="shared" si="6"/>
        <v/>
      </c>
      <c r="K126" s="14" t="str">
        <f t="shared" si="7"/>
        <v/>
      </c>
      <c r="L126" s="14">
        <f t="shared" si="4"/>
        <v>0</v>
      </c>
    </row>
    <row r="127" spans="1:12">
      <c r="A127" s="166"/>
      <c r="B127" s="185"/>
      <c r="C127" s="185"/>
      <c r="D127" s="185"/>
      <c r="E127" s="183"/>
      <c r="F127" s="236"/>
      <c r="G127" s="288"/>
      <c r="H127" s="186"/>
      <c r="I127" s="134" t="str">
        <f t="shared" si="5"/>
        <v/>
      </c>
      <c r="J127" s="14" t="str">
        <f t="shared" si="6"/>
        <v/>
      </c>
      <c r="K127" s="14" t="str">
        <f t="shared" si="7"/>
        <v/>
      </c>
      <c r="L127" s="14">
        <f t="shared" si="4"/>
        <v>0</v>
      </c>
    </row>
    <row r="128" spans="1:12">
      <c r="A128" s="166"/>
      <c r="B128" s="185"/>
      <c r="C128" s="185"/>
      <c r="D128" s="185"/>
      <c r="E128" s="183"/>
      <c r="F128" s="236"/>
      <c r="G128" s="288"/>
      <c r="H128" s="186"/>
      <c r="I128" s="134" t="str">
        <f t="shared" si="5"/>
        <v/>
      </c>
      <c r="J128" s="14" t="str">
        <f t="shared" si="6"/>
        <v/>
      </c>
      <c r="K128" s="14" t="str">
        <f t="shared" si="7"/>
        <v/>
      </c>
      <c r="L128" s="14">
        <f t="shared" si="4"/>
        <v>0</v>
      </c>
    </row>
    <row r="129" spans="1:12">
      <c r="A129" s="166"/>
      <c r="B129" s="185"/>
      <c r="C129" s="185"/>
      <c r="D129" s="185"/>
      <c r="E129" s="183"/>
      <c r="F129" s="236"/>
      <c r="G129" s="288"/>
      <c r="H129" s="186"/>
      <c r="I129" s="134" t="str">
        <f t="shared" si="5"/>
        <v/>
      </c>
      <c r="J129" s="14" t="str">
        <f t="shared" si="6"/>
        <v/>
      </c>
      <c r="K129" s="14" t="str">
        <f t="shared" si="7"/>
        <v/>
      </c>
      <c r="L129" s="14">
        <f t="shared" si="4"/>
        <v>0</v>
      </c>
    </row>
    <row r="130" spans="1:12">
      <c r="A130" s="166"/>
      <c r="B130" s="185"/>
      <c r="C130" s="185"/>
      <c r="D130" s="185"/>
      <c r="E130" s="183"/>
      <c r="F130" s="236"/>
      <c r="G130" s="288"/>
      <c r="H130" s="186"/>
      <c r="I130" s="134" t="str">
        <f t="shared" si="5"/>
        <v/>
      </c>
      <c r="J130" s="14" t="str">
        <f t="shared" si="6"/>
        <v/>
      </c>
      <c r="K130" s="14" t="str">
        <f t="shared" si="7"/>
        <v/>
      </c>
      <c r="L130" s="14">
        <f t="shared" si="4"/>
        <v>0</v>
      </c>
    </row>
    <row r="131" spans="1:12">
      <c r="A131" s="166"/>
      <c r="B131" s="185"/>
      <c r="C131" s="185"/>
      <c r="D131" s="185"/>
      <c r="E131" s="183"/>
      <c r="F131" s="236"/>
      <c r="G131" s="288"/>
      <c r="H131" s="186"/>
      <c r="I131" s="134" t="str">
        <f t="shared" si="5"/>
        <v/>
      </c>
      <c r="J131" s="14" t="str">
        <f t="shared" si="6"/>
        <v/>
      </c>
      <c r="K131" s="14" t="str">
        <f t="shared" si="7"/>
        <v/>
      </c>
      <c r="L131" s="14">
        <f t="shared" si="4"/>
        <v>0</v>
      </c>
    </row>
    <row r="132" spans="1:12">
      <c r="A132" s="166"/>
      <c r="B132" s="185"/>
      <c r="C132" s="185"/>
      <c r="D132" s="185"/>
      <c r="E132" s="183"/>
      <c r="F132" s="236"/>
      <c r="G132" s="288"/>
      <c r="H132" s="186"/>
      <c r="I132" s="134" t="str">
        <f t="shared" si="5"/>
        <v/>
      </c>
      <c r="J132" s="14" t="str">
        <f t="shared" si="6"/>
        <v/>
      </c>
      <c r="K132" s="14" t="str">
        <f t="shared" si="7"/>
        <v/>
      </c>
      <c r="L132" s="14">
        <f t="shared" si="4"/>
        <v>0</v>
      </c>
    </row>
    <row r="133" spans="1:12">
      <c r="A133" s="166"/>
      <c r="B133" s="185"/>
      <c r="C133" s="185"/>
      <c r="D133" s="185"/>
      <c r="E133" s="183"/>
      <c r="F133" s="236"/>
      <c r="G133" s="288"/>
      <c r="H133" s="186"/>
      <c r="I133" s="134" t="str">
        <f t="shared" si="5"/>
        <v/>
      </c>
      <c r="J133" s="14" t="str">
        <f t="shared" si="6"/>
        <v/>
      </c>
      <c r="K133" s="14" t="str">
        <f t="shared" si="7"/>
        <v/>
      </c>
      <c r="L133" s="14">
        <f t="shared" si="4"/>
        <v>0</v>
      </c>
    </row>
    <row r="134" spans="1:12">
      <c r="A134" s="166"/>
      <c r="B134" s="185"/>
      <c r="C134" s="185"/>
      <c r="D134" s="185"/>
      <c r="E134" s="183"/>
      <c r="F134" s="236"/>
      <c r="G134" s="288"/>
      <c r="H134" s="186"/>
      <c r="I134" s="134" t="str">
        <f t="shared" si="5"/>
        <v/>
      </c>
      <c r="J134" s="14" t="str">
        <f t="shared" si="6"/>
        <v/>
      </c>
      <c r="K134" s="14" t="str">
        <f t="shared" si="7"/>
        <v/>
      </c>
      <c r="L134" s="14">
        <f t="shared" si="4"/>
        <v>0</v>
      </c>
    </row>
    <row r="135" spans="1:12">
      <c r="A135" s="166"/>
      <c r="B135" s="185"/>
      <c r="C135" s="185"/>
      <c r="D135" s="185"/>
      <c r="E135" s="183"/>
      <c r="F135" s="236"/>
      <c r="G135" s="288"/>
      <c r="H135" s="186"/>
      <c r="I135" s="134" t="str">
        <f t="shared" si="5"/>
        <v/>
      </c>
      <c r="J135" s="14" t="str">
        <f t="shared" si="6"/>
        <v/>
      </c>
      <c r="K135" s="14" t="str">
        <f t="shared" si="7"/>
        <v/>
      </c>
      <c r="L135" s="14">
        <f t="shared" si="4"/>
        <v>0</v>
      </c>
    </row>
    <row r="136" spans="1:12">
      <c r="A136" s="166"/>
      <c r="B136" s="185"/>
      <c r="C136" s="185"/>
      <c r="D136" s="185"/>
      <c r="E136" s="183"/>
      <c r="F136" s="236"/>
      <c r="G136" s="288"/>
      <c r="H136" s="186"/>
      <c r="I136" s="134" t="str">
        <f t="shared" si="5"/>
        <v/>
      </c>
      <c r="J136" s="14" t="str">
        <f t="shared" si="6"/>
        <v/>
      </c>
      <c r="K136" s="14" t="str">
        <f t="shared" si="7"/>
        <v/>
      </c>
      <c r="L136" s="14">
        <f t="shared" ref="L136:L199" si="8">E136*A136</f>
        <v>0</v>
      </c>
    </row>
    <row r="137" spans="1:12">
      <c r="A137" s="166"/>
      <c r="B137" s="185"/>
      <c r="C137" s="185"/>
      <c r="D137" s="185"/>
      <c r="E137" s="183"/>
      <c r="F137" s="236"/>
      <c r="G137" s="288"/>
      <c r="H137" s="186"/>
      <c r="I137" s="134" t="str">
        <f t="shared" ref="I137:I200" si="9">RIGHT($B137,3)</f>
        <v/>
      </c>
      <c r="J137" s="14" t="str">
        <f t="shared" ref="J137:J200" si="10">LEFT($C137,2)</f>
        <v/>
      </c>
      <c r="K137" s="14" t="str">
        <f t="shared" ref="K137:K200" si="11">RIGHT($D137,6)</f>
        <v/>
      </c>
      <c r="L137" s="14">
        <f t="shared" si="8"/>
        <v>0</v>
      </c>
    </row>
    <row r="138" spans="1:12">
      <c r="A138" s="166"/>
      <c r="B138" s="185"/>
      <c r="C138" s="185"/>
      <c r="D138" s="185"/>
      <c r="E138" s="183"/>
      <c r="F138" s="236"/>
      <c r="G138" s="288"/>
      <c r="H138" s="186"/>
      <c r="I138" s="134" t="str">
        <f t="shared" si="9"/>
        <v/>
      </c>
      <c r="J138" s="14" t="str">
        <f t="shared" si="10"/>
        <v/>
      </c>
      <c r="K138" s="14" t="str">
        <f t="shared" si="11"/>
        <v/>
      </c>
      <c r="L138" s="14">
        <f t="shared" si="8"/>
        <v>0</v>
      </c>
    </row>
    <row r="139" spans="1:12">
      <c r="A139" s="166"/>
      <c r="B139" s="185"/>
      <c r="C139" s="185"/>
      <c r="D139" s="185"/>
      <c r="E139" s="183"/>
      <c r="F139" s="236"/>
      <c r="G139" s="288"/>
      <c r="H139" s="186"/>
      <c r="I139" s="134" t="str">
        <f t="shared" si="9"/>
        <v/>
      </c>
      <c r="J139" s="14" t="str">
        <f t="shared" si="10"/>
        <v/>
      </c>
      <c r="K139" s="14" t="str">
        <f t="shared" si="11"/>
        <v/>
      </c>
      <c r="L139" s="14">
        <f t="shared" si="8"/>
        <v>0</v>
      </c>
    </row>
    <row r="140" spans="1:12">
      <c r="A140" s="166"/>
      <c r="B140" s="185"/>
      <c r="C140" s="185"/>
      <c r="D140" s="185"/>
      <c r="E140" s="183"/>
      <c r="F140" s="236"/>
      <c r="G140" s="288"/>
      <c r="H140" s="186"/>
      <c r="I140" s="134" t="str">
        <f t="shared" si="9"/>
        <v/>
      </c>
      <c r="J140" s="14" t="str">
        <f t="shared" si="10"/>
        <v/>
      </c>
      <c r="K140" s="14" t="str">
        <f t="shared" si="11"/>
        <v/>
      </c>
      <c r="L140" s="14">
        <f t="shared" si="8"/>
        <v>0</v>
      </c>
    </row>
    <row r="141" spans="1:12">
      <c r="A141" s="166"/>
      <c r="B141" s="185"/>
      <c r="C141" s="185"/>
      <c r="D141" s="185"/>
      <c r="E141" s="183"/>
      <c r="F141" s="236"/>
      <c r="G141" s="288"/>
      <c r="H141" s="186"/>
      <c r="I141" s="134" t="str">
        <f t="shared" si="9"/>
        <v/>
      </c>
      <c r="J141" s="14" t="str">
        <f t="shared" si="10"/>
        <v/>
      </c>
      <c r="K141" s="14" t="str">
        <f t="shared" si="11"/>
        <v/>
      </c>
      <c r="L141" s="14">
        <f t="shared" si="8"/>
        <v>0</v>
      </c>
    </row>
    <row r="142" spans="1:12">
      <c r="A142" s="166"/>
      <c r="B142" s="185"/>
      <c r="C142" s="185"/>
      <c r="D142" s="185"/>
      <c r="E142" s="183"/>
      <c r="F142" s="236"/>
      <c r="G142" s="288"/>
      <c r="H142" s="186"/>
      <c r="I142" s="134" t="str">
        <f t="shared" si="9"/>
        <v/>
      </c>
      <c r="J142" s="14" t="str">
        <f t="shared" si="10"/>
        <v/>
      </c>
      <c r="K142" s="14" t="str">
        <f t="shared" si="11"/>
        <v/>
      </c>
      <c r="L142" s="14">
        <f t="shared" si="8"/>
        <v>0</v>
      </c>
    </row>
    <row r="143" spans="1:12">
      <c r="A143" s="166"/>
      <c r="B143" s="185"/>
      <c r="C143" s="185"/>
      <c r="D143" s="185"/>
      <c r="E143" s="183"/>
      <c r="F143" s="236"/>
      <c r="G143" s="288"/>
      <c r="H143" s="186"/>
      <c r="I143" s="134" t="str">
        <f t="shared" si="9"/>
        <v/>
      </c>
      <c r="J143" s="14" t="str">
        <f t="shared" si="10"/>
        <v/>
      </c>
      <c r="K143" s="14" t="str">
        <f t="shared" si="11"/>
        <v/>
      </c>
      <c r="L143" s="14">
        <f t="shared" si="8"/>
        <v>0</v>
      </c>
    </row>
    <row r="144" spans="1:12">
      <c r="A144" s="166"/>
      <c r="B144" s="185"/>
      <c r="C144" s="185"/>
      <c r="D144" s="185"/>
      <c r="E144" s="183"/>
      <c r="F144" s="236"/>
      <c r="G144" s="288"/>
      <c r="H144" s="186"/>
      <c r="I144" s="134" t="str">
        <f t="shared" si="9"/>
        <v/>
      </c>
      <c r="J144" s="14" t="str">
        <f t="shared" si="10"/>
        <v/>
      </c>
      <c r="K144" s="14" t="str">
        <f t="shared" si="11"/>
        <v/>
      </c>
      <c r="L144" s="14">
        <f t="shared" si="8"/>
        <v>0</v>
      </c>
    </row>
    <row r="145" spans="1:12">
      <c r="A145" s="166"/>
      <c r="B145" s="185"/>
      <c r="C145" s="185"/>
      <c r="D145" s="185"/>
      <c r="E145" s="183"/>
      <c r="F145" s="236"/>
      <c r="G145" s="288"/>
      <c r="H145" s="186"/>
      <c r="I145" s="134" t="str">
        <f t="shared" si="9"/>
        <v/>
      </c>
      <c r="J145" s="14" t="str">
        <f t="shared" si="10"/>
        <v/>
      </c>
      <c r="K145" s="14" t="str">
        <f t="shared" si="11"/>
        <v/>
      </c>
      <c r="L145" s="14">
        <f t="shared" si="8"/>
        <v>0</v>
      </c>
    </row>
    <row r="146" spans="1:12">
      <c r="A146" s="166"/>
      <c r="B146" s="185"/>
      <c r="C146" s="185"/>
      <c r="D146" s="185"/>
      <c r="E146" s="183"/>
      <c r="F146" s="236"/>
      <c r="G146" s="288"/>
      <c r="H146" s="186"/>
      <c r="I146" s="134" t="str">
        <f t="shared" si="9"/>
        <v/>
      </c>
      <c r="J146" s="14" t="str">
        <f t="shared" si="10"/>
        <v/>
      </c>
      <c r="K146" s="14" t="str">
        <f t="shared" si="11"/>
        <v/>
      </c>
      <c r="L146" s="14">
        <f t="shared" si="8"/>
        <v>0</v>
      </c>
    </row>
    <row r="147" spans="1:12">
      <c r="A147" s="166"/>
      <c r="B147" s="185"/>
      <c r="C147" s="185"/>
      <c r="D147" s="185"/>
      <c r="E147" s="183"/>
      <c r="F147" s="236"/>
      <c r="G147" s="288"/>
      <c r="H147" s="186"/>
      <c r="I147" s="134" t="str">
        <f t="shared" si="9"/>
        <v/>
      </c>
      <c r="J147" s="14" t="str">
        <f t="shared" si="10"/>
        <v/>
      </c>
      <c r="K147" s="14" t="str">
        <f t="shared" si="11"/>
        <v/>
      </c>
      <c r="L147" s="14">
        <f t="shared" si="8"/>
        <v>0</v>
      </c>
    </row>
    <row r="148" spans="1:12">
      <c r="A148" s="166"/>
      <c r="B148" s="185"/>
      <c r="C148" s="185"/>
      <c r="D148" s="185"/>
      <c r="E148" s="183"/>
      <c r="F148" s="236"/>
      <c r="G148" s="288"/>
      <c r="H148" s="186"/>
      <c r="I148" s="134" t="str">
        <f t="shared" si="9"/>
        <v/>
      </c>
      <c r="J148" s="14" t="str">
        <f t="shared" si="10"/>
        <v/>
      </c>
      <c r="K148" s="14" t="str">
        <f t="shared" si="11"/>
        <v/>
      </c>
      <c r="L148" s="14">
        <f t="shared" si="8"/>
        <v>0</v>
      </c>
    </row>
    <row r="149" spans="1:12">
      <c r="A149" s="166"/>
      <c r="B149" s="185"/>
      <c r="C149" s="185"/>
      <c r="D149" s="185"/>
      <c r="E149" s="183"/>
      <c r="F149" s="236"/>
      <c r="G149" s="288"/>
      <c r="H149" s="186"/>
      <c r="I149" s="134" t="str">
        <f t="shared" si="9"/>
        <v/>
      </c>
      <c r="J149" s="14" t="str">
        <f t="shared" si="10"/>
        <v/>
      </c>
      <c r="K149" s="14" t="str">
        <f t="shared" si="11"/>
        <v/>
      </c>
      <c r="L149" s="14">
        <f t="shared" si="8"/>
        <v>0</v>
      </c>
    </row>
    <row r="150" spans="1:12">
      <c r="A150" s="166"/>
      <c r="B150" s="185"/>
      <c r="C150" s="185"/>
      <c r="D150" s="185"/>
      <c r="E150" s="183"/>
      <c r="F150" s="236"/>
      <c r="G150" s="288"/>
      <c r="H150" s="186"/>
      <c r="I150" s="134" t="str">
        <f t="shared" si="9"/>
        <v/>
      </c>
      <c r="J150" s="14" t="str">
        <f t="shared" si="10"/>
        <v/>
      </c>
      <c r="K150" s="14" t="str">
        <f t="shared" si="11"/>
        <v/>
      </c>
      <c r="L150" s="14">
        <f t="shared" si="8"/>
        <v>0</v>
      </c>
    </row>
    <row r="151" spans="1:12">
      <c r="A151" s="166"/>
      <c r="B151" s="185"/>
      <c r="C151" s="185"/>
      <c r="D151" s="185"/>
      <c r="E151" s="183"/>
      <c r="F151" s="236"/>
      <c r="G151" s="288"/>
      <c r="H151" s="186"/>
      <c r="I151" s="134" t="str">
        <f t="shared" si="9"/>
        <v/>
      </c>
      <c r="J151" s="14" t="str">
        <f t="shared" si="10"/>
        <v/>
      </c>
      <c r="K151" s="14" t="str">
        <f t="shared" si="11"/>
        <v/>
      </c>
      <c r="L151" s="14">
        <f t="shared" si="8"/>
        <v>0</v>
      </c>
    </row>
    <row r="152" spans="1:12">
      <c r="A152" s="166"/>
      <c r="B152" s="185"/>
      <c r="C152" s="185"/>
      <c r="D152" s="185"/>
      <c r="E152" s="183"/>
      <c r="F152" s="236"/>
      <c r="G152" s="288"/>
      <c r="H152" s="186"/>
      <c r="I152" s="134" t="str">
        <f t="shared" si="9"/>
        <v/>
      </c>
      <c r="J152" s="14" t="str">
        <f t="shared" si="10"/>
        <v/>
      </c>
      <c r="K152" s="14" t="str">
        <f t="shared" si="11"/>
        <v/>
      </c>
      <c r="L152" s="14">
        <f t="shared" si="8"/>
        <v>0</v>
      </c>
    </row>
    <row r="153" spans="1:12">
      <c r="A153" s="166"/>
      <c r="B153" s="185"/>
      <c r="C153" s="185"/>
      <c r="D153" s="185"/>
      <c r="E153" s="183"/>
      <c r="F153" s="236"/>
      <c r="G153" s="288"/>
      <c r="H153" s="186"/>
      <c r="I153" s="134" t="str">
        <f t="shared" si="9"/>
        <v/>
      </c>
      <c r="J153" s="14" t="str">
        <f t="shared" si="10"/>
        <v/>
      </c>
      <c r="K153" s="14" t="str">
        <f t="shared" si="11"/>
        <v/>
      </c>
      <c r="L153" s="14">
        <f t="shared" si="8"/>
        <v>0</v>
      </c>
    </row>
    <row r="154" spans="1:12">
      <c r="A154" s="166"/>
      <c r="B154" s="185"/>
      <c r="C154" s="185"/>
      <c r="D154" s="185"/>
      <c r="E154" s="183"/>
      <c r="F154" s="236"/>
      <c r="G154" s="288"/>
      <c r="H154" s="186"/>
      <c r="I154" s="134" t="str">
        <f t="shared" si="9"/>
        <v/>
      </c>
      <c r="J154" s="14" t="str">
        <f t="shared" si="10"/>
        <v/>
      </c>
      <c r="K154" s="14" t="str">
        <f t="shared" si="11"/>
        <v/>
      </c>
      <c r="L154" s="14">
        <f t="shared" si="8"/>
        <v>0</v>
      </c>
    </row>
    <row r="155" spans="1:12">
      <c r="A155" s="166"/>
      <c r="B155" s="185"/>
      <c r="C155" s="185"/>
      <c r="D155" s="185"/>
      <c r="E155" s="183"/>
      <c r="F155" s="236"/>
      <c r="G155" s="288"/>
      <c r="H155" s="186"/>
      <c r="I155" s="134" t="str">
        <f t="shared" si="9"/>
        <v/>
      </c>
      <c r="J155" s="14" t="str">
        <f t="shared" si="10"/>
        <v/>
      </c>
      <c r="K155" s="14" t="str">
        <f t="shared" si="11"/>
        <v/>
      </c>
      <c r="L155" s="14">
        <f t="shared" si="8"/>
        <v>0</v>
      </c>
    </row>
    <row r="156" spans="1:12">
      <c r="A156" s="166"/>
      <c r="B156" s="185"/>
      <c r="C156" s="185"/>
      <c r="D156" s="185"/>
      <c r="E156" s="183"/>
      <c r="F156" s="236"/>
      <c r="G156" s="288"/>
      <c r="H156" s="186"/>
      <c r="I156" s="134" t="str">
        <f t="shared" si="9"/>
        <v/>
      </c>
      <c r="J156" s="14" t="str">
        <f t="shared" si="10"/>
        <v/>
      </c>
      <c r="K156" s="14" t="str">
        <f t="shared" si="11"/>
        <v/>
      </c>
      <c r="L156" s="14">
        <f t="shared" si="8"/>
        <v>0</v>
      </c>
    </row>
    <row r="157" spans="1:12">
      <c r="A157" s="166"/>
      <c r="B157" s="185"/>
      <c r="C157" s="185"/>
      <c r="D157" s="185"/>
      <c r="E157" s="183"/>
      <c r="F157" s="236"/>
      <c r="G157" s="288"/>
      <c r="H157" s="186"/>
      <c r="I157" s="134" t="str">
        <f t="shared" si="9"/>
        <v/>
      </c>
      <c r="J157" s="14" t="str">
        <f t="shared" si="10"/>
        <v/>
      </c>
      <c r="K157" s="14" t="str">
        <f t="shared" si="11"/>
        <v/>
      </c>
      <c r="L157" s="14">
        <f t="shared" si="8"/>
        <v>0</v>
      </c>
    </row>
    <row r="158" spans="1:12">
      <c r="A158" s="166"/>
      <c r="B158" s="185"/>
      <c r="C158" s="185"/>
      <c r="D158" s="185"/>
      <c r="E158" s="183"/>
      <c r="F158" s="236"/>
      <c r="G158" s="288"/>
      <c r="H158" s="186"/>
      <c r="I158" s="134" t="str">
        <f t="shared" si="9"/>
        <v/>
      </c>
      <c r="J158" s="14" t="str">
        <f t="shared" si="10"/>
        <v/>
      </c>
      <c r="K158" s="14" t="str">
        <f t="shared" si="11"/>
        <v/>
      </c>
      <c r="L158" s="14">
        <f t="shared" si="8"/>
        <v>0</v>
      </c>
    </row>
    <row r="159" spans="1:12">
      <c r="A159" s="166"/>
      <c r="B159" s="185"/>
      <c r="C159" s="185"/>
      <c r="D159" s="185"/>
      <c r="E159" s="183"/>
      <c r="F159" s="236"/>
      <c r="G159" s="288"/>
      <c r="H159" s="186"/>
      <c r="I159" s="134" t="str">
        <f t="shared" si="9"/>
        <v/>
      </c>
      <c r="J159" s="14" t="str">
        <f t="shared" si="10"/>
        <v/>
      </c>
      <c r="K159" s="14" t="str">
        <f t="shared" si="11"/>
        <v/>
      </c>
      <c r="L159" s="14">
        <f t="shared" si="8"/>
        <v>0</v>
      </c>
    </row>
    <row r="160" spans="1:12">
      <c r="A160" s="166"/>
      <c r="B160" s="185"/>
      <c r="C160" s="185"/>
      <c r="D160" s="185"/>
      <c r="E160" s="183"/>
      <c r="F160" s="236"/>
      <c r="G160" s="288"/>
      <c r="H160" s="186"/>
      <c r="I160" s="134" t="str">
        <f t="shared" si="9"/>
        <v/>
      </c>
      <c r="J160" s="14" t="str">
        <f t="shared" si="10"/>
        <v/>
      </c>
      <c r="K160" s="14" t="str">
        <f t="shared" si="11"/>
        <v/>
      </c>
      <c r="L160" s="14">
        <f t="shared" si="8"/>
        <v>0</v>
      </c>
    </row>
    <row r="161" spans="1:12">
      <c r="A161" s="166"/>
      <c r="B161" s="185"/>
      <c r="C161" s="185"/>
      <c r="D161" s="185"/>
      <c r="E161" s="183"/>
      <c r="F161" s="236"/>
      <c r="G161" s="288"/>
      <c r="H161" s="186"/>
      <c r="I161" s="134" t="str">
        <f t="shared" si="9"/>
        <v/>
      </c>
      <c r="J161" s="14" t="str">
        <f t="shared" si="10"/>
        <v/>
      </c>
      <c r="K161" s="14" t="str">
        <f t="shared" si="11"/>
        <v/>
      </c>
      <c r="L161" s="14">
        <f t="shared" si="8"/>
        <v>0</v>
      </c>
    </row>
    <row r="162" spans="1:12">
      <c r="A162" s="166"/>
      <c r="B162" s="185"/>
      <c r="C162" s="185"/>
      <c r="D162" s="185"/>
      <c r="E162" s="183"/>
      <c r="F162" s="236"/>
      <c r="G162" s="288"/>
      <c r="H162" s="186"/>
      <c r="I162" s="134" t="str">
        <f t="shared" si="9"/>
        <v/>
      </c>
      <c r="J162" s="14" t="str">
        <f t="shared" si="10"/>
        <v/>
      </c>
      <c r="K162" s="14" t="str">
        <f t="shared" si="11"/>
        <v/>
      </c>
      <c r="L162" s="14">
        <f t="shared" si="8"/>
        <v>0</v>
      </c>
    </row>
    <row r="163" spans="1:12">
      <c r="A163" s="166"/>
      <c r="B163" s="185"/>
      <c r="C163" s="185"/>
      <c r="D163" s="185"/>
      <c r="E163" s="183"/>
      <c r="F163" s="236"/>
      <c r="G163" s="288"/>
      <c r="H163" s="186"/>
      <c r="I163" s="134" t="str">
        <f t="shared" si="9"/>
        <v/>
      </c>
      <c r="J163" s="14" t="str">
        <f t="shared" si="10"/>
        <v/>
      </c>
      <c r="K163" s="14" t="str">
        <f t="shared" si="11"/>
        <v/>
      </c>
      <c r="L163" s="14">
        <f t="shared" si="8"/>
        <v>0</v>
      </c>
    </row>
    <row r="164" spans="1:12">
      <c r="A164" s="166"/>
      <c r="B164" s="185"/>
      <c r="C164" s="185"/>
      <c r="D164" s="185"/>
      <c r="E164" s="183"/>
      <c r="F164" s="236"/>
      <c r="G164" s="288"/>
      <c r="H164" s="186"/>
      <c r="I164" s="134" t="str">
        <f t="shared" si="9"/>
        <v/>
      </c>
      <c r="J164" s="14" t="str">
        <f t="shared" si="10"/>
        <v/>
      </c>
      <c r="K164" s="14" t="str">
        <f t="shared" si="11"/>
        <v/>
      </c>
      <c r="L164" s="14">
        <f t="shared" si="8"/>
        <v>0</v>
      </c>
    </row>
    <row r="165" spans="1:12">
      <c r="A165" s="166"/>
      <c r="B165" s="185"/>
      <c r="C165" s="185"/>
      <c r="D165" s="185"/>
      <c r="E165" s="183"/>
      <c r="F165" s="236"/>
      <c r="G165" s="288"/>
      <c r="H165" s="186"/>
      <c r="I165" s="134" t="str">
        <f t="shared" si="9"/>
        <v/>
      </c>
      <c r="J165" s="14" t="str">
        <f t="shared" si="10"/>
        <v/>
      </c>
      <c r="K165" s="14" t="str">
        <f t="shared" si="11"/>
        <v/>
      </c>
      <c r="L165" s="14">
        <f t="shared" si="8"/>
        <v>0</v>
      </c>
    </row>
    <row r="166" spans="1:12">
      <c r="A166" s="166"/>
      <c r="B166" s="185"/>
      <c r="C166" s="185"/>
      <c r="D166" s="185"/>
      <c r="E166" s="183"/>
      <c r="F166" s="236"/>
      <c r="G166" s="288"/>
      <c r="H166" s="186"/>
      <c r="I166" s="134" t="str">
        <f t="shared" si="9"/>
        <v/>
      </c>
      <c r="J166" s="14" t="str">
        <f t="shared" si="10"/>
        <v/>
      </c>
      <c r="K166" s="14" t="str">
        <f t="shared" si="11"/>
        <v/>
      </c>
      <c r="L166" s="14">
        <f t="shared" si="8"/>
        <v>0</v>
      </c>
    </row>
    <row r="167" spans="1:12">
      <c r="A167" s="166"/>
      <c r="B167" s="185"/>
      <c r="C167" s="185"/>
      <c r="D167" s="185"/>
      <c r="E167" s="183"/>
      <c r="F167" s="236"/>
      <c r="G167" s="288"/>
      <c r="H167" s="186"/>
      <c r="I167" s="134" t="str">
        <f t="shared" si="9"/>
        <v/>
      </c>
      <c r="J167" s="14" t="str">
        <f t="shared" si="10"/>
        <v/>
      </c>
      <c r="K167" s="14" t="str">
        <f t="shared" si="11"/>
        <v/>
      </c>
      <c r="L167" s="14">
        <f t="shared" si="8"/>
        <v>0</v>
      </c>
    </row>
    <row r="168" spans="1:12">
      <c r="A168" s="166"/>
      <c r="B168" s="185"/>
      <c r="C168" s="185"/>
      <c r="D168" s="185"/>
      <c r="E168" s="183"/>
      <c r="F168" s="236"/>
      <c r="G168" s="288"/>
      <c r="H168" s="186"/>
      <c r="I168" s="134" t="str">
        <f t="shared" si="9"/>
        <v/>
      </c>
      <c r="J168" s="14" t="str">
        <f t="shared" si="10"/>
        <v/>
      </c>
      <c r="K168" s="14" t="str">
        <f t="shared" si="11"/>
        <v/>
      </c>
      <c r="L168" s="14">
        <f t="shared" si="8"/>
        <v>0</v>
      </c>
    </row>
    <row r="169" spans="1:12">
      <c r="A169" s="166"/>
      <c r="B169" s="185"/>
      <c r="C169" s="185"/>
      <c r="D169" s="185"/>
      <c r="E169" s="183"/>
      <c r="F169" s="236"/>
      <c r="G169" s="288"/>
      <c r="H169" s="186"/>
      <c r="I169" s="134" t="str">
        <f t="shared" si="9"/>
        <v/>
      </c>
      <c r="J169" s="14" t="str">
        <f t="shared" si="10"/>
        <v/>
      </c>
      <c r="K169" s="14" t="str">
        <f t="shared" si="11"/>
        <v/>
      </c>
      <c r="L169" s="14">
        <f t="shared" si="8"/>
        <v>0</v>
      </c>
    </row>
    <row r="170" spans="1:12">
      <c r="A170" s="166"/>
      <c r="B170" s="185"/>
      <c r="C170" s="185"/>
      <c r="D170" s="185"/>
      <c r="E170" s="183"/>
      <c r="F170" s="236"/>
      <c r="G170" s="288"/>
      <c r="H170" s="186"/>
      <c r="I170" s="134" t="str">
        <f t="shared" si="9"/>
        <v/>
      </c>
      <c r="J170" s="14" t="str">
        <f t="shared" si="10"/>
        <v/>
      </c>
      <c r="K170" s="14" t="str">
        <f t="shared" si="11"/>
        <v/>
      </c>
      <c r="L170" s="14">
        <f t="shared" si="8"/>
        <v>0</v>
      </c>
    </row>
    <row r="171" spans="1:12">
      <c r="A171" s="166"/>
      <c r="B171" s="185"/>
      <c r="C171" s="185"/>
      <c r="D171" s="185"/>
      <c r="E171" s="183"/>
      <c r="F171" s="236"/>
      <c r="G171" s="288"/>
      <c r="H171" s="186"/>
      <c r="I171" s="134" t="str">
        <f t="shared" si="9"/>
        <v/>
      </c>
      <c r="J171" s="14" t="str">
        <f t="shared" si="10"/>
        <v/>
      </c>
      <c r="K171" s="14" t="str">
        <f t="shared" si="11"/>
        <v/>
      </c>
      <c r="L171" s="14">
        <f t="shared" si="8"/>
        <v>0</v>
      </c>
    </row>
    <row r="172" spans="1:12">
      <c r="A172" s="166"/>
      <c r="B172" s="185"/>
      <c r="C172" s="185"/>
      <c r="D172" s="185"/>
      <c r="E172" s="183"/>
      <c r="F172" s="236"/>
      <c r="G172" s="288"/>
      <c r="H172" s="186"/>
      <c r="I172" s="134" t="str">
        <f t="shared" si="9"/>
        <v/>
      </c>
      <c r="J172" s="14" t="str">
        <f t="shared" si="10"/>
        <v/>
      </c>
      <c r="K172" s="14" t="str">
        <f t="shared" si="11"/>
        <v/>
      </c>
      <c r="L172" s="14">
        <f t="shared" si="8"/>
        <v>0</v>
      </c>
    </row>
    <row r="173" spans="1:12">
      <c r="A173" s="166"/>
      <c r="B173" s="185"/>
      <c r="C173" s="185"/>
      <c r="D173" s="185"/>
      <c r="E173" s="183"/>
      <c r="F173" s="236"/>
      <c r="G173" s="288"/>
      <c r="H173" s="186"/>
      <c r="I173" s="134" t="str">
        <f t="shared" si="9"/>
        <v/>
      </c>
      <c r="J173" s="14" t="str">
        <f t="shared" si="10"/>
        <v/>
      </c>
      <c r="K173" s="14" t="str">
        <f t="shared" si="11"/>
        <v/>
      </c>
      <c r="L173" s="14">
        <f t="shared" si="8"/>
        <v>0</v>
      </c>
    </row>
    <row r="174" spans="1:12">
      <c r="A174" s="166"/>
      <c r="B174" s="185"/>
      <c r="C174" s="185"/>
      <c r="D174" s="185"/>
      <c r="E174" s="183"/>
      <c r="F174" s="236"/>
      <c r="G174" s="288"/>
      <c r="H174" s="186"/>
      <c r="I174" s="134" t="str">
        <f t="shared" si="9"/>
        <v/>
      </c>
      <c r="J174" s="14" t="str">
        <f t="shared" si="10"/>
        <v/>
      </c>
      <c r="K174" s="14" t="str">
        <f t="shared" si="11"/>
        <v/>
      </c>
      <c r="L174" s="14">
        <f t="shared" si="8"/>
        <v>0</v>
      </c>
    </row>
    <row r="175" spans="1:12">
      <c r="A175" s="166"/>
      <c r="B175" s="185"/>
      <c r="C175" s="185"/>
      <c r="D175" s="185"/>
      <c r="E175" s="183"/>
      <c r="F175" s="236"/>
      <c r="G175" s="288"/>
      <c r="H175" s="186"/>
      <c r="I175" s="134" t="str">
        <f t="shared" si="9"/>
        <v/>
      </c>
      <c r="J175" s="14" t="str">
        <f t="shared" si="10"/>
        <v/>
      </c>
      <c r="K175" s="14" t="str">
        <f t="shared" si="11"/>
        <v/>
      </c>
      <c r="L175" s="14">
        <f t="shared" si="8"/>
        <v>0</v>
      </c>
    </row>
    <row r="176" spans="1:12">
      <c r="A176" s="166"/>
      <c r="B176" s="185"/>
      <c r="C176" s="185"/>
      <c r="D176" s="185"/>
      <c r="E176" s="183"/>
      <c r="F176" s="236"/>
      <c r="G176" s="288"/>
      <c r="H176" s="186"/>
      <c r="I176" s="134" t="str">
        <f t="shared" si="9"/>
        <v/>
      </c>
      <c r="J176" s="14" t="str">
        <f t="shared" si="10"/>
        <v/>
      </c>
      <c r="K176" s="14" t="str">
        <f t="shared" si="11"/>
        <v/>
      </c>
      <c r="L176" s="14">
        <f t="shared" si="8"/>
        <v>0</v>
      </c>
    </row>
    <row r="177" spans="1:12">
      <c r="A177" s="166"/>
      <c r="B177" s="185"/>
      <c r="C177" s="185"/>
      <c r="D177" s="185"/>
      <c r="E177" s="183"/>
      <c r="F177" s="236"/>
      <c r="G177" s="288"/>
      <c r="H177" s="186"/>
      <c r="I177" s="134" t="str">
        <f t="shared" si="9"/>
        <v/>
      </c>
      <c r="J177" s="14" t="str">
        <f t="shared" si="10"/>
        <v/>
      </c>
      <c r="K177" s="14" t="str">
        <f t="shared" si="11"/>
        <v/>
      </c>
      <c r="L177" s="14">
        <f t="shared" si="8"/>
        <v>0</v>
      </c>
    </row>
    <row r="178" spans="1:12">
      <c r="A178" s="166"/>
      <c r="B178" s="185"/>
      <c r="C178" s="185"/>
      <c r="D178" s="185"/>
      <c r="E178" s="183"/>
      <c r="F178" s="236"/>
      <c r="G178" s="288"/>
      <c r="H178" s="186"/>
      <c r="I178" s="134" t="str">
        <f t="shared" si="9"/>
        <v/>
      </c>
      <c r="J178" s="14" t="str">
        <f t="shared" si="10"/>
        <v/>
      </c>
      <c r="K178" s="14" t="str">
        <f t="shared" si="11"/>
        <v/>
      </c>
      <c r="L178" s="14">
        <f t="shared" si="8"/>
        <v>0</v>
      </c>
    </row>
    <row r="179" spans="1:12">
      <c r="A179" s="166"/>
      <c r="B179" s="185"/>
      <c r="C179" s="185"/>
      <c r="D179" s="185"/>
      <c r="E179" s="183"/>
      <c r="F179" s="236"/>
      <c r="G179" s="288"/>
      <c r="H179" s="186"/>
      <c r="I179" s="134" t="str">
        <f t="shared" si="9"/>
        <v/>
      </c>
      <c r="J179" s="14" t="str">
        <f t="shared" si="10"/>
        <v/>
      </c>
      <c r="K179" s="14" t="str">
        <f t="shared" si="11"/>
        <v/>
      </c>
      <c r="L179" s="14">
        <f t="shared" si="8"/>
        <v>0</v>
      </c>
    </row>
    <row r="180" spans="1:12">
      <c r="A180" s="166"/>
      <c r="B180" s="185"/>
      <c r="C180" s="185"/>
      <c r="D180" s="185"/>
      <c r="E180" s="183"/>
      <c r="F180" s="236"/>
      <c r="G180" s="288"/>
      <c r="H180" s="186"/>
      <c r="I180" s="134" t="str">
        <f t="shared" si="9"/>
        <v/>
      </c>
      <c r="J180" s="14" t="str">
        <f t="shared" si="10"/>
        <v/>
      </c>
      <c r="K180" s="14" t="str">
        <f t="shared" si="11"/>
        <v/>
      </c>
      <c r="L180" s="14">
        <f t="shared" si="8"/>
        <v>0</v>
      </c>
    </row>
    <row r="181" spans="1:12">
      <c r="A181" s="166"/>
      <c r="B181" s="185"/>
      <c r="C181" s="185"/>
      <c r="D181" s="185"/>
      <c r="E181" s="183"/>
      <c r="F181" s="236"/>
      <c r="G181" s="288"/>
      <c r="H181" s="186"/>
      <c r="I181" s="134" t="str">
        <f t="shared" si="9"/>
        <v/>
      </c>
      <c r="J181" s="14" t="str">
        <f t="shared" si="10"/>
        <v/>
      </c>
      <c r="K181" s="14" t="str">
        <f t="shared" si="11"/>
        <v/>
      </c>
      <c r="L181" s="14">
        <f t="shared" si="8"/>
        <v>0</v>
      </c>
    </row>
    <row r="182" spans="1:12">
      <c r="A182" s="166"/>
      <c r="B182" s="185"/>
      <c r="C182" s="185"/>
      <c r="D182" s="185"/>
      <c r="E182" s="183"/>
      <c r="F182" s="236"/>
      <c r="G182" s="288"/>
      <c r="H182" s="186"/>
      <c r="I182" s="134" t="str">
        <f t="shared" si="9"/>
        <v/>
      </c>
      <c r="J182" s="14" t="str">
        <f t="shared" si="10"/>
        <v/>
      </c>
      <c r="K182" s="14" t="str">
        <f t="shared" si="11"/>
        <v/>
      </c>
      <c r="L182" s="14">
        <f t="shared" si="8"/>
        <v>0</v>
      </c>
    </row>
    <row r="183" spans="1:12">
      <c r="A183" s="166"/>
      <c r="B183" s="185"/>
      <c r="C183" s="185"/>
      <c r="D183" s="185"/>
      <c r="E183" s="183"/>
      <c r="F183" s="236"/>
      <c r="G183" s="288"/>
      <c r="H183" s="186"/>
      <c r="I183" s="134" t="str">
        <f t="shared" si="9"/>
        <v/>
      </c>
      <c r="J183" s="14" t="str">
        <f t="shared" si="10"/>
        <v/>
      </c>
      <c r="K183" s="14" t="str">
        <f t="shared" si="11"/>
        <v/>
      </c>
      <c r="L183" s="14">
        <f t="shared" si="8"/>
        <v>0</v>
      </c>
    </row>
    <row r="184" spans="1:12">
      <c r="A184" s="166"/>
      <c r="B184" s="185"/>
      <c r="C184" s="185"/>
      <c r="D184" s="185"/>
      <c r="E184" s="183"/>
      <c r="F184" s="236"/>
      <c r="G184" s="288"/>
      <c r="H184" s="186"/>
      <c r="I184" s="134" t="str">
        <f t="shared" si="9"/>
        <v/>
      </c>
      <c r="J184" s="14" t="str">
        <f t="shared" si="10"/>
        <v/>
      </c>
      <c r="K184" s="14" t="str">
        <f t="shared" si="11"/>
        <v/>
      </c>
      <c r="L184" s="14">
        <f t="shared" si="8"/>
        <v>0</v>
      </c>
    </row>
    <row r="185" spans="1:12">
      <c r="A185" s="166"/>
      <c r="B185" s="185"/>
      <c r="C185" s="185"/>
      <c r="D185" s="185"/>
      <c r="E185" s="183"/>
      <c r="F185" s="236"/>
      <c r="G185" s="288"/>
      <c r="H185" s="186"/>
      <c r="I185" s="134" t="str">
        <f t="shared" si="9"/>
        <v/>
      </c>
      <c r="J185" s="14" t="str">
        <f t="shared" si="10"/>
        <v/>
      </c>
      <c r="K185" s="14" t="str">
        <f t="shared" si="11"/>
        <v/>
      </c>
      <c r="L185" s="14">
        <f t="shared" si="8"/>
        <v>0</v>
      </c>
    </row>
    <row r="186" spans="1:12">
      <c r="A186" s="166"/>
      <c r="B186" s="185"/>
      <c r="C186" s="185"/>
      <c r="D186" s="185"/>
      <c r="E186" s="183"/>
      <c r="F186" s="236"/>
      <c r="G186" s="288"/>
      <c r="H186" s="186"/>
      <c r="I186" s="134" t="str">
        <f t="shared" si="9"/>
        <v/>
      </c>
      <c r="J186" s="14" t="str">
        <f t="shared" si="10"/>
        <v/>
      </c>
      <c r="K186" s="14" t="str">
        <f t="shared" si="11"/>
        <v/>
      </c>
      <c r="L186" s="14">
        <f t="shared" si="8"/>
        <v>0</v>
      </c>
    </row>
    <row r="187" spans="1:12">
      <c r="A187" s="166"/>
      <c r="B187" s="185"/>
      <c r="C187" s="185"/>
      <c r="D187" s="185"/>
      <c r="E187" s="183"/>
      <c r="F187" s="236"/>
      <c r="G187" s="288"/>
      <c r="H187" s="186"/>
      <c r="I187" s="134" t="str">
        <f t="shared" si="9"/>
        <v/>
      </c>
      <c r="J187" s="14" t="str">
        <f t="shared" si="10"/>
        <v/>
      </c>
      <c r="K187" s="14" t="str">
        <f t="shared" si="11"/>
        <v/>
      </c>
      <c r="L187" s="14">
        <f t="shared" si="8"/>
        <v>0</v>
      </c>
    </row>
    <row r="188" spans="1:12">
      <c r="A188" s="166"/>
      <c r="B188" s="185"/>
      <c r="C188" s="185"/>
      <c r="D188" s="185"/>
      <c r="E188" s="183"/>
      <c r="F188" s="236"/>
      <c r="G188" s="288"/>
      <c r="H188" s="186"/>
      <c r="I188" s="134" t="str">
        <f t="shared" si="9"/>
        <v/>
      </c>
      <c r="J188" s="14" t="str">
        <f t="shared" si="10"/>
        <v/>
      </c>
      <c r="K188" s="14" t="str">
        <f t="shared" si="11"/>
        <v/>
      </c>
      <c r="L188" s="14">
        <f t="shared" si="8"/>
        <v>0</v>
      </c>
    </row>
    <row r="189" spans="1:12">
      <c r="A189" s="166"/>
      <c r="B189" s="185"/>
      <c r="C189" s="185"/>
      <c r="D189" s="185"/>
      <c r="E189" s="183"/>
      <c r="F189" s="236"/>
      <c r="G189" s="288"/>
      <c r="H189" s="186"/>
      <c r="I189" s="134" t="str">
        <f t="shared" si="9"/>
        <v/>
      </c>
      <c r="J189" s="14" t="str">
        <f t="shared" si="10"/>
        <v/>
      </c>
      <c r="K189" s="14" t="str">
        <f t="shared" si="11"/>
        <v/>
      </c>
      <c r="L189" s="14">
        <f t="shared" si="8"/>
        <v>0</v>
      </c>
    </row>
    <row r="190" spans="1:12">
      <c r="A190" s="166"/>
      <c r="B190" s="185"/>
      <c r="C190" s="185"/>
      <c r="D190" s="185"/>
      <c r="E190" s="183"/>
      <c r="F190" s="236"/>
      <c r="G190" s="288"/>
      <c r="H190" s="186"/>
      <c r="I190" s="134" t="str">
        <f t="shared" si="9"/>
        <v/>
      </c>
      <c r="J190" s="14" t="str">
        <f t="shared" si="10"/>
        <v/>
      </c>
      <c r="K190" s="14" t="str">
        <f t="shared" si="11"/>
        <v/>
      </c>
      <c r="L190" s="14">
        <f t="shared" si="8"/>
        <v>0</v>
      </c>
    </row>
    <row r="191" spans="1:12">
      <c r="A191" s="166"/>
      <c r="B191" s="185"/>
      <c r="C191" s="185"/>
      <c r="D191" s="185"/>
      <c r="E191" s="183"/>
      <c r="F191" s="236"/>
      <c r="G191" s="288"/>
      <c r="H191" s="186"/>
      <c r="I191" s="134" t="str">
        <f t="shared" si="9"/>
        <v/>
      </c>
      <c r="J191" s="14" t="str">
        <f t="shared" si="10"/>
        <v/>
      </c>
      <c r="K191" s="14" t="str">
        <f t="shared" si="11"/>
        <v/>
      </c>
      <c r="L191" s="14">
        <f t="shared" si="8"/>
        <v>0</v>
      </c>
    </row>
    <row r="192" spans="1:12">
      <c r="A192" s="166"/>
      <c r="B192" s="185"/>
      <c r="C192" s="185"/>
      <c r="D192" s="185"/>
      <c r="E192" s="183"/>
      <c r="F192" s="236"/>
      <c r="G192" s="288"/>
      <c r="H192" s="186"/>
      <c r="I192" s="134" t="str">
        <f t="shared" si="9"/>
        <v/>
      </c>
      <c r="J192" s="14" t="str">
        <f t="shared" si="10"/>
        <v/>
      </c>
      <c r="K192" s="14" t="str">
        <f t="shared" si="11"/>
        <v/>
      </c>
      <c r="L192" s="14">
        <f t="shared" si="8"/>
        <v>0</v>
      </c>
    </row>
    <row r="193" spans="1:12">
      <c r="A193" s="166"/>
      <c r="B193" s="185"/>
      <c r="C193" s="185"/>
      <c r="D193" s="185"/>
      <c r="E193" s="183"/>
      <c r="F193" s="236"/>
      <c r="G193" s="288"/>
      <c r="H193" s="186"/>
      <c r="I193" s="134" t="str">
        <f t="shared" si="9"/>
        <v/>
      </c>
      <c r="J193" s="14" t="str">
        <f t="shared" si="10"/>
        <v/>
      </c>
      <c r="K193" s="14" t="str">
        <f t="shared" si="11"/>
        <v/>
      </c>
      <c r="L193" s="14">
        <f t="shared" si="8"/>
        <v>0</v>
      </c>
    </row>
    <row r="194" spans="1:12">
      <c r="A194" s="166"/>
      <c r="B194" s="185"/>
      <c r="C194" s="185"/>
      <c r="D194" s="185"/>
      <c r="E194" s="183"/>
      <c r="F194" s="236"/>
      <c r="G194" s="288"/>
      <c r="H194" s="186"/>
      <c r="I194" s="134" t="str">
        <f t="shared" si="9"/>
        <v/>
      </c>
      <c r="J194" s="14" t="str">
        <f t="shared" si="10"/>
        <v/>
      </c>
      <c r="K194" s="14" t="str">
        <f t="shared" si="11"/>
        <v/>
      </c>
      <c r="L194" s="14">
        <f t="shared" si="8"/>
        <v>0</v>
      </c>
    </row>
    <row r="195" spans="1:12">
      <c r="A195" s="166"/>
      <c r="B195" s="185"/>
      <c r="C195" s="185"/>
      <c r="D195" s="185"/>
      <c r="E195" s="183"/>
      <c r="F195" s="236"/>
      <c r="G195" s="288"/>
      <c r="H195" s="186"/>
      <c r="I195" s="134" t="str">
        <f t="shared" si="9"/>
        <v/>
      </c>
      <c r="J195" s="14" t="str">
        <f t="shared" si="10"/>
        <v/>
      </c>
      <c r="K195" s="14" t="str">
        <f t="shared" si="11"/>
        <v/>
      </c>
      <c r="L195" s="14">
        <f t="shared" si="8"/>
        <v>0</v>
      </c>
    </row>
    <row r="196" spans="1:12">
      <c r="A196" s="166"/>
      <c r="B196" s="185"/>
      <c r="C196" s="185"/>
      <c r="D196" s="185"/>
      <c r="E196" s="183"/>
      <c r="F196" s="236"/>
      <c r="G196" s="288"/>
      <c r="H196" s="186"/>
      <c r="I196" s="134" t="str">
        <f t="shared" si="9"/>
        <v/>
      </c>
      <c r="J196" s="14" t="str">
        <f t="shared" si="10"/>
        <v/>
      </c>
      <c r="K196" s="14" t="str">
        <f t="shared" si="11"/>
        <v/>
      </c>
      <c r="L196" s="14">
        <f t="shared" si="8"/>
        <v>0</v>
      </c>
    </row>
    <row r="197" spans="1:12">
      <c r="A197" s="166"/>
      <c r="B197" s="185"/>
      <c r="C197" s="185"/>
      <c r="D197" s="185"/>
      <c r="E197" s="183"/>
      <c r="F197" s="236"/>
      <c r="G197" s="288"/>
      <c r="H197" s="186"/>
      <c r="I197" s="134" t="str">
        <f t="shared" si="9"/>
        <v/>
      </c>
      <c r="J197" s="14" t="str">
        <f t="shared" si="10"/>
        <v/>
      </c>
      <c r="K197" s="14" t="str">
        <f t="shared" si="11"/>
        <v/>
      </c>
      <c r="L197" s="14">
        <f t="shared" si="8"/>
        <v>0</v>
      </c>
    </row>
    <row r="198" spans="1:12">
      <c r="A198" s="166"/>
      <c r="B198" s="185"/>
      <c r="C198" s="185"/>
      <c r="D198" s="185"/>
      <c r="E198" s="183"/>
      <c r="F198" s="236"/>
      <c r="G198" s="288"/>
      <c r="H198" s="186"/>
      <c r="I198" s="134" t="str">
        <f t="shared" si="9"/>
        <v/>
      </c>
      <c r="J198" s="14" t="str">
        <f t="shared" si="10"/>
        <v/>
      </c>
      <c r="K198" s="14" t="str">
        <f t="shared" si="11"/>
        <v/>
      </c>
      <c r="L198" s="14">
        <f t="shared" si="8"/>
        <v>0</v>
      </c>
    </row>
    <row r="199" spans="1:12">
      <c r="A199" s="166"/>
      <c r="B199" s="185"/>
      <c r="C199" s="185"/>
      <c r="D199" s="185"/>
      <c r="E199" s="183"/>
      <c r="F199" s="236"/>
      <c r="G199" s="288"/>
      <c r="H199" s="186"/>
      <c r="I199" s="134" t="str">
        <f t="shared" si="9"/>
        <v/>
      </c>
      <c r="J199" s="14" t="str">
        <f t="shared" si="10"/>
        <v/>
      </c>
      <c r="K199" s="14" t="str">
        <f t="shared" si="11"/>
        <v/>
      </c>
      <c r="L199" s="14">
        <f t="shared" si="8"/>
        <v>0</v>
      </c>
    </row>
    <row r="200" spans="1:12">
      <c r="A200" s="189"/>
      <c r="B200" s="185"/>
      <c r="C200" s="185"/>
      <c r="D200" s="185"/>
      <c r="E200" s="183"/>
      <c r="F200" s="236"/>
      <c r="G200" s="288"/>
      <c r="H200" s="186"/>
      <c r="I200" s="134" t="str">
        <f t="shared" si="9"/>
        <v/>
      </c>
      <c r="J200" s="14" t="str">
        <f t="shared" si="10"/>
        <v/>
      </c>
      <c r="K200" s="14" t="str">
        <f t="shared" si="11"/>
        <v/>
      </c>
      <c r="L200" s="14">
        <f t="shared" ref="L200:L263" si="12">E200*A200</f>
        <v>0</v>
      </c>
    </row>
    <row r="201" spans="1:12">
      <c r="A201" s="190"/>
      <c r="B201" s="185"/>
      <c r="C201" s="185"/>
      <c r="D201" s="185"/>
      <c r="E201" s="183"/>
      <c r="F201" s="236"/>
      <c r="G201" s="288"/>
      <c r="H201" s="185"/>
      <c r="I201" s="134" t="str">
        <f t="shared" ref="I201:I264" si="13">RIGHT($B201,3)</f>
        <v/>
      </c>
      <c r="J201" s="14" t="str">
        <f t="shared" ref="J201:J264" si="14">LEFT($C201,2)</f>
        <v/>
      </c>
      <c r="K201" s="14" t="str">
        <f t="shared" ref="K201:K264" si="15">RIGHT($D201,6)</f>
        <v/>
      </c>
      <c r="L201" s="14">
        <f t="shared" si="12"/>
        <v>0</v>
      </c>
    </row>
    <row r="202" spans="1:12">
      <c r="A202" s="190"/>
      <c r="B202" s="234"/>
      <c r="C202" s="234"/>
      <c r="D202" s="234"/>
      <c r="E202" s="235"/>
      <c r="F202" s="236"/>
      <c r="G202" s="288"/>
      <c r="H202" s="234"/>
      <c r="I202" s="134" t="str">
        <f t="shared" si="13"/>
        <v/>
      </c>
      <c r="J202" s="14" t="str">
        <f t="shared" si="14"/>
        <v/>
      </c>
      <c r="K202" s="14" t="str">
        <f t="shared" si="15"/>
        <v/>
      </c>
      <c r="L202" s="14">
        <f t="shared" si="12"/>
        <v>0</v>
      </c>
    </row>
    <row r="203" spans="1:12">
      <c r="A203" s="190"/>
      <c r="B203" s="234"/>
      <c r="C203" s="234"/>
      <c r="D203" s="234"/>
      <c r="E203" s="235"/>
      <c r="F203" s="236"/>
      <c r="G203" s="288"/>
      <c r="H203" s="234"/>
      <c r="I203" s="134" t="str">
        <f t="shared" si="13"/>
        <v/>
      </c>
      <c r="J203" s="14" t="str">
        <f t="shared" si="14"/>
        <v/>
      </c>
      <c r="K203" s="14" t="str">
        <f t="shared" si="15"/>
        <v/>
      </c>
      <c r="L203" s="14">
        <f t="shared" si="12"/>
        <v>0</v>
      </c>
    </row>
    <row r="204" spans="1:12">
      <c r="A204" s="190"/>
      <c r="B204" s="234"/>
      <c r="C204" s="234"/>
      <c r="D204" s="234"/>
      <c r="E204" s="235"/>
      <c r="F204" s="236"/>
      <c r="G204" s="288"/>
      <c r="H204" s="234"/>
      <c r="I204" s="134" t="str">
        <f t="shared" si="13"/>
        <v/>
      </c>
      <c r="J204" s="14" t="str">
        <f t="shared" si="14"/>
        <v/>
      </c>
      <c r="K204" s="14" t="str">
        <f t="shared" si="15"/>
        <v/>
      </c>
      <c r="L204" s="14">
        <f t="shared" si="12"/>
        <v>0</v>
      </c>
    </row>
    <row r="205" spans="1:12">
      <c r="A205" s="190"/>
      <c r="B205" s="234"/>
      <c r="C205" s="234"/>
      <c r="D205" s="234"/>
      <c r="E205" s="235"/>
      <c r="F205" s="236"/>
      <c r="G205" s="288"/>
      <c r="H205" s="234"/>
      <c r="I205" s="134" t="str">
        <f t="shared" si="13"/>
        <v/>
      </c>
      <c r="J205" s="14" t="str">
        <f t="shared" si="14"/>
        <v/>
      </c>
      <c r="K205" s="14" t="str">
        <f t="shared" si="15"/>
        <v/>
      </c>
      <c r="L205" s="14">
        <f t="shared" si="12"/>
        <v>0</v>
      </c>
    </row>
    <row r="206" spans="1:12">
      <c r="A206" s="190"/>
      <c r="B206" s="234"/>
      <c r="C206" s="234"/>
      <c r="D206" s="234"/>
      <c r="E206" s="235"/>
      <c r="F206" s="236"/>
      <c r="G206" s="288"/>
      <c r="H206" s="234"/>
      <c r="I206" s="134" t="str">
        <f t="shared" si="13"/>
        <v/>
      </c>
      <c r="J206" s="14" t="str">
        <f t="shared" si="14"/>
        <v/>
      </c>
      <c r="K206" s="14" t="str">
        <f t="shared" si="15"/>
        <v/>
      </c>
      <c r="L206" s="14">
        <f t="shared" si="12"/>
        <v>0</v>
      </c>
    </row>
    <row r="207" spans="1:12">
      <c r="A207" s="190"/>
      <c r="B207" s="234"/>
      <c r="C207" s="234"/>
      <c r="D207" s="234"/>
      <c r="E207" s="235"/>
      <c r="F207" s="236"/>
      <c r="G207" s="288"/>
      <c r="H207" s="234"/>
      <c r="I207" s="134" t="str">
        <f t="shared" si="13"/>
        <v/>
      </c>
      <c r="J207" s="14" t="str">
        <f t="shared" si="14"/>
        <v/>
      </c>
      <c r="K207" s="14" t="str">
        <f t="shared" si="15"/>
        <v/>
      </c>
      <c r="L207" s="14">
        <f t="shared" si="12"/>
        <v>0</v>
      </c>
    </row>
    <row r="208" spans="1:12">
      <c r="A208" s="190"/>
      <c r="B208" s="234"/>
      <c r="C208" s="234"/>
      <c r="D208" s="234"/>
      <c r="E208" s="235"/>
      <c r="F208" s="236"/>
      <c r="G208" s="288"/>
      <c r="H208" s="234"/>
      <c r="I208" s="134" t="str">
        <f t="shared" si="13"/>
        <v/>
      </c>
      <c r="J208" s="14" t="str">
        <f t="shared" si="14"/>
        <v/>
      </c>
      <c r="K208" s="14" t="str">
        <f t="shared" si="15"/>
        <v/>
      </c>
      <c r="L208" s="14">
        <f t="shared" si="12"/>
        <v>0</v>
      </c>
    </row>
    <row r="209" spans="1:12">
      <c r="A209" s="190"/>
      <c r="B209" s="234"/>
      <c r="C209" s="234"/>
      <c r="D209" s="234"/>
      <c r="E209" s="235"/>
      <c r="F209" s="236"/>
      <c r="G209" s="288"/>
      <c r="H209" s="234"/>
      <c r="I209" s="134" t="str">
        <f t="shared" si="13"/>
        <v/>
      </c>
      <c r="J209" s="14" t="str">
        <f t="shared" si="14"/>
        <v/>
      </c>
      <c r="K209" s="14" t="str">
        <f t="shared" si="15"/>
        <v/>
      </c>
      <c r="L209" s="14">
        <f t="shared" si="12"/>
        <v>0</v>
      </c>
    </row>
    <row r="210" spans="1:12">
      <c r="A210" s="190"/>
      <c r="B210" s="234"/>
      <c r="C210" s="234"/>
      <c r="D210" s="234"/>
      <c r="E210" s="235"/>
      <c r="F210" s="236"/>
      <c r="G210" s="288"/>
      <c r="H210" s="234"/>
      <c r="I210" s="134" t="str">
        <f t="shared" si="13"/>
        <v/>
      </c>
      <c r="J210" s="14" t="str">
        <f t="shared" si="14"/>
        <v/>
      </c>
      <c r="K210" s="14" t="str">
        <f t="shared" si="15"/>
        <v/>
      </c>
      <c r="L210" s="14">
        <f t="shared" si="12"/>
        <v>0</v>
      </c>
    </row>
    <row r="211" spans="1:12">
      <c r="A211" s="190"/>
      <c r="B211" s="234"/>
      <c r="C211" s="234"/>
      <c r="D211" s="234"/>
      <c r="E211" s="235"/>
      <c r="F211" s="236"/>
      <c r="G211" s="288"/>
      <c r="H211" s="234"/>
      <c r="I211" s="134" t="str">
        <f t="shared" si="13"/>
        <v/>
      </c>
      <c r="J211" s="14" t="str">
        <f t="shared" si="14"/>
        <v/>
      </c>
      <c r="K211" s="14" t="str">
        <f t="shared" si="15"/>
        <v/>
      </c>
      <c r="L211" s="14">
        <f t="shared" si="12"/>
        <v>0</v>
      </c>
    </row>
    <row r="212" spans="1:12">
      <c r="A212" s="190"/>
      <c r="B212" s="234"/>
      <c r="C212" s="234"/>
      <c r="D212" s="234"/>
      <c r="E212" s="235"/>
      <c r="F212" s="236"/>
      <c r="G212" s="288"/>
      <c r="H212" s="234"/>
      <c r="I212" s="134" t="str">
        <f t="shared" si="13"/>
        <v/>
      </c>
      <c r="J212" s="14" t="str">
        <f t="shared" si="14"/>
        <v/>
      </c>
      <c r="K212" s="14" t="str">
        <f t="shared" si="15"/>
        <v/>
      </c>
      <c r="L212" s="14">
        <f t="shared" si="12"/>
        <v>0</v>
      </c>
    </row>
    <row r="213" spans="1:12">
      <c r="A213" s="190"/>
      <c r="B213" s="234"/>
      <c r="C213" s="234"/>
      <c r="D213" s="234"/>
      <c r="E213" s="235"/>
      <c r="F213" s="236"/>
      <c r="G213" s="288"/>
      <c r="H213" s="234"/>
      <c r="I213" s="134" t="str">
        <f t="shared" si="13"/>
        <v/>
      </c>
      <c r="J213" s="14" t="str">
        <f t="shared" si="14"/>
        <v/>
      </c>
      <c r="K213" s="14" t="str">
        <f t="shared" si="15"/>
        <v/>
      </c>
      <c r="L213" s="14">
        <f t="shared" si="12"/>
        <v>0</v>
      </c>
    </row>
    <row r="214" spans="1:12">
      <c r="A214" s="190"/>
      <c r="B214" s="234"/>
      <c r="C214" s="234"/>
      <c r="D214" s="234"/>
      <c r="E214" s="235"/>
      <c r="F214" s="236"/>
      <c r="G214" s="288"/>
      <c r="H214" s="234"/>
      <c r="I214" s="134" t="str">
        <f t="shared" si="13"/>
        <v/>
      </c>
      <c r="J214" s="14" t="str">
        <f t="shared" si="14"/>
        <v/>
      </c>
      <c r="K214" s="14" t="str">
        <f t="shared" si="15"/>
        <v/>
      </c>
      <c r="L214" s="14">
        <f t="shared" si="12"/>
        <v>0</v>
      </c>
    </row>
    <row r="215" spans="1:12">
      <c r="A215" s="190"/>
      <c r="B215" s="234"/>
      <c r="C215" s="234"/>
      <c r="D215" s="234"/>
      <c r="E215" s="235"/>
      <c r="F215" s="236"/>
      <c r="G215" s="288"/>
      <c r="H215" s="234"/>
      <c r="I215" s="134" t="str">
        <f t="shared" si="13"/>
        <v/>
      </c>
      <c r="J215" s="14" t="str">
        <f t="shared" si="14"/>
        <v/>
      </c>
      <c r="K215" s="14" t="str">
        <f t="shared" si="15"/>
        <v/>
      </c>
      <c r="L215" s="14">
        <f t="shared" si="12"/>
        <v>0</v>
      </c>
    </row>
    <row r="216" spans="1:12">
      <c r="A216" s="190"/>
      <c r="B216" s="234"/>
      <c r="C216" s="234"/>
      <c r="D216" s="234"/>
      <c r="E216" s="235"/>
      <c r="F216" s="236"/>
      <c r="G216" s="288"/>
      <c r="H216" s="234"/>
      <c r="I216" s="134" t="str">
        <f t="shared" si="13"/>
        <v/>
      </c>
      <c r="J216" s="14" t="str">
        <f t="shared" si="14"/>
        <v/>
      </c>
      <c r="K216" s="14" t="str">
        <f t="shared" si="15"/>
        <v/>
      </c>
      <c r="L216" s="14">
        <f t="shared" si="12"/>
        <v>0</v>
      </c>
    </row>
    <row r="217" spans="1:12">
      <c r="A217" s="190"/>
      <c r="B217" s="234"/>
      <c r="C217" s="234"/>
      <c r="D217" s="234"/>
      <c r="E217" s="235"/>
      <c r="F217" s="236"/>
      <c r="G217" s="288"/>
      <c r="H217" s="234"/>
      <c r="I217" s="134" t="str">
        <f t="shared" si="13"/>
        <v/>
      </c>
      <c r="J217" s="14" t="str">
        <f t="shared" si="14"/>
        <v/>
      </c>
      <c r="K217" s="14" t="str">
        <f t="shared" si="15"/>
        <v/>
      </c>
      <c r="L217" s="14">
        <f t="shared" si="12"/>
        <v>0</v>
      </c>
    </row>
    <row r="218" spans="1:12">
      <c r="A218" s="190"/>
      <c r="B218" s="234"/>
      <c r="C218" s="234"/>
      <c r="D218" s="234"/>
      <c r="E218" s="235"/>
      <c r="F218" s="236"/>
      <c r="G218" s="288"/>
      <c r="H218" s="234"/>
      <c r="I218" s="134" t="str">
        <f t="shared" si="13"/>
        <v/>
      </c>
      <c r="J218" s="14" t="str">
        <f t="shared" si="14"/>
        <v/>
      </c>
      <c r="K218" s="14" t="str">
        <f t="shared" si="15"/>
        <v/>
      </c>
      <c r="L218" s="14">
        <f t="shared" si="12"/>
        <v>0</v>
      </c>
    </row>
    <row r="219" spans="1:12">
      <c r="A219" s="190"/>
      <c r="B219" s="234"/>
      <c r="C219" s="234"/>
      <c r="D219" s="234"/>
      <c r="E219" s="235"/>
      <c r="F219" s="236"/>
      <c r="G219" s="288"/>
      <c r="H219" s="234"/>
      <c r="I219" s="134" t="str">
        <f t="shared" si="13"/>
        <v/>
      </c>
      <c r="J219" s="14" t="str">
        <f t="shared" si="14"/>
        <v/>
      </c>
      <c r="K219" s="14" t="str">
        <f t="shared" si="15"/>
        <v/>
      </c>
      <c r="L219" s="14">
        <f t="shared" si="12"/>
        <v>0</v>
      </c>
    </row>
    <row r="220" spans="1:12">
      <c r="A220" s="190"/>
      <c r="B220" s="234"/>
      <c r="C220" s="234"/>
      <c r="D220" s="234"/>
      <c r="E220" s="235"/>
      <c r="F220" s="236"/>
      <c r="G220" s="288"/>
      <c r="H220" s="234"/>
      <c r="I220" s="134" t="str">
        <f t="shared" si="13"/>
        <v/>
      </c>
      <c r="J220" s="14" t="str">
        <f t="shared" si="14"/>
        <v/>
      </c>
      <c r="K220" s="14" t="str">
        <f t="shared" si="15"/>
        <v/>
      </c>
      <c r="L220" s="14">
        <f t="shared" si="12"/>
        <v>0</v>
      </c>
    </row>
    <row r="221" spans="1:12">
      <c r="A221" s="190"/>
      <c r="B221" s="234"/>
      <c r="C221" s="234"/>
      <c r="D221" s="234"/>
      <c r="E221" s="235"/>
      <c r="F221" s="236"/>
      <c r="G221" s="288"/>
      <c r="H221" s="234"/>
      <c r="I221" s="134" t="str">
        <f t="shared" si="13"/>
        <v/>
      </c>
      <c r="J221" s="14" t="str">
        <f t="shared" si="14"/>
        <v/>
      </c>
      <c r="K221" s="14" t="str">
        <f t="shared" si="15"/>
        <v/>
      </c>
      <c r="L221" s="14">
        <f t="shared" si="12"/>
        <v>0</v>
      </c>
    </row>
    <row r="222" spans="1:12">
      <c r="A222" s="190"/>
      <c r="B222" s="234"/>
      <c r="C222" s="234"/>
      <c r="D222" s="234"/>
      <c r="E222" s="235"/>
      <c r="F222" s="236"/>
      <c r="G222" s="288"/>
      <c r="H222" s="234"/>
      <c r="I222" s="134" t="str">
        <f t="shared" si="13"/>
        <v/>
      </c>
      <c r="J222" s="14" t="str">
        <f t="shared" si="14"/>
        <v/>
      </c>
      <c r="K222" s="14" t="str">
        <f t="shared" si="15"/>
        <v/>
      </c>
      <c r="L222" s="14">
        <f t="shared" si="12"/>
        <v>0</v>
      </c>
    </row>
    <row r="223" spans="1:12">
      <c r="A223" s="190"/>
      <c r="B223" s="234"/>
      <c r="C223" s="234"/>
      <c r="D223" s="234"/>
      <c r="E223" s="235"/>
      <c r="F223" s="236"/>
      <c r="G223" s="288"/>
      <c r="H223" s="234"/>
      <c r="I223" s="134" t="str">
        <f t="shared" si="13"/>
        <v/>
      </c>
      <c r="J223" s="14" t="str">
        <f t="shared" si="14"/>
        <v/>
      </c>
      <c r="K223" s="14" t="str">
        <f t="shared" si="15"/>
        <v/>
      </c>
      <c r="L223" s="14">
        <f t="shared" si="12"/>
        <v>0</v>
      </c>
    </row>
    <row r="224" spans="1:12">
      <c r="A224" s="190"/>
      <c r="B224" s="234"/>
      <c r="C224" s="234"/>
      <c r="D224" s="234"/>
      <c r="E224" s="235"/>
      <c r="F224" s="236"/>
      <c r="G224" s="288"/>
      <c r="H224" s="234"/>
      <c r="I224" s="134" t="str">
        <f t="shared" si="13"/>
        <v/>
      </c>
      <c r="J224" s="14" t="str">
        <f t="shared" si="14"/>
        <v/>
      </c>
      <c r="K224" s="14" t="str">
        <f t="shared" si="15"/>
        <v/>
      </c>
      <c r="L224" s="14">
        <f t="shared" si="12"/>
        <v>0</v>
      </c>
    </row>
    <row r="225" spans="1:12">
      <c r="A225" s="190"/>
      <c r="B225" s="234"/>
      <c r="C225" s="234"/>
      <c r="D225" s="234"/>
      <c r="E225" s="235"/>
      <c r="F225" s="236"/>
      <c r="G225" s="288"/>
      <c r="H225" s="234"/>
      <c r="I225" s="134" t="str">
        <f t="shared" si="13"/>
        <v/>
      </c>
      <c r="J225" s="14" t="str">
        <f t="shared" si="14"/>
        <v/>
      </c>
      <c r="K225" s="14" t="str">
        <f t="shared" si="15"/>
        <v/>
      </c>
      <c r="L225" s="14">
        <f t="shared" si="12"/>
        <v>0</v>
      </c>
    </row>
    <row r="226" spans="1:12">
      <c r="A226" s="190"/>
      <c r="B226" s="234"/>
      <c r="C226" s="234"/>
      <c r="D226" s="234"/>
      <c r="E226" s="235"/>
      <c r="F226" s="236"/>
      <c r="G226" s="288"/>
      <c r="H226" s="234"/>
      <c r="I226" s="134" t="str">
        <f t="shared" si="13"/>
        <v/>
      </c>
      <c r="J226" s="14" t="str">
        <f t="shared" si="14"/>
        <v/>
      </c>
      <c r="K226" s="14" t="str">
        <f t="shared" si="15"/>
        <v/>
      </c>
      <c r="L226" s="14">
        <f t="shared" si="12"/>
        <v>0</v>
      </c>
    </row>
    <row r="227" spans="1:12">
      <c r="A227" s="190"/>
      <c r="B227" s="234"/>
      <c r="C227" s="234"/>
      <c r="D227" s="234"/>
      <c r="E227" s="235"/>
      <c r="F227" s="236"/>
      <c r="G227" s="288"/>
      <c r="H227" s="234"/>
      <c r="I227" s="134" t="str">
        <f t="shared" si="13"/>
        <v/>
      </c>
      <c r="J227" s="14" t="str">
        <f t="shared" si="14"/>
        <v/>
      </c>
      <c r="K227" s="14" t="str">
        <f t="shared" si="15"/>
        <v/>
      </c>
      <c r="L227" s="14">
        <f t="shared" si="12"/>
        <v>0</v>
      </c>
    </row>
    <row r="228" spans="1:12">
      <c r="A228" s="190"/>
      <c r="B228" s="234"/>
      <c r="C228" s="234"/>
      <c r="D228" s="234"/>
      <c r="E228" s="235"/>
      <c r="F228" s="236"/>
      <c r="G228" s="288"/>
      <c r="H228" s="234"/>
      <c r="I228" s="134" t="str">
        <f t="shared" si="13"/>
        <v/>
      </c>
      <c r="J228" s="14" t="str">
        <f t="shared" si="14"/>
        <v/>
      </c>
      <c r="K228" s="14" t="str">
        <f t="shared" si="15"/>
        <v/>
      </c>
      <c r="L228" s="14">
        <f t="shared" si="12"/>
        <v>0</v>
      </c>
    </row>
    <row r="229" spans="1:12">
      <c r="A229" s="190"/>
      <c r="B229" s="234"/>
      <c r="C229" s="234"/>
      <c r="D229" s="234"/>
      <c r="E229" s="235"/>
      <c r="F229" s="236"/>
      <c r="G229" s="288"/>
      <c r="H229" s="234"/>
      <c r="I229" s="134" t="str">
        <f t="shared" si="13"/>
        <v/>
      </c>
      <c r="J229" s="14" t="str">
        <f t="shared" si="14"/>
        <v/>
      </c>
      <c r="K229" s="14" t="str">
        <f t="shared" si="15"/>
        <v/>
      </c>
      <c r="L229" s="14">
        <f t="shared" si="12"/>
        <v>0</v>
      </c>
    </row>
    <row r="230" spans="1:12">
      <c r="A230" s="190"/>
      <c r="B230" s="234"/>
      <c r="C230" s="234"/>
      <c r="D230" s="234"/>
      <c r="E230" s="235"/>
      <c r="F230" s="236"/>
      <c r="G230" s="288"/>
      <c r="H230" s="234"/>
      <c r="I230" s="134" t="str">
        <f t="shared" si="13"/>
        <v/>
      </c>
      <c r="J230" s="14" t="str">
        <f t="shared" si="14"/>
        <v/>
      </c>
      <c r="K230" s="14" t="str">
        <f t="shared" si="15"/>
        <v/>
      </c>
      <c r="L230" s="14">
        <f t="shared" si="12"/>
        <v>0</v>
      </c>
    </row>
    <row r="231" spans="1:12">
      <c r="A231" s="190"/>
      <c r="B231" s="234"/>
      <c r="C231" s="234"/>
      <c r="D231" s="234"/>
      <c r="E231" s="235"/>
      <c r="F231" s="236"/>
      <c r="G231" s="288"/>
      <c r="H231" s="234"/>
      <c r="I231" s="134" t="str">
        <f t="shared" si="13"/>
        <v/>
      </c>
      <c r="J231" s="14" t="str">
        <f t="shared" si="14"/>
        <v/>
      </c>
      <c r="K231" s="14" t="str">
        <f t="shared" si="15"/>
        <v/>
      </c>
      <c r="L231" s="14">
        <f t="shared" si="12"/>
        <v>0</v>
      </c>
    </row>
    <row r="232" spans="1:12">
      <c r="A232" s="190"/>
      <c r="B232" s="234"/>
      <c r="C232" s="234"/>
      <c r="D232" s="234"/>
      <c r="E232" s="235"/>
      <c r="F232" s="236"/>
      <c r="G232" s="288"/>
      <c r="H232" s="234"/>
      <c r="I232" s="134" t="str">
        <f t="shared" si="13"/>
        <v/>
      </c>
      <c r="J232" s="14" t="str">
        <f t="shared" si="14"/>
        <v/>
      </c>
      <c r="K232" s="14" t="str">
        <f t="shared" si="15"/>
        <v/>
      </c>
      <c r="L232" s="14">
        <f t="shared" si="12"/>
        <v>0</v>
      </c>
    </row>
    <row r="233" spans="1:12">
      <c r="A233" s="190"/>
      <c r="B233" s="234"/>
      <c r="C233" s="234"/>
      <c r="D233" s="234"/>
      <c r="E233" s="235"/>
      <c r="F233" s="236"/>
      <c r="G233" s="288"/>
      <c r="H233" s="234"/>
      <c r="I233" s="134" t="str">
        <f t="shared" si="13"/>
        <v/>
      </c>
      <c r="J233" s="14" t="str">
        <f t="shared" si="14"/>
        <v/>
      </c>
      <c r="K233" s="14" t="str">
        <f t="shared" si="15"/>
        <v/>
      </c>
      <c r="L233" s="14">
        <f t="shared" si="12"/>
        <v>0</v>
      </c>
    </row>
    <row r="234" spans="1:12">
      <c r="A234" s="190"/>
      <c r="B234" s="234"/>
      <c r="C234" s="234"/>
      <c r="D234" s="234"/>
      <c r="E234" s="235"/>
      <c r="F234" s="236"/>
      <c r="G234" s="288"/>
      <c r="H234" s="234"/>
      <c r="I234" s="134" t="str">
        <f t="shared" si="13"/>
        <v/>
      </c>
      <c r="J234" s="14" t="str">
        <f t="shared" si="14"/>
        <v/>
      </c>
      <c r="K234" s="14" t="str">
        <f t="shared" si="15"/>
        <v/>
      </c>
      <c r="L234" s="14">
        <f t="shared" si="12"/>
        <v>0</v>
      </c>
    </row>
    <row r="235" spans="1:12">
      <c r="A235" s="190"/>
      <c r="B235" s="234"/>
      <c r="C235" s="234"/>
      <c r="D235" s="234"/>
      <c r="E235" s="235"/>
      <c r="F235" s="236"/>
      <c r="G235" s="288"/>
      <c r="H235" s="234"/>
      <c r="I235" s="134" t="str">
        <f t="shared" si="13"/>
        <v/>
      </c>
      <c r="J235" s="14" t="str">
        <f t="shared" si="14"/>
        <v/>
      </c>
      <c r="K235" s="14" t="str">
        <f t="shared" si="15"/>
        <v/>
      </c>
      <c r="L235" s="14">
        <f t="shared" si="12"/>
        <v>0</v>
      </c>
    </row>
    <row r="236" spans="1:12">
      <c r="A236" s="190"/>
      <c r="B236" s="234"/>
      <c r="C236" s="234"/>
      <c r="D236" s="234"/>
      <c r="E236" s="235"/>
      <c r="F236" s="236"/>
      <c r="G236" s="288"/>
      <c r="H236" s="234"/>
      <c r="I236" s="134" t="str">
        <f t="shared" si="13"/>
        <v/>
      </c>
      <c r="J236" s="14" t="str">
        <f t="shared" si="14"/>
        <v/>
      </c>
      <c r="K236" s="14" t="str">
        <f t="shared" si="15"/>
        <v/>
      </c>
      <c r="L236" s="14">
        <f t="shared" si="12"/>
        <v>0</v>
      </c>
    </row>
    <row r="237" spans="1:12">
      <c r="A237" s="190"/>
      <c r="B237" s="234"/>
      <c r="C237" s="234"/>
      <c r="D237" s="234"/>
      <c r="E237" s="235"/>
      <c r="F237" s="236"/>
      <c r="G237" s="288"/>
      <c r="H237" s="234"/>
      <c r="I237" s="134" t="str">
        <f t="shared" si="13"/>
        <v/>
      </c>
      <c r="J237" s="14" t="str">
        <f t="shared" si="14"/>
        <v/>
      </c>
      <c r="K237" s="14" t="str">
        <f t="shared" si="15"/>
        <v/>
      </c>
      <c r="L237" s="14">
        <f t="shared" si="12"/>
        <v>0</v>
      </c>
    </row>
    <row r="238" spans="1:12">
      <c r="A238" s="190"/>
      <c r="B238" s="234"/>
      <c r="C238" s="234"/>
      <c r="D238" s="234"/>
      <c r="E238" s="235"/>
      <c r="F238" s="236"/>
      <c r="G238" s="288"/>
      <c r="H238" s="234"/>
      <c r="I238" s="134" t="str">
        <f t="shared" si="13"/>
        <v/>
      </c>
      <c r="J238" s="14" t="str">
        <f t="shared" si="14"/>
        <v/>
      </c>
      <c r="K238" s="14" t="str">
        <f t="shared" si="15"/>
        <v/>
      </c>
      <c r="L238" s="14">
        <f t="shared" si="12"/>
        <v>0</v>
      </c>
    </row>
    <row r="239" spans="1:12">
      <c r="A239" s="190"/>
      <c r="B239" s="234"/>
      <c r="C239" s="234"/>
      <c r="D239" s="234"/>
      <c r="E239" s="235"/>
      <c r="F239" s="236"/>
      <c r="G239" s="288"/>
      <c r="H239" s="234"/>
      <c r="I239" s="134" t="str">
        <f t="shared" si="13"/>
        <v/>
      </c>
      <c r="J239" s="14" t="str">
        <f t="shared" si="14"/>
        <v/>
      </c>
      <c r="K239" s="14" t="str">
        <f t="shared" si="15"/>
        <v/>
      </c>
      <c r="L239" s="14">
        <f t="shared" si="12"/>
        <v>0</v>
      </c>
    </row>
    <row r="240" spans="1:12">
      <c r="A240" s="190"/>
      <c r="B240" s="234"/>
      <c r="C240" s="234"/>
      <c r="D240" s="234"/>
      <c r="E240" s="235"/>
      <c r="F240" s="236"/>
      <c r="G240" s="288"/>
      <c r="H240" s="234"/>
      <c r="I240" s="134" t="str">
        <f t="shared" si="13"/>
        <v/>
      </c>
      <c r="J240" s="14" t="str">
        <f t="shared" si="14"/>
        <v/>
      </c>
      <c r="K240" s="14" t="str">
        <f t="shared" si="15"/>
        <v/>
      </c>
      <c r="L240" s="14">
        <f t="shared" si="12"/>
        <v>0</v>
      </c>
    </row>
    <row r="241" spans="1:12">
      <c r="A241" s="190"/>
      <c r="B241" s="234"/>
      <c r="C241" s="234"/>
      <c r="D241" s="234"/>
      <c r="E241" s="235"/>
      <c r="F241" s="236"/>
      <c r="G241" s="288"/>
      <c r="H241" s="234"/>
      <c r="I241" s="134" t="str">
        <f t="shared" si="13"/>
        <v/>
      </c>
      <c r="J241" s="14" t="str">
        <f t="shared" si="14"/>
        <v/>
      </c>
      <c r="K241" s="14" t="str">
        <f t="shared" si="15"/>
        <v/>
      </c>
      <c r="L241" s="14">
        <f t="shared" si="12"/>
        <v>0</v>
      </c>
    </row>
    <row r="242" spans="1:12">
      <c r="A242" s="190"/>
      <c r="B242" s="234"/>
      <c r="C242" s="234"/>
      <c r="D242" s="234"/>
      <c r="E242" s="235"/>
      <c r="F242" s="236"/>
      <c r="G242" s="288"/>
      <c r="H242" s="234"/>
      <c r="I242" s="134" t="str">
        <f t="shared" si="13"/>
        <v/>
      </c>
      <c r="J242" s="14" t="str">
        <f t="shared" si="14"/>
        <v/>
      </c>
      <c r="K242" s="14" t="str">
        <f t="shared" si="15"/>
        <v/>
      </c>
      <c r="L242" s="14">
        <f t="shared" si="12"/>
        <v>0</v>
      </c>
    </row>
    <row r="243" spans="1:12">
      <c r="A243" s="190"/>
      <c r="B243" s="234"/>
      <c r="C243" s="234"/>
      <c r="D243" s="234"/>
      <c r="E243" s="235"/>
      <c r="F243" s="236"/>
      <c r="G243" s="288"/>
      <c r="H243" s="234"/>
      <c r="I243" s="134" t="str">
        <f t="shared" si="13"/>
        <v/>
      </c>
      <c r="J243" s="14" t="str">
        <f t="shared" si="14"/>
        <v/>
      </c>
      <c r="K243" s="14" t="str">
        <f t="shared" si="15"/>
        <v/>
      </c>
      <c r="L243" s="14">
        <f t="shared" si="12"/>
        <v>0</v>
      </c>
    </row>
    <row r="244" spans="1:12">
      <c r="A244" s="190"/>
      <c r="B244" s="234"/>
      <c r="C244" s="234"/>
      <c r="D244" s="234"/>
      <c r="E244" s="235"/>
      <c r="F244" s="236"/>
      <c r="G244" s="288"/>
      <c r="H244" s="234"/>
      <c r="I244" s="134" t="str">
        <f t="shared" si="13"/>
        <v/>
      </c>
      <c r="J244" s="14" t="str">
        <f t="shared" si="14"/>
        <v/>
      </c>
      <c r="K244" s="14" t="str">
        <f t="shared" si="15"/>
        <v/>
      </c>
      <c r="L244" s="14">
        <f t="shared" si="12"/>
        <v>0</v>
      </c>
    </row>
    <row r="245" spans="1:12">
      <c r="A245" s="190"/>
      <c r="B245" s="234"/>
      <c r="C245" s="234"/>
      <c r="D245" s="234"/>
      <c r="E245" s="235"/>
      <c r="F245" s="236"/>
      <c r="G245" s="288"/>
      <c r="H245" s="234"/>
      <c r="I245" s="134" t="str">
        <f t="shared" si="13"/>
        <v/>
      </c>
      <c r="J245" s="14" t="str">
        <f t="shared" si="14"/>
        <v/>
      </c>
      <c r="K245" s="14" t="str">
        <f t="shared" si="15"/>
        <v/>
      </c>
      <c r="L245" s="14">
        <f t="shared" si="12"/>
        <v>0</v>
      </c>
    </row>
    <row r="246" spans="1:12">
      <c r="A246" s="190"/>
      <c r="B246" s="234"/>
      <c r="C246" s="234"/>
      <c r="D246" s="234"/>
      <c r="E246" s="235"/>
      <c r="F246" s="236"/>
      <c r="G246" s="288"/>
      <c r="H246" s="234"/>
      <c r="I246" s="134" t="str">
        <f t="shared" si="13"/>
        <v/>
      </c>
      <c r="J246" s="14" t="str">
        <f t="shared" si="14"/>
        <v/>
      </c>
      <c r="K246" s="14" t="str">
        <f t="shared" si="15"/>
        <v/>
      </c>
      <c r="L246" s="14">
        <f t="shared" si="12"/>
        <v>0</v>
      </c>
    </row>
    <row r="247" spans="1:12">
      <c r="A247" s="190"/>
      <c r="B247" s="234"/>
      <c r="C247" s="234"/>
      <c r="D247" s="234"/>
      <c r="E247" s="235"/>
      <c r="F247" s="236"/>
      <c r="G247" s="288"/>
      <c r="H247" s="234"/>
      <c r="I247" s="134" t="str">
        <f t="shared" si="13"/>
        <v/>
      </c>
      <c r="J247" s="14" t="str">
        <f t="shared" si="14"/>
        <v/>
      </c>
      <c r="K247" s="14" t="str">
        <f t="shared" si="15"/>
        <v/>
      </c>
      <c r="L247" s="14">
        <f t="shared" si="12"/>
        <v>0</v>
      </c>
    </row>
    <row r="248" spans="1:12">
      <c r="A248" s="190"/>
      <c r="B248" s="234"/>
      <c r="C248" s="234"/>
      <c r="D248" s="234"/>
      <c r="E248" s="235"/>
      <c r="F248" s="236"/>
      <c r="G248" s="288"/>
      <c r="H248" s="234"/>
      <c r="I248" s="134" t="str">
        <f t="shared" si="13"/>
        <v/>
      </c>
      <c r="J248" s="14" t="str">
        <f t="shared" si="14"/>
        <v/>
      </c>
      <c r="K248" s="14" t="str">
        <f t="shared" si="15"/>
        <v/>
      </c>
      <c r="L248" s="14">
        <f t="shared" si="12"/>
        <v>0</v>
      </c>
    </row>
    <row r="249" spans="1:12">
      <c r="A249" s="190"/>
      <c r="B249" s="234"/>
      <c r="C249" s="234"/>
      <c r="D249" s="234"/>
      <c r="E249" s="235"/>
      <c r="F249" s="236"/>
      <c r="G249" s="288"/>
      <c r="H249" s="234"/>
      <c r="I249" s="134" t="str">
        <f t="shared" si="13"/>
        <v/>
      </c>
      <c r="J249" s="14" t="str">
        <f t="shared" si="14"/>
        <v/>
      </c>
      <c r="K249" s="14" t="str">
        <f t="shared" si="15"/>
        <v/>
      </c>
      <c r="L249" s="14">
        <f t="shared" si="12"/>
        <v>0</v>
      </c>
    </row>
    <row r="250" spans="1:12">
      <c r="A250" s="190"/>
      <c r="B250" s="234"/>
      <c r="C250" s="234"/>
      <c r="D250" s="234"/>
      <c r="E250" s="235"/>
      <c r="F250" s="236"/>
      <c r="G250" s="288"/>
      <c r="H250" s="234"/>
      <c r="I250" s="134" t="str">
        <f t="shared" si="13"/>
        <v/>
      </c>
      <c r="J250" s="14" t="str">
        <f t="shared" si="14"/>
        <v/>
      </c>
      <c r="K250" s="14" t="str">
        <f t="shared" si="15"/>
        <v/>
      </c>
      <c r="L250" s="14">
        <f t="shared" si="12"/>
        <v>0</v>
      </c>
    </row>
    <row r="251" spans="1:12">
      <c r="A251" s="190"/>
      <c r="B251" s="234"/>
      <c r="C251" s="234"/>
      <c r="D251" s="234"/>
      <c r="E251" s="235"/>
      <c r="F251" s="236"/>
      <c r="G251" s="288"/>
      <c r="H251" s="234"/>
      <c r="I251" s="134" t="str">
        <f t="shared" si="13"/>
        <v/>
      </c>
      <c r="J251" s="14" t="str">
        <f t="shared" si="14"/>
        <v/>
      </c>
      <c r="K251" s="14" t="str">
        <f t="shared" si="15"/>
        <v/>
      </c>
      <c r="L251" s="14">
        <f t="shared" si="12"/>
        <v>0</v>
      </c>
    </row>
    <row r="252" spans="1:12">
      <c r="A252" s="190"/>
      <c r="B252" s="234"/>
      <c r="C252" s="234"/>
      <c r="D252" s="234"/>
      <c r="E252" s="235"/>
      <c r="F252" s="236"/>
      <c r="G252" s="288"/>
      <c r="H252" s="234"/>
      <c r="I252" s="134" t="str">
        <f t="shared" si="13"/>
        <v/>
      </c>
      <c r="J252" s="14" t="str">
        <f t="shared" si="14"/>
        <v/>
      </c>
      <c r="K252" s="14" t="str">
        <f t="shared" si="15"/>
        <v/>
      </c>
      <c r="L252" s="14">
        <f t="shared" si="12"/>
        <v>0</v>
      </c>
    </row>
    <row r="253" spans="1:12">
      <c r="A253" s="190"/>
      <c r="B253" s="234"/>
      <c r="C253" s="234"/>
      <c r="D253" s="234"/>
      <c r="E253" s="235"/>
      <c r="F253" s="236"/>
      <c r="G253" s="288"/>
      <c r="H253" s="234"/>
      <c r="I253" s="134" t="str">
        <f t="shared" si="13"/>
        <v/>
      </c>
      <c r="J253" s="14" t="str">
        <f t="shared" si="14"/>
        <v/>
      </c>
      <c r="K253" s="14" t="str">
        <f t="shared" si="15"/>
        <v/>
      </c>
      <c r="L253" s="14">
        <f t="shared" si="12"/>
        <v>0</v>
      </c>
    </row>
    <row r="254" spans="1:12">
      <c r="A254" s="190"/>
      <c r="B254" s="234"/>
      <c r="C254" s="234"/>
      <c r="D254" s="234"/>
      <c r="E254" s="235"/>
      <c r="F254" s="236"/>
      <c r="G254" s="288"/>
      <c r="H254" s="234"/>
      <c r="I254" s="134" t="str">
        <f t="shared" si="13"/>
        <v/>
      </c>
      <c r="J254" s="14" t="str">
        <f t="shared" si="14"/>
        <v/>
      </c>
      <c r="K254" s="14" t="str">
        <f t="shared" si="15"/>
        <v/>
      </c>
      <c r="L254" s="14">
        <f t="shared" si="12"/>
        <v>0</v>
      </c>
    </row>
    <row r="255" spans="1:12">
      <c r="A255" s="190"/>
      <c r="B255" s="234"/>
      <c r="C255" s="234"/>
      <c r="D255" s="234"/>
      <c r="E255" s="235"/>
      <c r="F255" s="236"/>
      <c r="G255" s="288"/>
      <c r="H255" s="234"/>
      <c r="I255" s="134" t="str">
        <f t="shared" si="13"/>
        <v/>
      </c>
      <c r="J255" s="14" t="str">
        <f t="shared" si="14"/>
        <v/>
      </c>
      <c r="K255" s="14" t="str">
        <f t="shared" si="15"/>
        <v/>
      </c>
      <c r="L255" s="14">
        <f t="shared" si="12"/>
        <v>0</v>
      </c>
    </row>
    <row r="256" spans="1:12">
      <c r="A256" s="190"/>
      <c r="B256" s="234"/>
      <c r="C256" s="234"/>
      <c r="D256" s="234"/>
      <c r="E256" s="235"/>
      <c r="F256" s="236"/>
      <c r="G256" s="288"/>
      <c r="H256" s="234"/>
      <c r="I256" s="134" t="str">
        <f t="shared" si="13"/>
        <v/>
      </c>
      <c r="J256" s="14" t="str">
        <f t="shared" si="14"/>
        <v/>
      </c>
      <c r="K256" s="14" t="str">
        <f t="shared" si="15"/>
        <v/>
      </c>
      <c r="L256" s="14">
        <f t="shared" si="12"/>
        <v>0</v>
      </c>
    </row>
    <row r="257" spans="1:12">
      <c r="A257" s="190"/>
      <c r="B257" s="234"/>
      <c r="C257" s="234"/>
      <c r="D257" s="234"/>
      <c r="E257" s="235"/>
      <c r="F257" s="236"/>
      <c r="G257" s="288"/>
      <c r="H257" s="234"/>
      <c r="I257" s="134" t="str">
        <f t="shared" si="13"/>
        <v/>
      </c>
      <c r="J257" s="14" t="str">
        <f t="shared" si="14"/>
        <v/>
      </c>
      <c r="K257" s="14" t="str">
        <f t="shared" si="15"/>
        <v/>
      </c>
      <c r="L257" s="14">
        <f t="shared" si="12"/>
        <v>0</v>
      </c>
    </row>
    <row r="258" spans="1:12">
      <c r="A258" s="190"/>
      <c r="B258" s="234"/>
      <c r="C258" s="234"/>
      <c r="D258" s="234"/>
      <c r="E258" s="235"/>
      <c r="F258" s="236"/>
      <c r="G258" s="288"/>
      <c r="H258" s="234"/>
      <c r="I258" s="134" t="str">
        <f t="shared" si="13"/>
        <v/>
      </c>
      <c r="J258" s="14" t="str">
        <f t="shared" si="14"/>
        <v/>
      </c>
      <c r="K258" s="14" t="str">
        <f t="shared" si="15"/>
        <v/>
      </c>
      <c r="L258" s="14">
        <f t="shared" si="12"/>
        <v>0</v>
      </c>
    </row>
    <row r="259" spans="1:12">
      <c r="A259" s="190"/>
      <c r="B259" s="234"/>
      <c r="C259" s="234"/>
      <c r="D259" s="234"/>
      <c r="E259" s="235"/>
      <c r="F259" s="236"/>
      <c r="G259" s="288"/>
      <c r="H259" s="234"/>
      <c r="I259" s="134" t="str">
        <f t="shared" si="13"/>
        <v/>
      </c>
      <c r="J259" s="14" t="str">
        <f t="shared" si="14"/>
        <v/>
      </c>
      <c r="K259" s="14" t="str">
        <f t="shared" si="15"/>
        <v/>
      </c>
      <c r="L259" s="14">
        <f t="shared" si="12"/>
        <v>0</v>
      </c>
    </row>
    <row r="260" spans="1:12">
      <c r="A260" s="190"/>
      <c r="B260" s="234"/>
      <c r="C260" s="234"/>
      <c r="D260" s="234"/>
      <c r="E260" s="235"/>
      <c r="F260" s="236"/>
      <c r="G260" s="288"/>
      <c r="H260" s="234"/>
      <c r="I260" s="134" t="str">
        <f t="shared" si="13"/>
        <v/>
      </c>
      <c r="J260" s="14" t="str">
        <f t="shared" si="14"/>
        <v/>
      </c>
      <c r="K260" s="14" t="str">
        <f t="shared" si="15"/>
        <v/>
      </c>
      <c r="L260" s="14">
        <f t="shared" si="12"/>
        <v>0</v>
      </c>
    </row>
    <row r="261" spans="1:12">
      <c r="A261" s="190"/>
      <c r="B261" s="234"/>
      <c r="C261" s="234"/>
      <c r="D261" s="234"/>
      <c r="E261" s="235"/>
      <c r="F261" s="236"/>
      <c r="G261" s="288"/>
      <c r="H261" s="234"/>
      <c r="I261" s="134" t="str">
        <f t="shared" si="13"/>
        <v/>
      </c>
      <c r="J261" s="14" t="str">
        <f t="shared" si="14"/>
        <v/>
      </c>
      <c r="K261" s="14" t="str">
        <f t="shared" si="15"/>
        <v/>
      </c>
      <c r="L261" s="14">
        <f t="shared" si="12"/>
        <v>0</v>
      </c>
    </row>
    <row r="262" spans="1:12">
      <c r="A262" s="190"/>
      <c r="B262" s="234"/>
      <c r="C262" s="234"/>
      <c r="D262" s="234"/>
      <c r="E262" s="235"/>
      <c r="F262" s="236"/>
      <c r="G262" s="288"/>
      <c r="H262" s="234"/>
      <c r="I262" s="134" t="str">
        <f t="shared" si="13"/>
        <v/>
      </c>
      <c r="J262" s="14" t="str">
        <f t="shared" si="14"/>
        <v/>
      </c>
      <c r="K262" s="14" t="str">
        <f t="shared" si="15"/>
        <v/>
      </c>
      <c r="L262" s="14">
        <f t="shared" si="12"/>
        <v>0</v>
      </c>
    </row>
    <row r="263" spans="1:12">
      <c r="A263" s="190"/>
      <c r="B263" s="234"/>
      <c r="C263" s="234"/>
      <c r="D263" s="234"/>
      <c r="E263" s="235"/>
      <c r="F263" s="236"/>
      <c r="G263" s="288"/>
      <c r="H263" s="234"/>
      <c r="I263" s="134" t="str">
        <f t="shared" si="13"/>
        <v/>
      </c>
      <c r="J263" s="14" t="str">
        <f t="shared" si="14"/>
        <v/>
      </c>
      <c r="K263" s="14" t="str">
        <f t="shared" si="15"/>
        <v/>
      </c>
      <c r="L263" s="14">
        <f t="shared" si="12"/>
        <v>0</v>
      </c>
    </row>
    <row r="264" spans="1:12">
      <c r="A264" s="190"/>
      <c r="B264" s="234"/>
      <c r="C264" s="234"/>
      <c r="D264" s="234"/>
      <c r="E264" s="235"/>
      <c r="F264" s="236"/>
      <c r="G264" s="288"/>
      <c r="H264" s="234"/>
      <c r="I264" s="134" t="str">
        <f t="shared" si="13"/>
        <v/>
      </c>
      <c r="J264" s="14" t="str">
        <f t="shared" si="14"/>
        <v/>
      </c>
      <c r="K264" s="14" t="str">
        <f t="shared" si="15"/>
        <v/>
      </c>
      <c r="L264" s="14">
        <f t="shared" ref="L264:L327" si="16">E264*A264</f>
        <v>0</v>
      </c>
    </row>
    <row r="265" spans="1:12">
      <c r="A265" s="190"/>
      <c r="B265" s="234"/>
      <c r="C265" s="234"/>
      <c r="D265" s="234"/>
      <c r="E265" s="235"/>
      <c r="F265" s="236"/>
      <c r="G265" s="288"/>
      <c r="H265" s="234"/>
      <c r="I265" s="134" t="str">
        <f t="shared" ref="I265:I328" si="17">RIGHT($B265,3)</f>
        <v/>
      </c>
      <c r="J265" s="14" t="str">
        <f t="shared" ref="J265:J328" si="18">LEFT($C265,2)</f>
        <v/>
      </c>
      <c r="K265" s="14" t="str">
        <f t="shared" ref="K265:K328" si="19">RIGHT($D265,6)</f>
        <v/>
      </c>
      <c r="L265" s="14">
        <f t="shared" si="16"/>
        <v>0</v>
      </c>
    </row>
    <row r="266" spans="1:12">
      <c r="A266" s="190"/>
      <c r="B266" s="234"/>
      <c r="C266" s="234"/>
      <c r="D266" s="234"/>
      <c r="E266" s="235"/>
      <c r="F266" s="236"/>
      <c r="G266" s="288"/>
      <c r="H266" s="234"/>
      <c r="I266" s="134" t="str">
        <f t="shared" si="17"/>
        <v/>
      </c>
      <c r="J266" s="14" t="str">
        <f t="shared" si="18"/>
        <v/>
      </c>
      <c r="K266" s="14" t="str">
        <f t="shared" si="19"/>
        <v/>
      </c>
      <c r="L266" s="14">
        <f t="shared" si="16"/>
        <v>0</v>
      </c>
    </row>
    <row r="267" spans="1:12">
      <c r="A267" s="190"/>
      <c r="B267" s="234"/>
      <c r="C267" s="234"/>
      <c r="D267" s="234"/>
      <c r="E267" s="235"/>
      <c r="F267" s="236"/>
      <c r="G267" s="288"/>
      <c r="H267" s="234"/>
      <c r="I267" s="134" t="str">
        <f t="shared" si="17"/>
        <v/>
      </c>
      <c r="J267" s="14" t="str">
        <f t="shared" si="18"/>
        <v/>
      </c>
      <c r="K267" s="14" t="str">
        <f t="shared" si="19"/>
        <v/>
      </c>
      <c r="L267" s="14">
        <f t="shared" si="16"/>
        <v>0</v>
      </c>
    </row>
    <row r="268" spans="1:12">
      <c r="A268" s="190"/>
      <c r="B268" s="234"/>
      <c r="C268" s="234"/>
      <c r="D268" s="234"/>
      <c r="E268" s="235"/>
      <c r="F268" s="236"/>
      <c r="G268" s="288"/>
      <c r="H268" s="234"/>
      <c r="I268" s="134" t="str">
        <f t="shared" si="17"/>
        <v/>
      </c>
      <c r="J268" s="14" t="str">
        <f t="shared" si="18"/>
        <v/>
      </c>
      <c r="K268" s="14" t="str">
        <f t="shared" si="19"/>
        <v/>
      </c>
      <c r="L268" s="14">
        <f t="shared" si="16"/>
        <v>0</v>
      </c>
    </row>
    <row r="269" spans="1:12">
      <c r="A269" s="190"/>
      <c r="B269" s="234"/>
      <c r="C269" s="234"/>
      <c r="D269" s="234"/>
      <c r="E269" s="235"/>
      <c r="F269" s="236"/>
      <c r="G269" s="288"/>
      <c r="H269" s="234"/>
      <c r="I269" s="134" t="str">
        <f t="shared" si="17"/>
        <v/>
      </c>
      <c r="J269" s="14" t="str">
        <f t="shared" si="18"/>
        <v/>
      </c>
      <c r="K269" s="14" t="str">
        <f t="shared" si="19"/>
        <v/>
      </c>
      <c r="L269" s="14">
        <f t="shared" si="16"/>
        <v>0</v>
      </c>
    </row>
    <row r="270" spans="1:12">
      <c r="A270" s="190"/>
      <c r="B270" s="234"/>
      <c r="C270" s="234"/>
      <c r="D270" s="234"/>
      <c r="E270" s="235"/>
      <c r="F270" s="236"/>
      <c r="G270" s="288"/>
      <c r="H270" s="234"/>
      <c r="I270" s="134" t="str">
        <f t="shared" si="17"/>
        <v/>
      </c>
      <c r="J270" s="14" t="str">
        <f t="shared" si="18"/>
        <v/>
      </c>
      <c r="K270" s="14" t="str">
        <f t="shared" si="19"/>
        <v/>
      </c>
      <c r="L270" s="14">
        <f t="shared" si="16"/>
        <v>0</v>
      </c>
    </row>
    <row r="271" spans="1:12">
      <c r="A271" s="190"/>
      <c r="B271" s="234"/>
      <c r="C271" s="234"/>
      <c r="D271" s="234"/>
      <c r="E271" s="235"/>
      <c r="F271" s="236"/>
      <c r="G271" s="288"/>
      <c r="H271" s="234"/>
      <c r="I271" s="134" t="str">
        <f t="shared" si="17"/>
        <v/>
      </c>
      <c r="J271" s="14" t="str">
        <f t="shared" si="18"/>
        <v/>
      </c>
      <c r="K271" s="14" t="str">
        <f t="shared" si="19"/>
        <v/>
      </c>
      <c r="L271" s="14">
        <f t="shared" si="16"/>
        <v>0</v>
      </c>
    </row>
    <row r="272" spans="1:12">
      <c r="A272" s="190"/>
      <c r="B272" s="234"/>
      <c r="C272" s="234"/>
      <c r="D272" s="234"/>
      <c r="E272" s="235"/>
      <c r="F272" s="236"/>
      <c r="G272" s="288"/>
      <c r="H272" s="234"/>
      <c r="I272" s="134" t="str">
        <f t="shared" si="17"/>
        <v/>
      </c>
      <c r="J272" s="14" t="str">
        <f t="shared" si="18"/>
        <v/>
      </c>
      <c r="K272" s="14" t="str">
        <f t="shared" si="19"/>
        <v/>
      </c>
      <c r="L272" s="14">
        <f t="shared" si="16"/>
        <v>0</v>
      </c>
    </row>
    <row r="273" spans="1:12">
      <c r="A273" s="190"/>
      <c r="B273" s="234"/>
      <c r="C273" s="234"/>
      <c r="D273" s="234"/>
      <c r="E273" s="235"/>
      <c r="F273" s="236"/>
      <c r="G273" s="288"/>
      <c r="H273" s="234"/>
      <c r="I273" s="134" t="str">
        <f t="shared" si="17"/>
        <v/>
      </c>
      <c r="J273" s="14" t="str">
        <f t="shared" si="18"/>
        <v/>
      </c>
      <c r="K273" s="14" t="str">
        <f t="shared" si="19"/>
        <v/>
      </c>
      <c r="L273" s="14">
        <f t="shared" si="16"/>
        <v>0</v>
      </c>
    </row>
    <row r="274" spans="1:12">
      <c r="A274" s="190"/>
      <c r="B274" s="234"/>
      <c r="C274" s="234"/>
      <c r="D274" s="234"/>
      <c r="E274" s="235"/>
      <c r="F274" s="236"/>
      <c r="G274" s="288"/>
      <c r="H274" s="234"/>
      <c r="I274" s="134" t="str">
        <f t="shared" si="17"/>
        <v/>
      </c>
      <c r="J274" s="14" t="str">
        <f t="shared" si="18"/>
        <v/>
      </c>
      <c r="K274" s="14" t="str">
        <f t="shared" si="19"/>
        <v/>
      </c>
      <c r="L274" s="14">
        <f t="shared" si="16"/>
        <v>0</v>
      </c>
    </row>
    <row r="275" spans="1:12">
      <c r="A275" s="190"/>
      <c r="B275" s="234"/>
      <c r="C275" s="234"/>
      <c r="D275" s="234"/>
      <c r="E275" s="235"/>
      <c r="F275" s="236"/>
      <c r="G275" s="288"/>
      <c r="H275" s="234"/>
      <c r="I275" s="134" t="str">
        <f t="shared" si="17"/>
        <v/>
      </c>
      <c r="J275" s="14" t="str">
        <f t="shared" si="18"/>
        <v/>
      </c>
      <c r="K275" s="14" t="str">
        <f t="shared" si="19"/>
        <v/>
      </c>
      <c r="L275" s="14">
        <f t="shared" si="16"/>
        <v>0</v>
      </c>
    </row>
    <row r="276" spans="1:12">
      <c r="A276" s="190"/>
      <c r="B276" s="234"/>
      <c r="C276" s="234"/>
      <c r="D276" s="234"/>
      <c r="E276" s="235"/>
      <c r="F276" s="236"/>
      <c r="G276" s="288"/>
      <c r="H276" s="234"/>
      <c r="I276" s="134" t="str">
        <f t="shared" si="17"/>
        <v/>
      </c>
      <c r="J276" s="14" t="str">
        <f t="shared" si="18"/>
        <v/>
      </c>
      <c r="K276" s="14" t="str">
        <f t="shared" si="19"/>
        <v/>
      </c>
      <c r="L276" s="14">
        <f t="shared" si="16"/>
        <v>0</v>
      </c>
    </row>
    <row r="277" spans="1:12">
      <c r="A277" s="190"/>
      <c r="B277" s="234"/>
      <c r="C277" s="234"/>
      <c r="D277" s="234"/>
      <c r="E277" s="235"/>
      <c r="F277" s="236"/>
      <c r="G277" s="288"/>
      <c r="H277" s="234"/>
      <c r="I277" s="134" t="str">
        <f t="shared" si="17"/>
        <v/>
      </c>
      <c r="J277" s="14" t="str">
        <f t="shared" si="18"/>
        <v/>
      </c>
      <c r="K277" s="14" t="str">
        <f t="shared" si="19"/>
        <v/>
      </c>
      <c r="L277" s="14">
        <f t="shared" si="16"/>
        <v>0</v>
      </c>
    </row>
    <row r="278" spans="1:12">
      <c r="A278" s="190"/>
      <c r="B278" s="234"/>
      <c r="C278" s="234"/>
      <c r="D278" s="234"/>
      <c r="E278" s="235"/>
      <c r="F278" s="236"/>
      <c r="G278" s="288"/>
      <c r="H278" s="234"/>
      <c r="I278" s="134" t="str">
        <f t="shared" si="17"/>
        <v/>
      </c>
      <c r="J278" s="14" t="str">
        <f t="shared" si="18"/>
        <v/>
      </c>
      <c r="K278" s="14" t="str">
        <f t="shared" si="19"/>
        <v/>
      </c>
      <c r="L278" s="14">
        <f t="shared" si="16"/>
        <v>0</v>
      </c>
    </row>
    <row r="279" spans="1:12">
      <c r="A279" s="190"/>
      <c r="B279" s="234"/>
      <c r="C279" s="234"/>
      <c r="D279" s="234"/>
      <c r="E279" s="235"/>
      <c r="F279" s="236"/>
      <c r="G279" s="288"/>
      <c r="H279" s="234"/>
      <c r="I279" s="134" t="str">
        <f t="shared" si="17"/>
        <v/>
      </c>
      <c r="J279" s="14" t="str">
        <f t="shared" si="18"/>
        <v/>
      </c>
      <c r="K279" s="14" t="str">
        <f t="shared" si="19"/>
        <v/>
      </c>
      <c r="L279" s="14">
        <f t="shared" si="16"/>
        <v>0</v>
      </c>
    </row>
    <row r="280" spans="1:12">
      <c r="A280" s="190"/>
      <c r="B280" s="234"/>
      <c r="C280" s="234"/>
      <c r="D280" s="234"/>
      <c r="E280" s="235"/>
      <c r="F280" s="236"/>
      <c r="G280" s="288"/>
      <c r="H280" s="234"/>
      <c r="I280" s="134" t="str">
        <f t="shared" si="17"/>
        <v/>
      </c>
      <c r="J280" s="14" t="str">
        <f t="shared" si="18"/>
        <v/>
      </c>
      <c r="K280" s="14" t="str">
        <f t="shared" si="19"/>
        <v/>
      </c>
      <c r="L280" s="14">
        <f t="shared" si="16"/>
        <v>0</v>
      </c>
    </row>
    <row r="281" spans="1:12">
      <c r="A281" s="190"/>
      <c r="B281" s="234"/>
      <c r="C281" s="234"/>
      <c r="D281" s="234"/>
      <c r="E281" s="235"/>
      <c r="F281" s="236"/>
      <c r="G281" s="288"/>
      <c r="H281" s="234"/>
      <c r="I281" s="134" t="str">
        <f t="shared" si="17"/>
        <v/>
      </c>
      <c r="J281" s="14" t="str">
        <f t="shared" si="18"/>
        <v/>
      </c>
      <c r="K281" s="14" t="str">
        <f t="shared" si="19"/>
        <v/>
      </c>
      <c r="L281" s="14">
        <f t="shared" si="16"/>
        <v>0</v>
      </c>
    </row>
    <row r="282" spans="1:12">
      <c r="A282" s="190"/>
      <c r="B282" s="234"/>
      <c r="C282" s="234"/>
      <c r="D282" s="234"/>
      <c r="E282" s="235"/>
      <c r="F282" s="236"/>
      <c r="G282" s="288"/>
      <c r="H282" s="234"/>
      <c r="I282" s="134" t="str">
        <f t="shared" si="17"/>
        <v/>
      </c>
      <c r="J282" s="14" t="str">
        <f t="shared" si="18"/>
        <v/>
      </c>
      <c r="K282" s="14" t="str">
        <f t="shared" si="19"/>
        <v/>
      </c>
      <c r="L282" s="14">
        <f t="shared" si="16"/>
        <v>0</v>
      </c>
    </row>
    <row r="283" spans="1:12">
      <c r="A283" s="190"/>
      <c r="B283" s="234"/>
      <c r="C283" s="234"/>
      <c r="D283" s="234"/>
      <c r="E283" s="235"/>
      <c r="F283" s="236"/>
      <c r="G283" s="288"/>
      <c r="H283" s="234"/>
      <c r="I283" s="134" t="str">
        <f t="shared" si="17"/>
        <v/>
      </c>
      <c r="J283" s="14" t="str">
        <f t="shared" si="18"/>
        <v/>
      </c>
      <c r="K283" s="14" t="str">
        <f t="shared" si="19"/>
        <v/>
      </c>
      <c r="L283" s="14">
        <f t="shared" si="16"/>
        <v>0</v>
      </c>
    </row>
    <row r="284" spans="1:12">
      <c r="A284" s="190"/>
      <c r="B284" s="234"/>
      <c r="C284" s="234"/>
      <c r="D284" s="234"/>
      <c r="E284" s="235"/>
      <c r="F284" s="236"/>
      <c r="G284" s="288"/>
      <c r="H284" s="234"/>
      <c r="I284" s="134" t="str">
        <f t="shared" si="17"/>
        <v/>
      </c>
      <c r="J284" s="14" t="str">
        <f t="shared" si="18"/>
        <v/>
      </c>
      <c r="K284" s="14" t="str">
        <f t="shared" si="19"/>
        <v/>
      </c>
      <c r="L284" s="14">
        <f t="shared" si="16"/>
        <v>0</v>
      </c>
    </row>
    <row r="285" spans="1:12">
      <c r="A285" s="190"/>
      <c r="B285" s="234"/>
      <c r="C285" s="234"/>
      <c r="D285" s="234"/>
      <c r="E285" s="235"/>
      <c r="F285" s="236"/>
      <c r="G285" s="288"/>
      <c r="H285" s="234"/>
      <c r="I285" s="134" t="str">
        <f t="shared" si="17"/>
        <v/>
      </c>
      <c r="J285" s="14" t="str">
        <f t="shared" si="18"/>
        <v/>
      </c>
      <c r="K285" s="14" t="str">
        <f t="shared" si="19"/>
        <v/>
      </c>
      <c r="L285" s="14">
        <f t="shared" si="16"/>
        <v>0</v>
      </c>
    </row>
    <row r="286" spans="1:12">
      <c r="A286" s="190"/>
      <c r="B286" s="234"/>
      <c r="C286" s="234"/>
      <c r="D286" s="234"/>
      <c r="E286" s="235"/>
      <c r="F286" s="236"/>
      <c r="G286" s="288"/>
      <c r="H286" s="234"/>
      <c r="I286" s="134" t="str">
        <f t="shared" si="17"/>
        <v/>
      </c>
      <c r="J286" s="14" t="str">
        <f t="shared" si="18"/>
        <v/>
      </c>
      <c r="K286" s="14" t="str">
        <f t="shared" si="19"/>
        <v/>
      </c>
      <c r="L286" s="14">
        <f t="shared" si="16"/>
        <v>0</v>
      </c>
    </row>
    <row r="287" spans="1:12">
      <c r="A287" s="190"/>
      <c r="B287" s="234"/>
      <c r="C287" s="234"/>
      <c r="D287" s="234"/>
      <c r="E287" s="235"/>
      <c r="F287" s="236"/>
      <c r="G287" s="288"/>
      <c r="H287" s="234"/>
      <c r="I287" s="134" t="str">
        <f t="shared" si="17"/>
        <v/>
      </c>
      <c r="J287" s="14" t="str">
        <f t="shared" si="18"/>
        <v/>
      </c>
      <c r="K287" s="14" t="str">
        <f t="shared" si="19"/>
        <v/>
      </c>
      <c r="L287" s="14">
        <f t="shared" si="16"/>
        <v>0</v>
      </c>
    </row>
    <row r="288" spans="1:12">
      <c r="A288" s="190"/>
      <c r="B288" s="234"/>
      <c r="C288" s="234"/>
      <c r="D288" s="234"/>
      <c r="E288" s="235"/>
      <c r="F288" s="236"/>
      <c r="G288" s="288"/>
      <c r="H288" s="234"/>
      <c r="I288" s="134" t="str">
        <f t="shared" si="17"/>
        <v/>
      </c>
      <c r="J288" s="14" t="str">
        <f t="shared" si="18"/>
        <v/>
      </c>
      <c r="K288" s="14" t="str">
        <f t="shared" si="19"/>
        <v/>
      </c>
      <c r="L288" s="14">
        <f t="shared" si="16"/>
        <v>0</v>
      </c>
    </row>
    <row r="289" spans="1:12">
      <c r="A289" s="190"/>
      <c r="B289" s="234"/>
      <c r="C289" s="234"/>
      <c r="D289" s="234"/>
      <c r="E289" s="235"/>
      <c r="F289" s="236"/>
      <c r="G289" s="288"/>
      <c r="H289" s="234"/>
      <c r="I289" s="134" t="str">
        <f t="shared" si="17"/>
        <v/>
      </c>
      <c r="J289" s="14" t="str">
        <f t="shared" si="18"/>
        <v/>
      </c>
      <c r="K289" s="14" t="str">
        <f t="shared" si="19"/>
        <v/>
      </c>
      <c r="L289" s="14">
        <f t="shared" si="16"/>
        <v>0</v>
      </c>
    </row>
    <row r="290" spans="1:12">
      <c r="A290" s="190"/>
      <c r="B290" s="234"/>
      <c r="C290" s="234"/>
      <c r="D290" s="234"/>
      <c r="E290" s="235"/>
      <c r="F290" s="236"/>
      <c r="G290" s="288"/>
      <c r="H290" s="234"/>
      <c r="I290" s="134" t="str">
        <f t="shared" si="17"/>
        <v/>
      </c>
      <c r="J290" s="14" t="str">
        <f t="shared" si="18"/>
        <v/>
      </c>
      <c r="K290" s="14" t="str">
        <f t="shared" si="19"/>
        <v/>
      </c>
      <c r="L290" s="14">
        <f t="shared" si="16"/>
        <v>0</v>
      </c>
    </row>
    <row r="291" spans="1:12">
      <c r="A291" s="190"/>
      <c r="B291" s="234"/>
      <c r="C291" s="234"/>
      <c r="D291" s="234"/>
      <c r="E291" s="235"/>
      <c r="F291" s="236"/>
      <c r="G291" s="288"/>
      <c r="H291" s="234"/>
      <c r="I291" s="134" t="str">
        <f t="shared" si="17"/>
        <v/>
      </c>
      <c r="J291" s="14" t="str">
        <f t="shared" si="18"/>
        <v/>
      </c>
      <c r="K291" s="14" t="str">
        <f t="shared" si="19"/>
        <v/>
      </c>
      <c r="L291" s="14">
        <f t="shared" si="16"/>
        <v>0</v>
      </c>
    </row>
    <row r="292" spans="1:12">
      <c r="A292" s="190"/>
      <c r="B292" s="234"/>
      <c r="C292" s="234"/>
      <c r="D292" s="234"/>
      <c r="E292" s="235"/>
      <c r="F292" s="236"/>
      <c r="G292" s="288"/>
      <c r="H292" s="234"/>
      <c r="I292" s="134" t="str">
        <f t="shared" si="17"/>
        <v/>
      </c>
      <c r="J292" s="14" t="str">
        <f t="shared" si="18"/>
        <v/>
      </c>
      <c r="K292" s="14" t="str">
        <f t="shared" si="19"/>
        <v/>
      </c>
      <c r="L292" s="14">
        <f t="shared" si="16"/>
        <v>0</v>
      </c>
    </row>
    <row r="293" spans="1:12">
      <c r="A293" s="190"/>
      <c r="B293" s="234"/>
      <c r="C293" s="234"/>
      <c r="D293" s="234"/>
      <c r="E293" s="235"/>
      <c r="F293" s="236"/>
      <c r="G293" s="288"/>
      <c r="H293" s="234"/>
      <c r="I293" s="134" t="str">
        <f t="shared" si="17"/>
        <v/>
      </c>
      <c r="J293" s="14" t="str">
        <f t="shared" si="18"/>
        <v/>
      </c>
      <c r="K293" s="14" t="str">
        <f t="shared" si="19"/>
        <v/>
      </c>
      <c r="L293" s="14">
        <f t="shared" si="16"/>
        <v>0</v>
      </c>
    </row>
    <row r="294" spans="1:12">
      <c r="A294" s="190"/>
      <c r="B294" s="234"/>
      <c r="C294" s="234"/>
      <c r="D294" s="234"/>
      <c r="E294" s="235"/>
      <c r="F294" s="236"/>
      <c r="G294" s="288"/>
      <c r="H294" s="234"/>
      <c r="I294" s="134" t="str">
        <f t="shared" si="17"/>
        <v/>
      </c>
      <c r="J294" s="14" t="str">
        <f t="shared" si="18"/>
        <v/>
      </c>
      <c r="K294" s="14" t="str">
        <f t="shared" si="19"/>
        <v/>
      </c>
      <c r="L294" s="14">
        <f t="shared" si="16"/>
        <v>0</v>
      </c>
    </row>
    <row r="295" spans="1:12">
      <c r="A295" s="190"/>
      <c r="B295" s="234"/>
      <c r="C295" s="234"/>
      <c r="D295" s="234"/>
      <c r="E295" s="235"/>
      <c r="F295" s="236"/>
      <c r="G295" s="288"/>
      <c r="H295" s="234"/>
      <c r="I295" s="134" t="str">
        <f t="shared" si="17"/>
        <v/>
      </c>
      <c r="J295" s="14" t="str">
        <f t="shared" si="18"/>
        <v/>
      </c>
      <c r="K295" s="14" t="str">
        <f t="shared" si="19"/>
        <v/>
      </c>
      <c r="L295" s="14">
        <f t="shared" si="16"/>
        <v>0</v>
      </c>
    </row>
    <row r="296" spans="1:12">
      <c r="A296" s="190"/>
      <c r="B296" s="234"/>
      <c r="C296" s="234"/>
      <c r="D296" s="234"/>
      <c r="E296" s="235"/>
      <c r="F296" s="236"/>
      <c r="G296" s="288"/>
      <c r="H296" s="234"/>
      <c r="I296" s="134" t="str">
        <f t="shared" si="17"/>
        <v/>
      </c>
      <c r="J296" s="14" t="str">
        <f t="shared" si="18"/>
        <v/>
      </c>
      <c r="K296" s="14" t="str">
        <f t="shared" si="19"/>
        <v/>
      </c>
      <c r="L296" s="14">
        <f t="shared" si="16"/>
        <v>0</v>
      </c>
    </row>
    <row r="297" spans="1:12">
      <c r="A297" s="190"/>
      <c r="B297" s="234"/>
      <c r="C297" s="234"/>
      <c r="D297" s="234"/>
      <c r="E297" s="235"/>
      <c r="F297" s="236"/>
      <c r="G297" s="288"/>
      <c r="H297" s="234"/>
      <c r="I297" s="134" t="str">
        <f t="shared" si="17"/>
        <v/>
      </c>
      <c r="J297" s="14" t="str">
        <f t="shared" si="18"/>
        <v/>
      </c>
      <c r="K297" s="14" t="str">
        <f t="shared" si="19"/>
        <v/>
      </c>
      <c r="L297" s="14">
        <f t="shared" si="16"/>
        <v>0</v>
      </c>
    </row>
    <row r="298" spans="1:12">
      <c r="A298" s="190"/>
      <c r="B298" s="234"/>
      <c r="C298" s="234"/>
      <c r="D298" s="234"/>
      <c r="E298" s="235"/>
      <c r="F298" s="236"/>
      <c r="G298" s="288"/>
      <c r="H298" s="234"/>
      <c r="I298" s="134" t="str">
        <f t="shared" si="17"/>
        <v/>
      </c>
      <c r="J298" s="14" t="str">
        <f t="shared" si="18"/>
        <v/>
      </c>
      <c r="K298" s="14" t="str">
        <f t="shared" si="19"/>
        <v/>
      </c>
      <c r="L298" s="14">
        <f t="shared" si="16"/>
        <v>0</v>
      </c>
    </row>
    <row r="299" spans="1:12">
      <c r="A299" s="190"/>
      <c r="B299" s="234"/>
      <c r="C299" s="234"/>
      <c r="D299" s="234"/>
      <c r="E299" s="235"/>
      <c r="F299" s="236"/>
      <c r="G299" s="288"/>
      <c r="H299" s="234"/>
      <c r="I299" s="134" t="str">
        <f t="shared" si="17"/>
        <v/>
      </c>
      <c r="J299" s="14" t="str">
        <f t="shared" si="18"/>
        <v/>
      </c>
      <c r="K299" s="14" t="str">
        <f t="shared" si="19"/>
        <v/>
      </c>
      <c r="L299" s="14">
        <f t="shared" si="16"/>
        <v>0</v>
      </c>
    </row>
    <row r="300" spans="1:12">
      <c r="A300" s="190"/>
      <c r="B300" s="234"/>
      <c r="C300" s="234"/>
      <c r="D300" s="234"/>
      <c r="E300" s="235"/>
      <c r="F300" s="236"/>
      <c r="G300" s="288"/>
      <c r="H300" s="234"/>
      <c r="I300" s="134" t="str">
        <f t="shared" si="17"/>
        <v/>
      </c>
      <c r="J300" s="14" t="str">
        <f t="shared" si="18"/>
        <v/>
      </c>
      <c r="K300" s="14" t="str">
        <f t="shared" si="19"/>
        <v/>
      </c>
      <c r="L300" s="14">
        <f t="shared" si="16"/>
        <v>0</v>
      </c>
    </row>
    <row r="301" spans="1:12">
      <c r="A301" s="190"/>
      <c r="B301" s="234"/>
      <c r="C301" s="234"/>
      <c r="D301" s="234"/>
      <c r="E301" s="235"/>
      <c r="F301" s="236"/>
      <c r="G301" s="288"/>
      <c r="H301" s="234"/>
      <c r="I301" s="134" t="str">
        <f t="shared" si="17"/>
        <v/>
      </c>
      <c r="J301" s="14" t="str">
        <f t="shared" si="18"/>
        <v/>
      </c>
      <c r="K301" s="14" t="str">
        <f t="shared" si="19"/>
        <v/>
      </c>
      <c r="L301" s="14">
        <f t="shared" si="16"/>
        <v>0</v>
      </c>
    </row>
    <row r="302" spans="1:12">
      <c r="A302" s="190"/>
      <c r="B302" s="234"/>
      <c r="C302" s="234"/>
      <c r="D302" s="234"/>
      <c r="E302" s="235"/>
      <c r="F302" s="236"/>
      <c r="G302" s="288"/>
      <c r="H302" s="234"/>
      <c r="I302" s="134" t="str">
        <f t="shared" si="17"/>
        <v/>
      </c>
      <c r="J302" s="14" t="str">
        <f t="shared" si="18"/>
        <v/>
      </c>
      <c r="K302" s="14" t="str">
        <f t="shared" si="19"/>
        <v/>
      </c>
      <c r="L302" s="14">
        <f t="shared" si="16"/>
        <v>0</v>
      </c>
    </row>
    <row r="303" spans="1:12">
      <c r="A303" s="190"/>
      <c r="B303" s="234"/>
      <c r="C303" s="234"/>
      <c r="D303" s="234"/>
      <c r="E303" s="235"/>
      <c r="F303" s="236"/>
      <c r="G303" s="288"/>
      <c r="H303" s="234"/>
      <c r="I303" s="134" t="str">
        <f t="shared" si="17"/>
        <v/>
      </c>
      <c r="J303" s="14" t="str">
        <f t="shared" si="18"/>
        <v/>
      </c>
      <c r="K303" s="14" t="str">
        <f t="shared" si="19"/>
        <v/>
      </c>
      <c r="L303" s="14">
        <f t="shared" si="16"/>
        <v>0</v>
      </c>
    </row>
    <row r="304" spans="1:12">
      <c r="A304" s="190"/>
      <c r="B304" s="234"/>
      <c r="C304" s="234"/>
      <c r="D304" s="234"/>
      <c r="E304" s="235"/>
      <c r="F304" s="236"/>
      <c r="G304" s="288"/>
      <c r="H304" s="234"/>
      <c r="I304" s="134" t="str">
        <f t="shared" si="17"/>
        <v/>
      </c>
      <c r="J304" s="14" t="str">
        <f t="shared" si="18"/>
        <v/>
      </c>
      <c r="K304" s="14" t="str">
        <f t="shared" si="19"/>
        <v/>
      </c>
      <c r="L304" s="14">
        <f t="shared" si="16"/>
        <v>0</v>
      </c>
    </row>
    <row r="305" spans="1:12">
      <c r="A305" s="190"/>
      <c r="B305" s="234"/>
      <c r="C305" s="234"/>
      <c r="D305" s="234"/>
      <c r="E305" s="235"/>
      <c r="F305" s="236"/>
      <c r="G305" s="288"/>
      <c r="H305" s="234"/>
      <c r="I305" s="134" t="str">
        <f t="shared" si="17"/>
        <v/>
      </c>
      <c r="J305" s="14" t="str">
        <f t="shared" si="18"/>
        <v/>
      </c>
      <c r="K305" s="14" t="str">
        <f t="shared" si="19"/>
        <v/>
      </c>
      <c r="L305" s="14">
        <f t="shared" si="16"/>
        <v>0</v>
      </c>
    </row>
    <row r="306" spans="1:12">
      <c r="A306" s="190"/>
      <c r="B306" s="234"/>
      <c r="C306" s="234"/>
      <c r="D306" s="234"/>
      <c r="E306" s="235"/>
      <c r="F306" s="236"/>
      <c r="G306" s="288"/>
      <c r="H306" s="234"/>
      <c r="I306" s="134" t="str">
        <f t="shared" si="17"/>
        <v/>
      </c>
      <c r="J306" s="14" t="str">
        <f t="shared" si="18"/>
        <v/>
      </c>
      <c r="K306" s="14" t="str">
        <f t="shared" si="19"/>
        <v/>
      </c>
      <c r="L306" s="14">
        <f t="shared" si="16"/>
        <v>0</v>
      </c>
    </row>
    <row r="307" spans="1:12">
      <c r="A307" s="190"/>
      <c r="B307" s="234"/>
      <c r="C307" s="234"/>
      <c r="D307" s="234"/>
      <c r="E307" s="235"/>
      <c r="F307" s="236"/>
      <c r="G307" s="288"/>
      <c r="H307" s="234"/>
      <c r="I307" s="134" t="str">
        <f t="shared" si="17"/>
        <v/>
      </c>
      <c r="J307" s="14" t="str">
        <f t="shared" si="18"/>
        <v/>
      </c>
      <c r="K307" s="14" t="str">
        <f t="shared" si="19"/>
        <v/>
      </c>
      <c r="L307" s="14">
        <f t="shared" si="16"/>
        <v>0</v>
      </c>
    </row>
    <row r="308" spans="1:12">
      <c r="A308" s="190"/>
      <c r="B308" s="234"/>
      <c r="C308" s="234"/>
      <c r="D308" s="234"/>
      <c r="E308" s="235"/>
      <c r="F308" s="236"/>
      <c r="G308" s="288"/>
      <c r="H308" s="234"/>
      <c r="I308" s="134" t="str">
        <f t="shared" si="17"/>
        <v/>
      </c>
      <c r="J308" s="14" t="str">
        <f t="shared" si="18"/>
        <v/>
      </c>
      <c r="K308" s="14" t="str">
        <f t="shared" si="19"/>
        <v/>
      </c>
      <c r="L308" s="14">
        <f t="shared" si="16"/>
        <v>0</v>
      </c>
    </row>
    <row r="309" spans="1:12">
      <c r="A309" s="190"/>
      <c r="B309" s="234"/>
      <c r="C309" s="234"/>
      <c r="D309" s="234"/>
      <c r="E309" s="235"/>
      <c r="F309" s="236"/>
      <c r="G309" s="288"/>
      <c r="H309" s="234"/>
      <c r="I309" s="134" t="str">
        <f t="shared" si="17"/>
        <v/>
      </c>
      <c r="J309" s="14" t="str">
        <f t="shared" si="18"/>
        <v/>
      </c>
      <c r="K309" s="14" t="str">
        <f t="shared" si="19"/>
        <v/>
      </c>
      <c r="L309" s="14">
        <f t="shared" si="16"/>
        <v>0</v>
      </c>
    </row>
    <row r="310" spans="1:12">
      <c r="A310" s="190"/>
      <c r="B310" s="234"/>
      <c r="C310" s="234"/>
      <c r="D310" s="234"/>
      <c r="E310" s="235"/>
      <c r="F310" s="236"/>
      <c r="G310" s="288"/>
      <c r="H310" s="234"/>
      <c r="I310" s="134" t="str">
        <f t="shared" si="17"/>
        <v/>
      </c>
      <c r="J310" s="14" t="str">
        <f t="shared" si="18"/>
        <v/>
      </c>
      <c r="K310" s="14" t="str">
        <f t="shared" si="19"/>
        <v/>
      </c>
      <c r="L310" s="14">
        <f t="shared" si="16"/>
        <v>0</v>
      </c>
    </row>
    <row r="311" spans="1:12">
      <c r="A311" s="190"/>
      <c r="B311" s="234"/>
      <c r="C311" s="234"/>
      <c r="D311" s="234"/>
      <c r="E311" s="235"/>
      <c r="F311" s="236"/>
      <c r="G311" s="288"/>
      <c r="H311" s="234"/>
      <c r="I311" s="134" t="str">
        <f t="shared" si="17"/>
        <v/>
      </c>
      <c r="J311" s="14" t="str">
        <f t="shared" si="18"/>
        <v/>
      </c>
      <c r="K311" s="14" t="str">
        <f t="shared" si="19"/>
        <v/>
      </c>
      <c r="L311" s="14">
        <f t="shared" si="16"/>
        <v>0</v>
      </c>
    </row>
    <row r="312" spans="1:12">
      <c r="A312" s="190"/>
      <c r="B312" s="234"/>
      <c r="C312" s="234"/>
      <c r="D312" s="234"/>
      <c r="E312" s="235"/>
      <c r="F312" s="236"/>
      <c r="G312" s="288"/>
      <c r="H312" s="234"/>
      <c r="I312" s="134" t="str">
        <f t="shared" si="17"/>
        <v/>
      </c>
      <c r="J312" s="14" t="str">
        <f t="shared" si="18"/>
        <v/>
      </c>
      <c r="K312" s="14" t="str">
        <f t="shared" si="19"/>
        <v/>
      </c>
      <c r="L312" s="14">
        <f t="shared" si="16"/>
        <v>0</v>
      </c>
    </row>
    <row r="313" spans="1:12">
      <c r="A313" s="190"/>
      <c r="B313" s="234"/>
      <c r="C313" s="234"/>
      <c r="D313" s="234"/>
      <c r="E313" s="235"/>
      <c r="F313" s="236"/>
      <c r="G313" s="288"/>
      <c r="H313" s="234"/>
      <c r="I313" s="134" t="str">
        <f t="shared" si="17"/>
        <v/>
      </c>
      <c r="J313" s="14" t="str">
        <f t="shared" si="18"/>
        <v/>
      </c>
      <c r="K313" s="14" t="str">
        <f t="shared" si="19"/>
        <v/>
      </c>
      <c r="L313" s="14">
        <f t="shared" si="16"/>
        <v>0</v>
      </c>
    </row>
    <row r="314" spans="1:12">
      <c r="A314" s="190"/>
      <c r="B314" s="234"/>
      <c r="C314" s="234"/>
      <c r="D314" s="234"/>
      <c r="E314" s="235"/>
      <c r="F314" s="236"/>
      <c r="G314" s="288"/>
      <c r="H314" s="234"/>
      <c r="I314" s="134" t="str">
        <f t="shared" si="17"/>
        <v/>
      </c>
      <c r="J314" s="14" t="str">
        <f t="shared" si="18"/>
        <v/>
      </c>
      <c r="K314" s="14" t="str">
        <f t="shared" si="19"/>
        <v/>
      </c>
      <c r="L314" s="14">
        <f t="shared" si="16"/>
        <v>0</v>
      </c>
    </row>
    <row r="315" spans="1:12">
      <c r="A315" s="190"/>
      <c r="B315" s="234"/>
      <c r="C315" s="234"/>
      <c r="D315" s="234"/>
      <c r="E315" s="235"/>
      <c r="F315" s="236"/>
      <c r="G315" s="288"/>
      <c r="H315" s="234"/>
      <c r="I315" s="134" t="str">
        <f t="shared" si="17"/>
        <v/>
      </c>
      <c r="J315" s="14" t="str">
        <f t="shared" si="18"/>
        <v/>
      </c>
      <c r="K315" s="14" t="str">
        <f t="shared" si="19"/>
        <v/>
      </c>
      <c r="L315" s="14">
        <f t="shared" si="16"/>
        <v>0</v>
      </c>
    </row>
    <row r="316" spans="1:12">
      <c r="A316" s="190"/>
      <c r="B316" s="234"/>
      <c r="C316" s="234"/>
      <c r="D316" s="234"/>
      <c r="E316" s="235"/>
      <c r="F316" s="236"/>
      <c r="G316" s="288"/>
      <c r="H316" s="234"/>
      <c r="I316" s="134" t="str">
        <f t="shared" si="17"/>
        <v/>
      </c>
      <c r="J316" s="14" t="str">
        <f t="shared" si="18"/>
        <v/>
      </c>
      <c r="K316" s="14" t="str">
        <f t="shared" si="19"/>
        <v/>
      </c>
      <c r="L316" s="14">
        <f t="shared" si="16"/>
        <v>0</v>
      </c>
    </row>
    <row r="317" spans="1:12">
      <c r="A317" s="190"/>
      <c r="B317" s="234"/>
      <c r="C317" s="234"/>
      <c r="D317" s="234"/>
      <c r="E317" s="235"/>
      <c r="F317" s="236"/>
      <c r="G317" s="288"/>
      <c r="H317" s="234"/>
      <c r="I317" s="134" t="str">
        <f t="shared" si="17"/>
        <v/>
      </c>
      <c r="J317" s="14" t="str">
        <f t="shared" si="18"/>
        <v/>
      </c>
      <c r="K317" s="14" t="str">
        <f t="shared" si="19"/>
        <v/>
      </c>
      <c r="L317" s="14">
        <f t="shared" si="16"/>
        <v>0</v>
      </c>
    </row>
    <row r="318" spans="1:12">
      <c r="A318" s="190"/>
      <c r="B318" s="234"/>
      <c r="C318" s="234"/>
      <c r="D318" s="234"/>
      <c r="E318" s="235"/>
      <c r="F318" s="236"/>
      <c r="G318" s="288"/>
      <c r="H318" s="234"/>
      <c r="I318" s="134" t="str">
        <f t="shared" si="17"/>
        <v/>
      </c>
      <c r="J318" s="14" t="str">
        <f t="shared" si="18"/>
        <v/>
      </c>
      <c r="K318" s="14" t="str">
        <f t="shared" si="19"/>
        <v/>
      </c>
      <c r="L318" s="14">
        <f t="shared" si="16"/>
        <v>0</v>
      </c>
    </row>
    <row r="319" spans="1:12">
      <c r="A319" s="190"/>
      <c r="B319" s="234"/>
      <c r="C319" s="234"/>
      <c r="D319" s="234"/>
      <c r="E319" s="235"/>
      <c r="F319" s="236"/>
      <c r="G319" s="288"/>
      <c r="H319" s="234"/>
      <c r="I319" s="134" t="str">
        <f t="shared" si="17"/>
        <v/>
      </c>
      <c r="J319" s="14" t="str">
        <f t="shared" si="18"/>
        <v/>
      </c>
      <c r="K319" s="14" t="str">
        <f t="shared" si="19"/>
        <v/>
      </c>
      <c r="L319" s="14">
        <f t="shared" si="16"/>
        <v>0</v>
      </c>
    </row>
    <row r="320" spans="1:12">
      <c r="A320" s="190"/>
      <c r="B320" s="234"/>
      <c r="C320" s="234"/>
      <c r="D320" s="234"/>
      <c r="E320" s="235"/>
      <c r="F320" s="236"/>
      <c r="G320" s="288"/>
      <c r="H320" s="234"/>
      <c r="I320" s="134" t="str">
        <f t="shared" si="17"/>
        <v/>
      </c>
      <c r="J320" s="14" t="str">
        <f t="shared" si="18"/>
        <v/>
      </c>
      <c r="K320" s="14" t="str">
        <f t="shared" si="19"/>
        <v/>
      </c>
      <c r="L320" s="14">
        <f t="shared" si="16"/>
        <v>0</v>
      </c>
    </row>
    <row r="321" spans="1:12">
      <c r="A321" s="190"/>
      <c r="B321" s="234"/>
      <c r="C321" s="234"/>
      <c r="D321" s="234"/>
      <c r="E321" s="235"/>
      <c r="F321" s="236"/>
      <c r="G321" s="288"/>
      <c r="H321" s="234"/>
      <c r="I321" s="134" t="str">
        <f t="shared" si="17"/>
        <v/>
      </c>
      <c r="J321" s="14" t="str">
        <f t="shared" si="18"/>
        <v/>
      </c>
      <c r="K321" s="14" t="str">
        <f t="shared" si="19"/>
        <v/>
      </c>
      <c r="L321" s="14">
        <f t="shared" si="16"/>
        <v>0</v>
      </c>
    </row>
    <row r="322" spans="1:12">
      <c r="A322" s="190"/>
      <c r="B322" s="234"/>
      <c r="C322" s="234"/>
      <c r="D322" s="234"/>
      <c r="E322" s="235"/>
      <c r="F322" s="236"/>
      <c r="G322" s="288"/>
      <c r="H322" s="234"/>
      <c r="I322" s="134" t="str">
        <f t="shared" si="17"/>
        <v/>
      </c>
      <c r="J322" s="14" t="str">
        <f t="shared" si="18"/>
        <v/>
      </c>
      <c r="K322" s="14" t="str">
        <f t="shared" si="19"/>
        <v/>
      </c>
      <c r="L322" s="14">
        <f t="shared" si="16"/>
        <v>0</v>
      </c>
    </row>
    <row r="323" spans="1:12">
      <c r="A323" s="190"/>
      <c r="B323" s="234"/>
      <c r="C323" s="234"/>
      <c r="D323" s="234"/>
      <c r="E323" s="235"/>
      <c r="F323" s="236"/>
      <c r="G323" s="288"/>
      <c r="H323" s="234"/>
      <c r="I323" s="134" t="str">
        <f t="shared" si="17"/>
        <v/>
      </c>
      <c r="J323" s="14" t="str">
        <f t="shared" si="18"/>
        <v/>
      </c>
      <c r="K323" s="14" t="str">
        <f t="shared" si="19"/>
        <v/>
      </c>
      <c r="L323" s="14">
        <f t="shared" si="16"/>
        <v>0</v>
      </c>
    </row>
    <row r="324" spans="1:12">
      <c r="A324" s="190"/>
      <c r="B324" s="234"/>
      <c r="C324" s="234"/>
      <c r="D324" s="234"/>
      <c r="E324" s="235"/>
      <c r="F324" s="236"/>
      <c r="G324" s="288"/>
      <c r="H324" s="234"/>
      <c r="I324" s="134" t="str">
        <f t="shared" si="17"/>
        <v/>
      </c>
      <c r="J324" s="14" t="str">
        <f t="shared" si="18"/>
        <v/>
      </c>
      <c r="K324" s="14" t="str">
        <f t="shared" si="19"/>
        <v/>
      </c>
      <c r="L324" s="14">
        <f t="shared" si="16"/>
        <v>0</v>
      </c>
    </row>
    <row r="325" spans="1:12">
      <c r="A325" s="190"/>
      <c r="B325" s="234"/>
      <c r="C325" s="234"/>
      <c r="D325" s="234"/>
      <c r="E325" s="235"/>
      <c r="F325" s="236"/>
      <c r="G325" s="288"/>
      <c r="H325" s="234"/>
      <c r="I325" s="134" t="str">
        <f t="shared" si="17"/>
        <v/>
      </c>
      <c r="J325" s="14" t="str">
        <f t="shared" si="18"/>
        <v/>
      </c>
      <c r="K325" s="14" t="str">
        <f t="shared" si="19"/>
        <v/>
      </c>
      <c r="L325" s="14">
        <f t="shared" si="16"/>
        <v>0</v>
      </c>
    </row>
    <row r="326" spans="1:12">
      <c r="A326" s="190"/>
      <c r="B326" s="234"/>
      <c r="C326" s="234"/>
      <c r="D326" s="234"/>
      <c r="E326" s="235"/>
      <c r="F326" s="236"/>
      <c r="G326" s="288"/>
      <c r="H326" s="234"/>
      <c r="I326" s="134" t="str">
        <f t="shared" si="17"/>
        <v/>
      </c>
      <c r="J326" s="14" t="str">
        <f t="shared" si="18"/>
        <v/>
      </c>
      <c r="K326" s="14" t="str">
        <f t="shared" si="19"/>
        <v/>
      </c>
      <c r="L326" s="14">
        <f t="shared" si="16"/>
        <v>0</v>
      </c>
    </row>
    <row r="327" spans="1:12">
      <c r="A327" s="190"/>
      <c r="B327" s="234"/>
      <c r="C327" s="234"/>
      <c r="D327" s="234"/>
      <c r="E327" s="235"/>
      <c r="F327" s="236"/>
      <c r="G327" s="288"/>
      <c r="H327" s="234"/>
      <c r="I327" s="134" t="str">
        <f t="shared" si="17"/>
        <v/>
      </c>
      <c r="J327" s="14" t="str">
        <f t="shared" si="18"/>
        <v/>
      </c>
      <c r="K327" s="14" t="str">
        <f t="shared" si="19"/>
        <v/>
      </c>
      <c r="L327" s="14">
        <f t="shared" si="16"/>
        <v>0</v>
      </c>
    </row>
    <row r="328" spans="1:12">
      <c r="A328" s="190"/>
      <c r="B328" s="234"/>
      <c r="C328" s="234"/>
      <c r="D328" s="234"/>
      <c r="E328" s="235"/>
      <c r="F328" s="236"/>
      <c r="G328" s="288"/>
      <c r="H328" s="234"/>
      <c r="I328" s="134" t="str">
        <f t="shared" si="17"/>
        <v/>
      </c>
      <c r="J328" s="14" t="str">
        <f t="shared" si="18"/>
        <v/>
      </c>
      <c r="K328" s="14" t="str">
        <f t="shared" si="19"/>
        <v/>
      </c>
      <c r="L328" s="14">
        <f t="shared" ref="L328:L391" si="20">E328*A328</f>
        <v>0</v>
      </c>
    </row>
    <row r="329" spans="1:12">
      <c r="A329" s="190"/>
      <c r="B329" s="234"/>
      <c r="C329" s="234"/>
      <c r="D329" s="234"/>
      <c r="E329" s="235"/>
      <c r="F329" s="236"/>
      <c r="G329" s="288"/>
      <c r="H329" s="234"/>
      <c r="I329" s="134" t="str">
        <f t="shared" ref="I329:I392" si="21">RIGHT($B329,3)</f>
        <v/>
      </c>
      <c r="J329" s="14" t="str">
        <f t="shared" ref="J329:J392" si="22">LEFT($C329,2)</f>
        <v/>
      </c>
      <c r="K329" s="14" t="str">
        <f t="shared" ref="K329:K392" si="23">RIGHT($D329,6)</f>
        <v/>
      </c>
      <c r="L329" s="14">
        <f t="shared" si="20"/>
        <v>0</v>
      </c>
    </row>
    <row r="330" spans="1:12">
      <c r="A330" s="190"/>
      <c r="B330" s="234"/>
      <c r="C330" s="234"/>
      <c r="D330" s="234"/>
      <c r="E330" s="235"/>
      <c r="F330" s="236"/>
      <c r="G330" s="288"/>
      <c r="H330" s="234"/>
      <c r="I330" s="134" t="str">
        <f t="shared" si="21"/>
        <v/>
      </c>
      <c r="J330" s="14" t="str">
        <f t="shared" si="22"/>
        <v/>
      </c>
      <c r="K330" s="14" t="str">
        <f t="shared" si="23"/>
        <v/>
      </c>
      <c r="L330" s="14">
        <f t="shared" si="20"/>
        <v>0</v>
      </c>
    </row>
    <row r="331" spans="1:12">
      <c r="A331" s="190"/>
      <c r="B331" s="234"/>
      <c r="C331" s="234"/>
      <c r="D331" s="234"/>
      <c r="E331" s="235"/>
      <c r="F331" s="236"/>
      <c r="G331" s="288"/>
      <c r="H331" s="234"/>
      <c r="I331" s="134" t="str">
        <f t="shared" si="21"/>
        <v/>
      </c>
      <c r="J331" s="14" t="str">
        <f t="shared" si="22"/>
        <v/>
      </c>
      <c r="K331" s="14" t="str">
        <f t="shared" si="23"/>
        <v/>
      </c>
      <c r="L331" s="14">
        <f t="shared" si="20"/>
        <v>0</v>
      </c>
    </row>
    <row r="332" spans="1:12">
      <c r="A332" s="190"/>
      <c r="B332" s="234"/>
      <c r="C332" s="234"/>
      <c r="D332" s="234"/>
      <c r="E332" s="235"/>
      <c r="F332" s="236"/>
      <c r="G332" s="288"/>
      <c r="H332" s="234"/>
      <c r="I332" s="134" t="str">
        <f t="shared" si="21"/>
        <v/>
      </c>
      <c r="J332" s="14" t="str">
        <f t="shared" si="22"/>
        <v/>
      </c>
      <c r="K332" s="14" t="str">
        <f t="shared" si="23"/>
        <v/>
      </c>
      <c r="L332" s="14">
        <f t="shared" si="20"/>
        <v>0</v>
      </c>
    </row>
    <row r="333" spans="1:12">
      <c r="A333" s="190"/>
      <c r="B333" s="234"/>
      <c r="C333" s="234"/>
      <c r="D333" s="234"/>
      <c r="E333" s="235"/>
      <c r="F333" s="236"/>
      <c r="G333" s="288"/>
      <c r="H333" s="234"/>
      <c r="I333" s="134" t="str">
        <f t="shared" si="21"/>
        <v/>
      </c>
      <c r="J333" s="14" t="str">
        <f t="shared" si="22"/>
        <v/>
      </c>
      <c r="K333" s="14" t="str">
        <f t="shared" si="23"/>
        <v/>
      </c>
      <c r="L333" s="14">
        <f t="shared" si="20"/>
        <v>0</v>
      </c>
    </row>
    <row r="334" spans="1:12">
      <c r="A334" s="190"/>
      <c r="B334" s="234"/>
      <c r="C334" s="234"/>
      <c r="D334" s="234"/>
      <c r="E334" s="235"/>
      <c r="F334" s="236"/>
      <c r="G334" s="288"/>
      <c r="H334" s="234"/>
      <c r="I334" s="134" t="str">
        <f t="shared" si="21"/>
        <v/>
      </c>
      <c r="J334" s="14" t="str">
        <f t="shared" si="22"/>
        <v/>
      </c>
      <c r="K334" s="14" t="str">
        <f t="shared" si="23"/>
        <v/>
      </c>
      <c r="L334" s="14">
        <f t="shared" si="20"/>
        <v>0</v>
      </c>
    </row>
    <row r="335" spans="1:12">
      <c r="A335" s="190"/>
      <c r="B335" s="234"/>
      <c r="C335" s="234"/>
      <c r="D335" s="234"/>
      <c r="E335" s="235"/>
      <c r="F335" s="236"/>
      <c r="G335" s="288"/>
      <c r="H335" s="234"/>
      <c r="I335" s="134" t="str">
        <f t="shared" si="21"/>
        <v/>
      </c>
      <c r="J335" s="14" t="str">
        <f t="shared" si="22"/>
        <v/>
      </c>
      <c r="K335" s="14" t="str">
        <f t="shared" si="23"/>
        <v/>
      </c>
      <c r="L335" s="14">
        <f t="shared" si="20"/>
        <v>0</v>
      </c>
    </row>
    <row r="336" spans="1:12">
      <c r="A336" s="190"/>
      <c r="B336" s="234"/>
      <c r="C336" s="234"/>
      <c r="D336" s="234"/>
      <c r="E336" s="235"/>
      <c r="F336" s="236"/>
      <c r="G336" s="288"/>
      <c r="H336" s="234"/>
      <c r="I336" s="134" t="str">
        <f t="shared" si="21"/>
        <v/>
      </c>
      <c r="J336" s="14" t="str">
        <f t="shared" si="22"/>
        <v/>
      </c>
      <c r="K336" s="14" t="str">
        <f t="shared" si="23"/>
        <v/>
      </c>
      <c r="L336" s="14">
        <f t="shared" si="20"/>
        <v>0</v>
      </c>
    </row>
    <row r="337" spans="1:12">
      <c r="A337" s="190"/>
      <c r="B337" s="234"/>
      <c r="C337" s="234"/>
      <c r="D337" s="234"/>
      <c r="E337" s="235"/>
      <c r="F337" s="236"/>
      <c r="G337" s="288"/>
      <c r="H337" s="234"/>
      <c r="I337" s="134" t="str">
        <f t="shared" si="21"/>
        <v/>
      </c>
      <c r="J337" s="14" t="str">
        <f t="shared" si="22"/>
        <v/>
      </c>
      <c r="K337" s="14" t="str">
        <f t="shared" si="23"/>
        <v/>
      </c>
      <c r="L337" s="14">
        <f t="shared" si="20"/>
        <v>0</v>
      </c>
    </row>
    <row r="338" spans="1:12">
      <c r="A338" s="190"/>
      <c r="B338" s="234"/>
      <c r="C338" s="234"/>
      <c r="D338" s="234"/>
      <c r="E338" s="235"/>
      <c r="F338" s="236"/>
      <c r="G338" s="288"/>
      <c r="H338" s="234"/>
      <c r="I338" s="134" t="str">
        <f t="shared" si="21"/>
        <v/>
      </c>
      <c r="J338" s="14" t="str">
        <f t="shared" si="22"/>
        <v/>
      </c>
      <c r="K338" s="14" t="str">
        <f t="shared" si="23"/>
        <v/>
      </c>
      <c r="L338" s="14">
        <f t="shared" si="20"/>
        <v>0</v>
      </c>
    </row>
    <row r="339" spans="1:12">
      <c r="A339" s="190"/>
      <c r="B339" s="234"/>
      <c r="C339" s="234"/>
      <c r="D339" s="234"/>
      <c r="E339" s="235"/>
      <c r="F339" s="236"/>
      <c r="G339" s="288"/>
      <c r="H339" s="234"/>
      <c r="I339" s="134" t="str">
        <f t="shared" si="21"/>
        <v/>
      </c>
      <c r="J339" s="14" t="str">
        <f t="shared" si="22"/>
        <v/>
      </c>
      <c r="K339" s="14" t="str">
        <f t="shared" si="23"/>
        <v/>
      </c>
      <c r="L339" s="14">
        <f t="shared" si="20"/>
        <v>0</v>
      </c>
    </row>
    <row r="340" spans="1:12">
      <c r="A340" s="190"/>
      <c r="B340" s="234"/>
      <c r="C340" s="234"/>
      <c r="D340" s="234"/>
      <c r="E340" s="235"/>
      <c r="F340" s="236"/>
      <c r="G340" s="288"/>
      <c r="H340" s="234"/>
      <c r="I340" s="134" t="str">
        <f t="shared" si="21"/>
        <v/>
      </c>
      <c r="J340" s="14" t="str">
        <f t="shared" si="22"/>
        <v/>
      </c>
      <c r="K340" s="14" t="str">
        <f t="shared" si="23"/>
        <v/>
      </c>
      <c r="L340" s="14">
        <f t="shared" si="20"/>
        <v>0</v>
      </c>
    </row>
    <row r="341" spans="1:12">
      <c r="A341" s="190"/>
      <c r="B341" s="234"/>
      <c r="C341" s="234"/>
      <c r="D341" s="234"/>
      <c r="E341" s="235"/>
      <c r="F341" s="236"/>
      <c r="G341" s="288"/>
      <c r="H341" s="234"/>
      <c r="I341" s="134" t="str">
        <f t="shared" si="21"/>
        <v/>
      </c>
      <c r="J341" s="14" t="str">
        <f t="shared" si="22"/>
        <v/>
      </c>
      <c r="K341" s="14" t="str">
        <f t="shared" si="23"/>
        <v/>
      </c>
      <c r="L341" s="14">
        <f t="shared" si="20"/>
        <v>0</v>
      </c>
    </row>
    <row r="342" spans="1:12">
      <c r="A342" s="190"/>
      <c r="B342" s="234"/>
      <c r="C342" s="234"/>
      <c r="D342" s="234"/>
      <c r="E342" s="235"/>
      <c r="F342" s="236"/>
      <c r="G342" s="288"/>
      <c r="H342" s="234"/>
      <c r="I342" s="134" t="str">
        <f t="shared" si="21"/>
        <v/>
      </c>
      <c r="J342" s="14" t="str">
        <f t="shared" si="22"/>
        <v/>
      </c>
      <c r="K342" s="14" t="str">
        <f t="shared" si="23"/>
        <v/>
      </c>
      <c r="L342" s="14">
        <f t="shared" si="20"/>
        <v>0</v>
      </c>
    </row>
    <row r="343" spans="1:12">
      <c r="A343" s="190"/>
      <c r="B343" s="234"/>
      <c r="C343" s="234"/>
      <c r="D343" s="234"/>
      <c r="E343" s="235"/>
      <c r="F343" s="236"/>
      <c r="G343" s="288"/>
      <c r="H343" s="234"/>
      <c r="I343" s="134" t="str">
        <f t="shared" si="21"/>
        <v/>
      </c>
      <c r="J343" s="14" t="str">
        <f t="shared" si="22"/>
        <v/>
      </c>
      <c r="K343" s="14" t="str">
        <f t="shared" si="23"/>
        <v/>
      </c>
      <c r="L343" s="14">
        <f t="shared" si="20"/>
        <v>0</v>
      </c>
    </row>
    <row r="344" spans="1:12">
      <c r="A344" s="190"/>
      <c r="B344" s="234"/>
      <c r="C344" s="234"/>
      <c r="D344" s="234"/>
      <c r="E344" s="235"/>
      <c r="F344" s="236"/>
      <c r="G344" s="288"/>
      <c r="H344" s="234"/>
      <c r="I344" s="134" t="str">
        <f t="shared" si="21"/>
        <v/>
      </c>
      <c r="J344" s="14" t="str">
        <f t="shared" si="22"/>
        <v/>
      </c>
      <c r="K344" s="14" t="str">
        <f t="shared" si="23"/>
        <v/>
      </c>
      <c r="L344" s="14">
        <f t="shared" si="20"/>
        <v>0</v>
      </c>
    </row>
    <row r="345" spans="1:12">
      <c r="A345" s="190"/>
      <c r="B345" s="234"/>
      <c r="C345" s="234"/>
      <c r="D345" s="234"/>
      <c r="E345" s="235"/>
      <c r="F345" s="236"/>
      <c r="G345" s="288"/>
      <c r="H345" s="234"/>
      <c r="I345" s="134" t="str">
        <f t="shared" si="21"/>
        <v/>
      </c>
      <c r="J345" s="14" t="str">
        <f t="shared" si="22"/>
        <v/>
      </c>
      <c r="K345" s="14" t="str">
        <f t="shared" si="23"/>
        <v/>
      </c>
      <c r="L345" s="14">
        <f t="shared" si="20"/>
        <v>0</v>
      </c>
    </row>
    <row r="346" spans="1:12">
      <c r="A346" s="190"/>
      <c r="B346" s="234"/>
      <c r="C346" s="234"/>
      <c r="D346" s="234"/>
      <c r="E346" s="235"/>
      <c r="F346" s="236"/>
      <c r="G346" s="288"/>
      <c r="H346" s="234"/>
      <c r="I346" s="134" t="str">
        <f t="shared" si="21"/>
        <v/>
      </c>
      <c r="J346" s="14" t="str">
        <f t="shared" si="22"/>
        <v/>
      </c>
      <c r="K346" s="14" t="str">
        <f t="shared" si="23"/>
        <v/>
      </c>
      <c r="L346" s="14">
        <f t="shared" si="20"/>
        <v>0</v>
      </c>
    </row>
    <row r="347" spans="1:12">
      <c r="A347" s="190"/>
      <c r="B347" s="234"/>
      <c r="C347" s="234"/>
      <c r="D347" s="234"/>
      <c r="E347" s="235"/>
      <c r="F347" s="236"/>
      <c r="G347" s="288"/>
      <c r="H347" s="234"/>
      <c r="I347" s="134" t="str">
        <f t="shared" si="21"/>
        <v/>
      </c>
      <c r="J347" s="14" t="str">
        <f t="shared" si="22"/>
        <v/>
      </c>
      <c r="K347" s="14" t="str">
        <f t="shared" si="23"/>
        <v/>
      </c>
      <c r="L347" s="14">
        <f t="shared" si="20"/>
        <v>0</v>
      </c>
    </row>
    <row r="348" spans="1:12">
      <c r="A348" s="190"/>
      <c r="B348" s="234"/>
      <c r="C348" s="234"/>
      <c r="D348" s="234"/>
      <c r="E348" s="235"/>
      <c r="F348" s="236"/>
      <c r="G348" s="288"/>
      <c r="H348" s="234"/>
      <c r="I348" s="134" t="str">
        <f t="shared" si="21"/>
        <v/>
      </c>
      <c r="J348" s="14" t="str">
        <f t="shared" si="22"/>
        <v/>
      </c>
      <c r="K348" s="14" t="str">
        <f t="shared" si="23"/>
        <v/>
      </c>
      <c r="L348" s="14">
        <f t="shared" si="20"/>
        <v>0</v>
      </c>
    </row>
    <row r="349" spans="1:12">
      <c r="A349" s="190"/>
      <c r="B349" s="234"/>
      <c r="C349" s="234"/>
      <c r="D349" s="234"/>
      <c r="E349" s="235"/>
      <c r="F349" s="236"/>
      <c r="G349" s="288"/>
      <c r="H349" s="234"/>
      <c r="I349" s="134" t="str">
        <f t="shared" si="21"/>
        <v/>
      </c>
      <c r="J349" s="14" t="str">
        <f t="shared" si="22"/>
        <v/>
      </c>
      <c r="K349" s="14" t="str">
        <f t="shared" si="23"/>
        <v/>
      </c>
      <c r="L349" s="14">
        <f t="shared" si="20"/>
        <v>0</v>
      </c>
    </row>
    <row r="350" spans="1:12">
      <c r="A350" s="190"/>
      <c r="B350" s="234"/>
      <c r="C350" s="234"/>
      <c r="D350" s="234"/>
      <c r="E350" s="235"/>
      <c r="F350" s="236"/>
      <c r="G350" s="288"/>
      <c r="H350" s="234"/>
      <c r="I350" s="134" t="str">
        <f t="shared" si="21"/>
        <v/>
      </c>
      <c r="J350" s="14" t="str">
        <f t="shared" si="22"/>
        <v/>
      </c>
      <c r="K350" s="14" t="str">
        <f t="shared" si="23"/>
        <v/>
      </c>
      <c r="L350" s="14">
        <f t="shared" si="20"/>
        <v>0</v>
      </c>
    </row>
    <row r="351" spans="1:12">
      <c r="A351" s="190"/>
      <c r="B351" s="234"/>
      <c r="C351" s="234"/>
      <c r="D351" s="234"/>
      <c r="E351" s="235"/>
      <c r="F351" s="236"/>
      <c r="G351" s="288"/>
      <c r="H351" s="234"/>
      <c r="I351" s="134" t="str">
        <f t="shared" si="21"/>
        <v/>
      </c>
      <c r="J351" s="14" t="str">
        <f t="shared" si="22"/>
        <v/>
      </c>
      <c r="K351" s="14" t="str">
        <f t="shared" si="23"/>
        <v/>
      </c>
      <c r="L351" s="14">
        <f t="shared" si="20"/>
        <v>0</v>
      </c>
    </row>
    <row r="352" spans="1:12">
      <c r="A352" s="190"/>
      <c r="B352" s="234"/>
      <c r="C352" s="234"/>
      <c r="D352" s="234"/>
      <c r="E352" s="235"/>
      <c r="F352" s="236"/>
      <c r="G352" s="288"/>
      <c r="H352" s="234"/>
      <c r="I352" s="134" t="str">
        <f t="shared" si="21"/>
        <v/>
      </c>
      <c r="J352" s="14" t="str">
        <f t="shared" si="22"/>
        <v/>
      </c>
      <c r="K352" s="14" t="str">
        <f t="shared" si="23"/>
        <v/>
      </c>
      <c r="L352" s="14">
        <f t="shared" si="20"/>
        <v>0</v>
      </c>
    </row>
    <row r="353" spans="1:12">
      <c r="A353" s="190"/>
      <c r="B353" s="234"/>
      <c r="C353" s="234"/>
      <c r="D353" s="234"/>
      <c r="E353" s="235"/>
      <c r="F353" s="236"/>
      <c r="G353" s="288"/>
      <c r="H353" s="234"/>
      <c r="I353" s="134" t="str">
        <f t="shared" si="21"/>
        <v/>
      </c>
      <c r="J353" s="14" t="str">
        <f t="shared" si="22"/>
        <v/>
      </c>
      <c r="K353" s="14" t="str">
        <f t="shared" si="23"/>
        <v/>
      </c>
      <c r="L353" s="14">
        <f t="shared" si="20"/>
        <v>0</v>
      </c>
    </row>
    <row r="354" spans="1:12">
      <c r="A354" s="190"/>
      <c r="B354" s="234"/>
      <c r="C354" s="234"/>
      <c r="D354" s="234"/>
      <c r="E354" s="235"/>
      <c r="F354" s="236"/>
      <c r="G354" s="288"/>
      <c r="H354" s="234"/>
      <c r="I354" s="134" t="str">
        <f t="shared" si="21"/>
        <v/>
      </c>
      <c r="J354" s="14" t="str">
        <f t="shared" si="22"/>
        <v/>
      </c>
      <c r="K354" s="14" t="str">
        <f t="shared" si="23"/>
        <v/>
      </c>
      <c r="L354" s="14">
        <f t="shared" si="20"/>
        <v>0</v>
      </c>
    </row>
    <row r="355" spans="1:12">
      <c r="A355" s="190"/>
      <c r="B355" s="234"/>
      <c r="C355" s="234"/>
      <c r="D355" s="234"/>
      <c r="E355" s="235"/>
      <c r="F355" s="236"/>
      <c r="G355" s="288"/>
      <c r="H355" s="234"/>
      <c r="I355" s="134" t="str">
        <f t="shared" si="21"/>
        <v/>
      </c>
      <c r="J355" s="14" t="str">
        <f t="shared" si="22"/>
        <v/>
      </c>
      <c r="K355" s="14" t="str">
        <f t="shared" si="23"/>
        <v/>
      </c>
      <c r="L355" s="14">
        <f t="shared" si="20"/>
        <v>0</v>
      </c>
    </row>
    <row r="356" spans="1:12">
      <c r="A356" s="190"/>
      <c r="B356" s="234"/>
      <c r="C356" s="234"/>
      <c r="D356" s="234"/>
      <c r="E356" s="235"/>
      <c r="F356" s="236"/>
      <c r="G356" s="288"/>
      <c r="H356" s="234"/>
      <c r="I356" s="134" t="str">
        <f t="shared" si="21"/>
        <v/>
      </c>
      <c r="J356" s="14" t="str">
        <f t="shared" si="22"/>
        <v/>
      </c>
      <c r="K356" s="14" t="str">
        <f t="shared" si="23"/>
        <v/>
      </c>
      <c r="L356" s="14">
        <f t="shared" si="20"/>
        <v>0</v>
      </c>
    </row>
    <row r="357" spans="1:12">
      <c r="A357" s="190"/>
      <c r="B357" s="234"/>
      <c r="C357" s="234"/>
      <c r="D357" s="234"/>
      <c r="E357" s="235"/>
      <c r="F357" s="236"/>
      <c r="G357" s="288"/>
      <c r="H357" s="234"/>
      <c r="I357" s="134" t="str">
        <f t="shared" si="21"/>
        <v/>
      </c>
      <c r="J357" s="14" t="str">
        <f t="shared" si="22"/>
        <v/>
      </c>
      <c r="K357" s="14" t="str">
        <f t="shared" si="23"/>
        <v/>
      </c>
      <c r="L357" s="14">
        <f t="shared" si="20"/>
        <v>0</v>
      </c>
    </row>
    <row r="358" spans="1:12">
      <c r="A358" s="190"/>
      <c r="B358" s="234"/>
      <c r="C358" s="234"/>
      <c r="D358" s="234"/>
      <c r="E358" s="235"/>
      <c r="F358" s="236"/>
      <c r="G358" s="288"/>
      <c r="H358" s="234"/>
      <c r="I358" s="134" t="str">
        <f t="shared" si="21"/>
        <v/>
      </c>
      <c r="J358" s="14" t="str">
        <f t="shared" si="22"/>
        <v/>
      </c>
      <c r="K358" s="14" t="str">
        <f t="shared" si="23"/>
        <v/>
      </c>
      <c r="L358" s="14">
        <f t="shared" si="20"/>
        <v>0</v>
      </c>
    </row>
    <row r="359" spans="1:12">
      <c r="A359" s="190"/>
      <c r="B359" s="234"/>
      <c r="C359" s="234"/>
      <c r="D359" s="234"/>
      <c r="E359" s="235"/>
      <c r="F359" s="236"/>
      <c r="G359" s="288"/>
      <c r="H359" s="234"/>
      <c r="I359" s="134" t="str">
        <f t="shared" si="21"/>
        <v/>
      </c>
      <c r="J359" s="14" t="str">
        <f t="shared" si="22"/>
        <v/>
      </c>
      <c r="K359" s="14" t="str">
        <f t="shared" si="23"/>
        <v/>
      </c>
      <c r="L359" s="14">
        <f t="shared" si="20"/>
        <v>0</v>
      </c>
    </row>
    <row r="360" spans="1:12">
      <c r="A360" s="190"/>
      <c r="B360" s="234"/>
      <c r="C360" s="234"/>
      <c r="D360" s="234"/>
      <c r="E360" s="235"/>
      <c r="F360" s="236"/>
      <c r="G360" s="288"/>
      <c r="H360" s="234"/>
      <c r="I360" s="134" t="str">
        <f t="shared" si="21"/>
        <v/>
      </c>
      <c r="J360" s="14" t="str">
        <f t="shared" si="22"/>
        <v/>
      </c>
      <c r="K360" s="14" t="str">
        <f t="shared" si="23"/>
        <v/>
      </c>
      <c r="L360" s="14">
        <f t="shared" si="20"/>
        <v>0</v>
      </c>
    </row>
    <row r="361" spans="1:12">
      <c r="A361" s="190"/>
      <c r="B361" s="234"/>
      <c r="C361" s="234"/>
      <c r="D361" s="234"/>
      <c r="E361" s="235"/>
      <c r="F361" s="236"/>
      <c r="G361" s="288"/>
      <c r="H361" s="234"/>
      <c r="I361" s="134" t="str">
        <f t="shared" si="21"/>
        <v/>
      </c>
      <c r="J361" s="14" t="str">
        <f t="shared" si="22"/>
        <v/>
      </c>
      <c r="K361" s="14" t="str">
        <f t="shared" si="23"/>
        <v/>
      </c>
      <c r="L361" s="14">
        <f t="shared" si="20"/>
        <v>0</v>
      </c>
    </row>
    <row r="362" spans="1:12">
      <c r="A362" s="190"/>
      <c r="B362" s="234"/>
      <c r="C362" s="234"/>
      <c r="D362" s="234"/>
      <c r="E362" s="235"/>
      <c r="F362" s="236"/>
      <c r="G362" s="288"/>
      <c r="H362" s="234"/>
      <c r="I362" s="134" t="str">
        <f t="shared" si="21"/>
        <v/>
      </c>
      <c r="J362" s="14" t="str">
        <f t="shared" si="22"/>
        <v/>
      </c>
      <c r="K362" s="14" t="str">
        <f t="shared" si="23"/>
        <v/>
      </c>
      <c r="L362" s="14">
        <f t="shared" si="20"/>
        <v>0</v>
      </c>
    </row>
    <row r="363" spans="1:12">
      <c r="A363" s="190"/>
      <c r="B363" s="234"/>
      <c r="C363" s="234"/>
      <c r="D363" s="234"/>
      <c r="E363" s="235"/>
      <c r="F363" s="236"/>
      <c r="G363" s="288"/>
      <c r="H363" s="234"/>
      <c r="I363" s="134" t="str">
        <f t="shared" si="21"/>
        <v/>
      </c>
      <c r="J363" s="14" t="str">
        <f t="shared" si="22"/>
        <v/>
      </c>
      <c r="K363" s="14" t="str">
        <f t="shared" si="23"/>
        <v/>
      </c>
      <c r="L363" s="14">
        <f t="shared" si="20"/>
        <v>0</v>
      </c>
    </row>
    <row r="364" spans="1:12">
      <c r="A364" s="190"/>
      <c r="B364" s="234"/>
      <c r="C364" s="234"/>
      <c r="D364" s="234"/>
      <c r="E364" s="235"/>
      <c r="F364" s="236"/>
      <c r="G364" s="288"/>
      <c r="H364" s="234"/>
      <c r="I364" s="134" t="str">
        <f t="shared" si="21"/>
        <v/>
      </c>
      <c r="J364" s="14" t="str">
        <f t="shared" si="22"/>
        <v/>
      </c>
      <c r="K364" s="14" t="str">
        <f t="shared" si="23"/>
        <v/>
      </c>
      <c r="L364" s="14">
        <f t="shared" si="20"/>
        <v>0</v>
      </c>
    </row>
    <row r="365" spans="1:12">
      <c r="A365" s="190"/>
      <c r="B365" s="234"/>
      <c r="C365" s="234"/>
      <c r="D365" s="234"/>
      <c r="E365" s="235"/>
      <c r="F365" s="236"/>
      <c r="G365" s="288"/>
      <c r="H365" s="234"/>
      <c r="I365" s="134" t="str">
        <f t="shared" si="21"/>
        <v/>
      </c>
      <c r="J365" s="14" t="str">
        <f t="shared" si="22"/>
        <v/>
      </c>
      <c r="K365" s="14" t="str">
        <f t="shared" si="23"/>
        <v/>
      </c>
      <c r="L365" s="14">
        <f t="shared" si="20"/>
        <v>0</v>
      </c>
    </row>
    <row r="366" spans="1:12">
      <c r="A366" s="190"/>
      <c r="B366" s="234"/>
      <c r="C366" s="234"/>
      <c r="D366" s="234"/>
      <c r="E366" s="235"/>
      <c r="F366" s="236"/>
      <c r="G366" s="288"/>
      <c r="H366" s="234"/>
      <c r="I366" s="134" t="str">
        <f t="shared" si="21"/>
        <v/>
      </c>
      <c r="J366" s="14" t="str">
        <f t="shared" si="22"/>
        <v/>
      </c>
      <c r="K366" s="14" t="str">
        <f t="shared" si="23"/>
        <v/>
      </c>
      <c r="L366" s="14">
        <f t="shared" si="20"/>
        <v>0</v>
      </c>
    </row>
    <row r="367" spans="1:12">
      <c r="A367" s="190"/>
      <c r="B367" s="234"/>
      <c r="C367" s="234"/>
      <c r="D367" s="234"/>
      <c r="E367" s="235"/>
      <c r="F367" s="236"/>
      <c r="G367" s="288"/>
      <c r="H367" s="234"/>
      <c r="I367" s="134" t="str">
        <f t="shared" si="21"/>
        <v/>
      </c>
      <c r="J367" s="14" t="str">
        <f t="shared" si="22"/>
        <v/>
      </c>
      <c r="K367" s="14" t="str">
        <f t="shared" si="23"/>
        <v/>
      </c>
      <c r="L367" s="14">
        <f t="shared" si="20"/>
        <v>0</v>
      </c>
    </row>
    <row r="368" spans="1:12">
      <c r="A368" s="190"/>
      <c r="B368" s="234"/>
      <c r="C368" s="234"/>
      <c r="D368" s="234"/>
      <c r="E368" s="235"/>
      <c r="F368" s="236"/>
      <c r="G368" s="288"/>
      <c r="H368" s="234"/>
      <c r="I368" s="134" t="str">
        <f t="shared" si="21"/>
        <v/>
      </c>
      <c r="J368" s="14" t="str">
        <f t="shared" si="22"/>
        <v/>
      </c>
      <c r="K368" s="14" t="str">
        <f t="shared" si="23"/>
        <v/>
      </c>
      <c r="L368" s="14">
        <f t="shared" si="20"/>
        <v>0</v>
      </c>
    </row>
    <row r="369" spans="1:12">
      <c r="A369" s="190"/>
      <c r="B369" s="234"/>
      <c r="C369" s="234"/>
      <c r="D369" s="234"/>
      <c r="E369" s="235"/>
      <c r="F369" s="236"/>
      <c r="G369" s="288"/>
      <c r="H369" s="234"/>
      <c r="I369" s="134" t="str">
        <f t="shared" si="21"/>
        <v/>
      </c>
      <c r="J369" s="14" t="str">
        <f t="shared" si="22"/>
        <v/>
      </c>
      <c r="K369" s="14" t="str">
        <f t="shared" si="23"/>
        <v/>
      </c>
      <c r="L369" s="14">
        <f t="shared" si="20"/>
        <v>0</v>
      </c>
    </row>
    <row r="370" spans="1:12">
      <c r="A370" s="190"/>
      <c r="B370" s="234"/>
      <c r="C370" s="234"/>
      <c r="D370" s="234"/>
      <c r="E370" s="235"/>
      <c r="F370" s="236"/>
      <c r="G370" s="288"/>
      <c r="H370" s="234"/>
      <c r="I370" s="134" t="str">
        <f t="shared" si="21"/>
        <v/>
      </c>
      <c r="J370" s="14" t="str">
        <f t="shared" si="22"/>
        <v/>
      </c>
      <c r="K370" s="14" t="str">
        <f t="shared" si="23"/>
        <v/>
      </c>
      <c r="L370" s="14">
        <f t="shared" si="20"/>
        <v>0</v>
      </c>
    </row>
    <row r="371" spans="1:12">
      <c r="A371" s="190"/>
      <c r="B371" s="234"/>
      <c r="C371" s="234"/>
      <c r="D371" s="234"/>
      <c r="E371" s="235"/>
      <c r="F371" s="236"/>
      <c r="G371" s="288"/>
      <c r="H371" s="234"/>
      <c r="I371" s="134" t="str">
        <f t="shared" si="21"/>
        <v/>
      </c>
      <c r="J371" s="14" t="str">
        <f t="shared" si="22"/>
        <v/>
      </c>
      <c r="K371" s="14" t="str">
        <f t="shared" si="23"/>
        <v/>
      </c>
      <c r="L371" s="14">
        <f t="shared" si="20"/>
        <v>0</v>
      </c>
    </row>
    <row r="372" spans="1:12">
      <c r="A372" s="190"/>
      <c r="B372" s="234"/>
      <c r="C372" s="234"/>
      <c r="D372" s="234"/>
      <c r="E372" s="235"/>
      <c r="F372" s="236"/>
      <c r="G372" s="288"/>
      <c r="H372" s="234"/>
      <c r="I372" s="134" t="str">
        <f t="shared" si="21"/>
        <v/>
      </c>
      <c r="J372" s="14" t="str">
        <f t="shared" si="22"/>
        <v/>
      </c>
      <c r="K372" s="14" t="str">
        <f t="shared" si="23"/>
        <v/>
      </c>
      <c r="L372" s="14">
        <f t="shared" si="20"/>
        <v>0</v>
      </c>
    </row>
    <row r="373" spans="1:12">
      <c r="A373" s="190"/>
      <c r="B373" s="234"/>
      <c r="C373" s="234"/>
      <c r="D373" s="234"/>
      <c r="E373" s="235"/>
      <c r="F373" s="236"/>
      <c r="G373" s="288"/>
      <c r="H373" s="234"/>
      <c r="I373" s="134" t="str">
        <f t="shared" si="21"/>
        <v/>
      </c>
      <c r="J373" s="14" t="str">
        <f t="shared" si="22"/>
        <v/>
      </c>
      <c r="K373" s="14" t="str">
        <f t="shared" si="23"/>
        <v/>
      </c>
      <c r="L373" s="14">
        <f t="shared" si="20"/>
        <v>0</v>
      </c>
    </row>
    <row r="374" spans="1:12">
      <c r="A374" s="190"/>
      <c r="B374" s="234"/>
      <c r="C374" s="234"/>
      <c r="D374" s="234"/>
      <c r="E374" s="235"/>
      <c r="F374" s="236"/>
      <c r="G374" s="288"/>
      <c r="H374" s="234"/>
      <c r="I374" s="134" t="str">
        <f t="shared" si="21"/>
        <v/>
      </c>
      <c r="J374" s="14" t="str">
        <f t="shared" si="22"/>
        <v/>
      </c>
      <c r="K374" s="14" t="str">
        <f t="shared" si="23"/>
        <v/>
      </c>
      <c r="L374" s="14">
        <f t="shared" si="20"/>
        <v>0</v>
      </c>
    </row>
    <row r="375" spans="1:12">
      <c r="A375" s="190"/>
      <c r="B375" s="234"/>
      <c r="C375" s="234"/>
      <c r="D375" s="234"/>
      <c r="E375" s="235"/>
      <c r="F375" s="236"/>
      <c r="G375" s="288"/>
      <c r="H375" s="234"/>
      <c r="I375" s="134" t="str">
        <f t="shared" si="21"/>
        <v/>
      </c>
      <c r="J375" s="14" t="str">
        <f t="shared" si="22"/>
        <v/>
      </c>
      <c r="K375" s="14" t="str">
        <f t="shared" si="23"/>
        <v/>
      </c>
      <c r="L375" s="14">
        <f t="shared" si="20"/>
        <v>0</v>
      </c>
    </row>
    <row r="376" spans="1:12">
      <c r="A376" s="190"/>
      <c r="B376" s="234"/>
      <c r="C376" s="234"/>
      <c r="D376" s="234"/>
      <c r="E376" s="235"/>
      <c r="F376" s="236"/>
      <c r="G376" s="288"/>
      <c r="H376" s="234"/>
      <c r="I376" s="134" t="str">
        <f t="shared" si="21"/>
        <v/>
      </c>
      <c r="J376" s="14" t="str">
        <f t="shared" si="22"/>
        <v/>
      </c>
      <c r="K376" s="14" t="str">
        <f t="shared" si="23"/>
        <v/>
      </c>
      <c r="L376" s="14">
        <f t="shared" si="20"/>
        <v>0</v>
      </c>
    </row>
    <row r="377" spans="1:12">
      <c r="A377" s="190"/>
      <c r="B377" s="234"/>
      <c r="C377" s="234"/>
      <c r="D377" s="234"/>
      <c r="E377" s="235"/>
      <c r="F377" s="236"/>
      <c r="G377" s="288"/>
      <c r="H377" s="234"/>
      <c r="I377" s="134" t="str">
        <f t="shared" si="21"/>
        <v/>
      </c>
      <c r="J377" s="14" t="str">
        <f t="shared" si="22"/>
        <v/>
      </c>
      <c r="K377" s="14" t="str">
        <f t="shared" si="23"/>
        <v/>
      </c>
      <c r="L377" s="14">
        <f t="shared" si="20"/>
        <v>0</v>
      </c>
    </row>
    <row r="378" spans="1:12">
      <c r="A378" s="190"/>
      <c r="B378" s="234"/>
      <c r="C378" s="234"/>
      <c r="D378" s="234"/>
      <c r="E378" s="235"/>
      <c r="F378" s="236"/>
      <c r="G378" s="288"/>
      <c r="H378" s="234"/>
      <c r="I378" s="134" t="str">
        <f t="shared" si="21"/>
        <v/>
      </c>
      <c r="J378" s="14" t="str">
        <f t="shared" si="22"/>
        <v/>
      </c>
      <c r="K378" s="14" t="str">
        <f t="shared" si="23"/>
        <v/>
      </c>
      <c r="L378" s="14">
        <f t="shared" si="20"/>
        <v>0</v>
      </c>
    </row>
    <row r="379" spans="1:12">
      <c r="A379" s="190"/>
      <c r="B379" s="234"/>
      <c r="C379" s="234"/>
      <c r="D379" s="234"/>
      <c r="E379" s="235"/>
      <c r="F379" s="236"/>
      <c r="G379" s="288"/>
      <c r="H379" s="234"/>
      <c r="I379" s="134" t="str">
        <f t="shared" si="21"/>
        <v/>
      </c>
      <c r="J379" s="14" t="str">
        <f t="shared" si="22"/>
        <v/>
      </c>
      <c r="K379" s="14" t="str">
        <f t="shared" si="23"/>
        <v/>
      </c>
      <c r="L379" s="14">
        <f t="shared" si="20"/>
        <v>0</v>
      </c>
    </row>
    <row r="380" spans="1:12">
      <c r="A380" s="190"/>
      <c r="B380" s="234"/>
      <c r="C380" s="234"/>
      <c r="D380" s="234"/>
      <c r="E380" s="235"/>
      <c r="F380" s="236"/>
      <c r="G380" s="288"/>
      <c r="H380" s="234"/>
      <c r="I380" s="134" t="str">
        <f t="shared" si="21"/>
        <v/>
      </c>
      <c r="J380" s="14" t="str">
        <f t="shared" si="22"/>
        <v/>
      </c>
      <c r="K380" s="14" t="str">
        <f t="shared" si="23"/>
        <v/>
      </c>
      <c r="L380" s="14">
        <f t="shared" si="20"/>
        <v>0</v>
      </c>
    </row>
    <row r="381" spans="1:12">
      <c r="A381" s="190"/>
      <c r="B381" s="234"/>
      <c r="C381" s="234"/>
      <c r="D381" s="234"/>
      <c r="E381" s="235"/>
      <c r="F381" s="236"/>
      <c r="G381" s="288"/>
      <c r="H381" s="234"/>
      <c r="I381" s="134" t="str">
        <f t="shared" si="21"/>
        <v/>
      </c>
      <c r="J381" s="14" t="str">
        <f t="shared" si="22"/>
        <v/>
      </c>
      <c r="K381" s="14" t="str">
        <f t="shared" si="23"/>
        <v/>
      </c>
      <c r="L381" s="14">
        <f t="shared" si="20"/>
        <v>0</v>
      </c>
    </row>
    <row r="382" spans="1:12">
      <c r="A382" s="190"/>
      <c r="B382" s="234"/>
      <c r="C382" s="234"/>
      <c r="D382" s="234"/>
      <c r="E382" s="235"/>
      <c r="F382" s="236"/>
      <c r="G382" s="288"/>
      <c r="H382" s="234"/>
      <c r="I382" s="134" t="str">
        <f t="shared" si="21"/>
        <v/>
      </c>
      <c r="J382" s="14" t="str">
        <f t="shared" si="22"/>
        <v/>
      </c>
      <c r="K382" s="14" t="str">
        <f t="shared" si="23"/>
        <v/>
      </c>
      <c r="L382" s="14">
        <f t="shared" si="20"/>
        <v>0</v>
      </c>
    </row>
    <row r="383" spans="1:12">
      <c r="A383" s="190"/>
      <c r="B383" s="234"/>
      <c r="C383" s="234"/>
      <c r="D383" s="234"/>
      <c r="E383" s="235"/>
      <c r="F383" s="236"/>
      <c r="G383" s="288"/>
      <c r="H383" s="234"/>
      <c r="I383" s="134" t="str">
        <f t="shared" si="21"/>
        <v/>
      </c>
      <c r="J383" s="14" t="str">
        <f t="shared" si="22"/>
        <v/>
      </c>
      <c r="K383" s="14" t="str">
        <f t="shared" si="23"/>
        <v/>
      </c>
      <c r="L383" s="14">
        <f t="shared" si="20"/>
        <v>0</v>
      </c>
    </row>
    <row r="384" spans="1:12">
      <c r="A384" s="190"/>
      <c r="B384" s="234"/>
      <c r="C384" s="234"/>
      <c r="D384" s="234"/>
      <c r="E384" s="235"/>
      <c r="F384" s="236"/>
      <c r="G384" s="288"/>
      <c r="H384" s="234"/>
      <c r="I384" s="134" t="str">
        <f t="shared" si="21"/>
        <v/>
      </c>
      <c r="J384" s="14" t="str">
        <f t="shared" si="22"/>
        <v/>
      </c>
      <c r="K384" s="14" t="str">
        <f t="shared" si="23"/>
        <v/>
      </c>
      <c r="L384" s="14">
        <f t="shared" si="20"/>
        <v>0</v>
      </c>
    </row>
    <row r="385" spans="1:12">
      <c r="A385" s="190"/>
      <c r="B385" s="234"/>
      <c r="C385" s="234"/>
      <c r="D385" s="234"/>
      <c r="E385" s="235"/>
      <c r="F385" s="236"/>
      <c r="G385" s="288"/>
      <c r="H385" s="234"/>
      <c r="I385" s="134" t="str">
        <f t="shared" si="21"/>
        <v/>
      </c>
      <c r="J385" s="14" t="str">
        <f t="shared" si="22"/>
        <v/>
      </c>
      <c r="K385" s="14" t="str">
        <f t="shared" si="23"/>
        <v/>
      </c>
      <c r="L385" s="14">
        <f t="shared" si="20"/>
        <v>0</v>
      </c>
    </row>
    <row r="386" spans="1:12">
      <c r="A386" s="190"/>
      <c r="B386" s="234"/>
      <c r="C386" s="234"/>
      <c r="D386" s="234"/>
      <c r="E386" s="235"/>
      <c r="F386" s="236"/>
      <c r="G386" s="288"/>
      <c r="H386" s="234"/>
      <c r="I386" s="134" t="str">
        <f t="shared" si="21"/>
        <v/>
      </c>
      <c r="J386" s="14" t="str">
        <f t="shared" si="22"/>
        <v/>
      </c>
      <c r="K386" s="14" t="str">
        <f t="shared" si="23"/>
        <v/>
      </c>
      <c r="L386" s="14">
        <f t="shared" si="20"/>
        <v>0</v>
      </c>
    </row>
    <row r="387" spans="1:12">
      <c r="A387" s="190"/>
      <c r="B387" s="234"/>
      <c r="C387" s="234"/>
      <c r="D387" s="234"/>
      <c r="E387" s="235"/>
      <c r="F387" s="236"/>
      <c r="G387" s="288"/>
      <c r="H387" s="234"/>
      <c r="I387" s="134" t="str">
        <f t="shared" si="21"/>
        <v/>
      </c>
      <c r="J387" s="14" t="str">
        <f t="shared" si="22"/>
        <v/>
      </c>
      <c r="K387" s="14" t="str">
        <f t="shared" si="23"/>
        <v/>
      </c>
      <c r="L387" s="14">
        <f t="shared" si="20"/>
        <v>0</v>
      </c>
    </row>
    <row r="388" spans="1:12">
      <c r="A388" s="190"/>
      <c r="B388" s="234"/>
      <c r="C388" s="234"/>
      <c r="D388" s="234"/>
      <c r="E388" s="235"/>
      <c r="F388" s="236"/>
      <c r="G388" s="288"/>
      <c r="H388" s="234"/>
      <c r="I388" s="134" t="str">
        <f t="shared" si="21"/>
        <v/>
      </c>
      <c r="J388" s="14" t="str">
        <f t="shared" si="22"/>
        <v/>
      </c>
      <c r="K388" s="14" t="str">
        <f t="shared" si="23"/>
        <v/>
      </c>
      <c r="L388" s="14">
        <f t="shared" si="20"/>
        <v>0</v>
      </c>
    </row>
    <row r="389" spans="1:12">
      <c r="A389" s="190"/>
      <c r="B389" s="234"/>
      <c r="C389" s="234"/>
      <c r="D389" s="234"/>
      <c r="E389" s="235"/>
      <c r="F389" s="236"/>
      <c r="G389" s="288"/>
      <c r="H389" s="234"/>
      <c r="I389" s="134" t="str">
        <f t="shared" si="21"/>
        <v/>
      </c>
      <c r="J389" s="14" t="str">
        <f t="shared" si="22"/>
        <v/>
      </c>
      <c r="K389" s="14" t="str">
        <f t="shared" si="23"/>
        <v/>
      </c>
      <c r="L389" s="14">
        <f t="shared" si="20"/>
        <v>0</v>
      </c>
    </row>
    <row r="390" spans="1:12">
      <c r="A390" s="190"/>
      <c r="B390" s="234"/>
      <c r="C390" s="234"/>
      <c r="D390" s="234"/>
      <c r="E390" s="235"/>
      <c r="F390" s="236"/>
      <c r="G390" s="288"/>
      <c r="H390" s="234"/>
      <c r="I390" s="134" t="str">
        <f t="shared" si="21"/>
        <v/>
      </c>
      <c r="J390" s="14" t="str">
        <f t="shared" si="22"/>
        <v/>
      </c>
      <c r="K390" s="14" t="str">
        <f t="shared" si="23"/>
        <v/>
      </c>
      <c r="L390" s="14">
        <f t="shared" si="20"/>
        <v>0</v>
      </c>
    </row>
    <row r="391" spans="1:12">
      <c r="A391" s="190"/>
      <c r="B391" s="234"/>
      <c r="C391" s="234"/>
      <c r="D391" s="234"/>
      <c r="E391" s="235"/>
      <c r="F391" s="236"/>
      <c r="G391" s="288"/>
      <c r="H391" s="234"/>
      <c r="I391" s="134" t="str">
        <f t="shared" si="21"/>
        <v/>
      </c>
      <c r="J391" s="14" t="str">
        <f t="shared" si="22"/>
        <v/>
      </c>
      <c r="K391" s="14" t="str">
        <f t="shared" si="23"/>
        <v/>
      </c>
      <c r="L391" s="14">
        <f t="shared" si="20"/>
        <v>0</v>
      </c>
    </row>
    <row r="392" spans="1:12">
      <c r="A392" s="190"/>
      <c r="B392" s="234"/>
      <c r="C392" s="234"/>
      <c r="D392" s="234"/>
      <c r="E392" s="235"/>
      <c r="F392" s="236"/>
      <c r="G392" s="288"/>
      <c r="H392" s="234"/>
      <c r="I392" s="134" t="str">
        <f t="shared" si="21"/>
        <v/>
      </c>
      <c r="J392" s="14" t="str">
        <f t="shared" si="22"/>
        <v/>
      </c>
      <c r="K392" s="14" t="str">
        <f t="shared" si="23"/>
        <v/>
      </c>
      <c r="L392" s="14">
        <f t="shared" ref="L392:L455" si="24">E392*A392</f>
        <v>0</v>
      </c>
    </row>
    <row r="393" spans="1:12">
      <c r="A393" s="190"/>
      <c r="B393" s="234"/>
      <c r="C393" s="234"/>
      <c r="D393" s="234"/>
      <c r="E393" s="235"/>
      <c r="F393" s="236"/>
      <c r="G393" s="288"/>
      <c r="H393" s="234"/>
      <c r="I393" s="134" t="str">
        <f t="shared" ref="I393:I456" si="25">RIGHT($B393,3)</f>
        <v/>
      </c>
      <c r="J393" s="14" t="str">
        <f t="shared" ref="J393:J456" si="26">LEFT($C393,2)</f>
        <v/>
      </c>
      <c r="K393" s="14" t="str">
        <f t="shared" ref="K393:K456" si="27">RIGHT($D393,6)</f>
        <v/>
      </c>
      <c r="L393" s="14">
        <f t="shared" si="24"/>
        <v>0</v>
      </c>
    </row>
    <row r="394" spans="1:12">
      <c r="A394" s="190"/>
      <c r="B394" s="234"/>
      <c r="C394" s="234"/>
      <c r="D394" s="234"/>
      <c r="E394" s="235"/>
      <c r="F394" s="236"/>
      <c r="G394" s="288"/>
      <c r="H394" s="234"/>
      <c r="I394" s="134" t="str">
        <f t="shared" si="25"/>
        <v/>
      </c>
      <c r="J394" s="14" t="str">
        <f t="shared" si="26"/>
        <v/>
      </c>
      <c r="K394" s="14" t="str">
        <f t="shared" si="27"/>
        <v/>
      </c>
      <c r="L394" s="14">
        <f t="shared" si="24"/>
        <v>0</v>
      </c>
    </row>
    <row r="395" spans="1:12">
      <c r="A395" s="190"/>
      <c r="B395" s="234"/>
      <c r="C395" s="234"/>
      <c r="D395" s="234"/>
      <c r="E395" s="235"/>
      <c r="F395" s="236"/>
      <c r="G395" s="288"/>
      <c r="H395" s="234"/>
      <c r="I395" s="134" t="str">
        <f t="shared" si="25"/>
        <v/>
      </c>
      <c r="J395" s="14" t="str">
        <f t="shared" si="26"/>
        <v/>
      </c>
      <c r="K395" s="14" t="str">
        <f t="shared" si="27"/>
        <v/>
      </c>
      <c r="L395" s="14">
        <f t="shared" si="24"/>
        <v>0</v>
      </c>
    </row>
    <row r="396" spans="1:12">
      <c r="A396" s="190"/>
      <c r="B396" s="234"/>
      <c r="C396" s="234"/>
      <c r="D396" s="234"/>
      <c r="E396" s="235"/>
      <c r="F396" s="236"/>
      <c r="G396" s="288"/>
      <c r="H396" s="234"/>
      <c r="I396" s="134" t="str">
        <f t="shared" si="25"/>
        <v/>
      </c>
      <c r="J396" s="14" t="str">
        <f t="shared" si="26"/>
        <v/>
      </c>
      <c r="K396" s="14" t="str">
        <f t="shared" si="27"/>
        <v/>
      </c>
      <c r="L396" s="14">
        <f t="shared" si="24"/>
        <v>0</v>
      </c>
    </row>
    <row r="397" spans="1:12">
      <c r="A397" s="190"/>
      <c r="B397" s="234"/>
      <c r="C397" s="234"/>
      <c r="D397" s="234"/>
      <c r="E397" s="235"/>
      <c r="F397" s="236"/>
      <c r="G397" s="288"/>
      <c r="H397" s="234"/>
      <c r="I397" s="134" t="str">
        <f t="shared" si="25"/>
        <v/>
      </c>
      <c r="J397" s="14" t="str">
        <f t="shared" si="26"/>
        <v/>
      </c>
      <c r="K397" s="14" t="str">
        <f t="shared" si="27"/>
        <v/>
      </c>
      <c r="L397" s="14">
        <f t="shared" si="24"/>
        <v>0</v>
      </c>
    </row>
    <row r="398" spans="1:12">
      <c r="A398" s="190"/>
      <c r="B398" s="234"/>
      <c r="C398" s="234"/>
      <c r="D398" s="234"/>
      <c r="E398" s="235"/>
      <c r="F398" s="236"/>
      <c r="G398" s="288"/>
      <c r="H398" s="234"/>
      <c r="I398" s="134" t="str">
        <f t="shared" si="25"/>
        <v/>
      </c>
      <c r="J398" s="14" t="str">
        <f t="shared" si="26"/>
        <v/>
      </c>
      <c r="K398" s="14" t="str">
        <f t="shared" si="27"/>
        <v/>
      </c>
      <c r="L398" s="14">
        <f t="shared" si="24"/>
        <v>0</v>
      </c>
    </row>
    <row r="399" spans="1:12">
      <c r="A399" s="190"/>
      <c r="B399" s="234"/>
      <c r="C399" s="234"/>
      <c r="D399" s="234"/>
      <c r="E399" s="235"/>
      <c r="F399" s="236"/>
      <c r="G399" s="288"/>
      <c r="H399" s="234"/>
      <c r="I399" s="134" t="str">
        <f t="shared" si="25"/>
        <v/>
      </c>
      <c r="J399" s="14" t="str">
        <f t="shared" si="26"/>
        <v/>
      </c>
      <c r="K399" s="14" t="str">
        <f t="shared" si="27"/>
        <v/>
      </c>
      <c r="L399" s="14">
        <f t="shared" si="24"/>
        <v>0</v>
      </c>
    </row>
    <row r="400" spans="1:12">
      <c r="A400" s="190"/>
      <c r="B400" s="234"/>
      <c r="C400" s="234"/>
      <c r="D400" s="234"/>
      <c r="E400" s="235"/>
      <c r="F400" s="236"/>
      <c r="G400" s="288"/>
      <c r="H400" s="234"/>
      <c r="I400" s="134" t="str">
        <f t="shared" si="25"/>
        <v/>
      </c>
      <c r="J400" s="14" t="str">
        <f t="shared" si="26"/>
        <v/>
      </c>
      <c r="K400" s="14" t="str">
        <f t="shared" si="27"/>
        <v/>
      </c>
      <c r="L400" s="14">
        <f t="shared" si="24"/>
        <v>0</v>
      </c>
    </row>
    <row r="401" spans="1:12">
      <c r="A401" s="190"/>
      <c r="B401" s="234"/>
      <c r="C401" s="234"/>
      <c r="D401" s="234"/>
      <c r="E401" s="235"/>
      <c r="F401" s="236"/>
      <c r="G401" s="288"/>
      <c r="H401" s="234"/>
      <c r="I401" s="134" t="str">
        <f t="shared" si="25"/>
        <v/>
      </c>
      <c r="J401" s="14" t="str">
        <f t="shared" si="26"/>
        <v/>
      </c>
      <c r="K401" s="14" t="str">
        <f t="shared" si="27"/>
        <v/>
      </c>
      <c r="L401" s="14">
        <f t="shared" si="24"/>
        <v>0</v>
      </c>
    </row>
    <row r="402" spans="1:12">
      <c r="A402" s="190"/>
      <c r="B402" s="234"/>
      <c r="C402" s="234"/>
      <c r="D402" s="234"/>
      <c r="E402" s="235"/>
      <c r="F402" s="236"/>
      <c r="G402" s="288"/>
      <c r="H402" s="234"/>
      <c r="I402" s="134" t="str">
        <f t="shared" si="25"/>
        <v/>
      </c>
      <c r="J402" s="14" t="str">
        <f t="shared" si="26"/>
        <v/>
      </c>
      <c r="K402" s="14" t="str">
        <f t="shared" si="27"/>
        <v/>
      </c>
      <c r="L402" s="14">
        <f t="shared" si="24"/>
        <v>0</v>
      </c>
    </row>
    <row r="403" spans="1:12">
      <c r="A403" s="190"/>
      <c r="B403" s="234"/>
      <c r="C403" s="234"/>
      <c r="D403" s="234"/>
      <c r="E403" s="235"/>
      <c r="F403" s="236"/>
      <c r="G403" s="288"/>
      <c r="H403" s="234"/>
      <c r="I403" s="134" t="str">
        <f t="shared" si="25"/>
        <v/>
      </c>
      <c r="J403" s="14" t="str">
        <f t="shared" si="26"/>
        <v/>
      </c>
      <c r="K403" s="14" t="str">
        <f t="shared" si="27"/>
        <v/>
      </c>
      <c r="L403" s="14">
        <f t="shared" si="24"/>
        <v>0</v>
      </c>
    </row>
    <row r="404" spans="1:12">
      <c r="A404" s="190"/>
      <c r="B404" s="234"/>
      <c r="C404" s="234"/>
      <c r="D404" s="234"/>
      <c r="E404" s="235"/>
      <c r="F404" s="236"/>
      <c r="G404" s="288"/>
      <c r="H404" s="234"/>
      <c r="I404" s="134" t="str">
        <f t="shared" si="25"/>
        <v/>
      </c>
      <c r="J404" s="14" t="str">
        <f t="shared" si="26"/>
        <v/>
      </c>
      <c r="K404" s="14" t="str">
        <f t="shared" si="27"/>
        <v/>
      </c>
      <c r="L404" s="14">
        <f t="shared" si="24"/>
        <v>0</v>
      </c>
    </row>
    <row r="405" spans="1:12">
      <c r="A405" s="190"/>
      <c r="B405" s="234"/>
      <c r="C405" s="234"/>
      <c r="D405" s="234"/>
      <c r="E405" s="235"/>
      <c r="F405" s="236"/>
      <c r="G405" s="288"/>
      <c r="H405" s="234"/>
      <c r="I405" s="134" t="str">
        <f t="shared" si="25"/>
        <v/>
      </c>
      <c r="J405" s="14" t="str">
        <f t="shared" si="26"/>
        <v/>
      </c>
      <c r="K405" s="14" t="str">
        <f t="shared" si="27"/>
        <v/>
      </c>
      <c r="L405" s="14">
        <f t="shared" si="24"/>
        <v>0</v>
      </c>
    </row>
    <row r="406" spans="1:12">
      <c r="A406" s="190"/>
      <c r="B406" s="234"/>
      <c r="C406" s="234"/>
      <c r="D406" s="234"/>
      <c r="E406" s="235"/>
      <c r="F406" s="236"/>
      <c r="G406" s="288"/>
      <c r="H406" s="234"/>
      <c r="I406" s="134" t="str">
        <f t="shared" si="25"/>
        <v/>
      </c>
      <c r="J406" s="14" t="str">
        <f t="shared" si="26"/>
        <v/>
      </c>
      <c r="K406" s="14" t="str">
        <f t="shared" si="27"/>
        <v/>
      </c>
      <c r="L406" s="14">
        <f t="shared" si="24"/>
        <v>0</v>
      </c>
    </row>
    <row r="407" spans="1:12">
      <c r="A407" s="190"/>
      <c r="B407" s="234"/>
      <c r="C407" s="234"/>
      <c r="D407" s="234"/>
      <c r="E407" s="235"/>
      <c r="F407" s="236"/>
      <c r="G407" s="288"/>
      <c r="H407" s="234"/>
      <c r="I407" s="134" t="str">
        <f t="shared" si="25"/>
        <v/>
      </c>
      <c r="J407" s="14" t="str">
        <f t="shared" si="26"/>
        <v/>
      </c>
      <c r="K407" s="14" t="str">
        <f t="shared" si="27"/>
        <v/>
      </c>
      <c r="L407" s="14">
        <f t="shared" si="24"/>
        <v>0</v>
      </c>
    </row>
    <row r="408" spans="1:12">
      <c r="A408" s="190"/>
      <c r="B408" s="234"/>
      <c r="C408" s="234"/>
      <c r="D408" s="234"/>
      <c r="E408" s="235"/>
      <c r="F408" s="236"/>
      <c r="G408" s="288"/>
      <c r="H408" s="234"/>
      <c r="I408" s="134" t="str">
        <f t="shared" si="25"/>
        <v/>
      </c>
      <c r="J408" s="14" t="str">
        <f t="shared" si="26"/>
        <v/>
      </c>
      <c r="K408" s="14" t="str">
        <f t="shared" si="27"/>
        <v/>
      </c>
      <c r="L408" s="14">
        <f t="shared" si="24"/>
        <v>0</v>
      </c>
    </row>
    <row r="409" spans="1:12">
      <c r="A409" s="190"/>
      <c r="B409" s="234"/>
      <c r="C409" s="234"/>
      <c r="D409" s="234"/>
      <c r="E409" s="235"/>
      <c r="F409" s="236"/>
      <c r="G409" s="288"/>
      <c r="H409" s="234"/>
      <c r="I409" s="134" t="str">
        <f t="shared" si="25"/>
        <v/>
      </c>
      <c r="J409" s="14" t="str">
        <f t="shared" si="26"/>
        <v/>
      </c>
      <c r="K409" s="14" t="str">
        <f t="shared" si="27"/>
        <v/>
      </c>
      <c r="L409" s="14">
        <f t="shared" si="24"/>
        <v>0</v>
      </c>
    </row>
    <row r="410" spans="1:12">
      <c r="A410" s="190"/>
      <c r="B410" s="234"/>
      <c r="C410" s="234"/>
      <c r="D410" s="234"/>
      <c r="E410" s="235"/>
      <c r="F410" s="236"/>
      <c r="G410" s="288"/>
      <c r="H410" s="234"/>
      <c r="I410" s="134" t="str">
        <f t="shared" si="25"/>
        <v/>
      </c>
      <c r="J410" s="14" t="str">
        <f t="shared" si="26"/>
        <v/>
      </c>
      <c r="K410" s="14" t="str">
        <f t="shared" si="27"/>
        <v/>
      </c>
      <c r="L410" s="14">
        <f t="shared" si="24"/>
        <v>0</v>
      </c>
    </row>
    <row r="411" spans="1:12">
      <c r="A411" s="190"/>
      <c r="B411" s="234"/>
      <c r="C411" s="234"/>
      <c r="D411" s="234"/>
      <c r="E411" s="235"/>
      <c r="F411" s="236"/>
      <c r="G411" s="288"/>
      <c r="H411" s="234"/>
      <c r="I411" s="134" t="str">
        <f t="shared" si="25"/>
        <v/>
      </c>
      <c r="J411" s="14" t="str">
        <f t="shared" si="26"/>
        <v/>
      </c>
      <c r="K411" s="14" t="str">
        <f t="shared" si="27"/>
        <v/>
      </c>
      <c r="L411" s="14">
        <f t="shared" si="24"/>
        <v>0</v>
      </c>
    </row>
    <row r="412" spans="1:12">
      <c r="A412" s="190"/>
      <c r="B412" s="234"/>
      <c r="C412" s="234"/>
      <c r="D412" s="234"/>
      <c r="E412" s="235"/>
      <c r="F412" s="236"/>
      <c r="G412" s="288"/>
      <c r="H412" s="234"/>
      <c r="I412" s="134" t="str">
        <f t="shared" si="25"/>
        <v/>
      </c>
      <c r="J412" s="14" t="str">
        <f t="shared" si="26"/>
        <v/>
      </c>
      <c r="K412" s="14" t="str">
        <f t="shared" si="27"/>
        <v/>
      </c>
      <c r="L412" s="14">
        <f t="shared" si="24"/>
        <v>0</v>
      </c>
    </row>
    <row r="413" spans="1:12">
      <c r="A413" s="190"/>
      <c r="B413" s="234"/>
      <c r="C413" s="234"/>
      <c r="D413" s="234"/>
      <c r="E413" s="235"/>
      <c r="F413" s="236"/>
      <c r="G413" s="288"/>
      <c r="H413" s="234"/>
      <c r="I413" s="134" t="str">
        <f t="shared" si="25"/>
        <v/>
      </c>
      <c r="J413" s="14" t="str">
        <f t="shared" si="26"/>
        <v/>
      </c>
      <c r="K413" s="14" t="str">
        <f t="shared" si="27"/>
        <v/>
      </c>
      <c r="L413" s="14">
        <f t="shared" si="24"/>
        <v>0</v>
      </c>
    </row>
    <row r="414" spans="1:12">
      <c r="A414" s="190"/>
      <c r="B414" s="234"/>
      <c r="C414" s="234"/>
      <c r="D414" s="234"/>
      <c r="E414" s="235"/>
      <c r="F414" s="236"/>
      <c r="G414" s="288"/>
      <c r="H414" s="234"/>
      <c r="I414" s="134" t="str">
        <f t="shared" si="25"/>
        <v/>
      </c>
      <c r="J414" s="14" t="str">
        <f t="shared" si="26"/>
        <v/>
      </c>
      <c r="K414" s="14" t="str">
        <f t="shared" si="27"/>
        <v/>
      </c>
      <c r="L414" s="14">
        <f t="shared" si="24"/>
        <v>0</v>
      </c>
    </row>
    <row r="415" spans="1:12">
      <c r="A415" s="190"/>
      <c r="B415" s="234"/>
      <c r="C415" s="234"/>
      <c r="D415" s="234"/>
      <c r="E415" s="235"/>
      <c r="F415" s="236"/>
      <c r="G415" s="288"/>
      <c r="H415" s="234"/>
      <c r="I415" s="134" t="str">
        <f t="shared" si="25"/>
        <v/>
      </c>
      <c r="J415" s="14" t="str">
        <f t="shared" si="26"/>
        <v/>
      </c>
      <c r="K415" s="14" t="str">
        <f t="shared" si="27"/>
        <v/>
      </c>
      <c r="L415" s="14">
        <f t="shared" si="24"/>
        <v>0</v>
      </c>
    </row>
    <row r="416" spans="1:12">
      <c r="A416" s="190"/>
      <c r="B416" s="234"/>
      <c r="C416" s="234"/>
      <c r="D416" s="234"/>
      <c r="E416" s="235"/>
      <c r="F416" s="236"/>
      <c r="G416" s="288"/>
      <c r="H416" s="234"/>
      <c r="I416" s="134" t="str">
        <f t="shared" si="25"/>
        <v/>
      </c>
      <c r="J416" s="14" t="str">
        <f t="shared" si="26"/>
        <v/>
      </c>
      <c r="K416" s="14" t="str">
        <f t="shared" si="27"/>
        <v/>
      </c>
      <c r="L416" s="14">
        <f t="shared" si="24"/>
        <v>0</v>
      </c>
    </row>
    <row r="417" spans="1:12">
      <c r="A417" s="190"/>
      <c r="B417" s="234"/>
      <c r="C417" s="234"/>
      <c r="D417" s="234"/>
      <c r="E417" s="235"/>
      <c r="F417" s="236"/>
      <c r="G417" s="288"/>
      <c r="H417" s="234"/>
      <c r="I417" s="134" t="str">
        <f t="shared" si="25"/>
        <v/>
      </c>
      <c r="J417" s="14" t="str">
        <f t="shared" si="26"/>
        <v/>
      </c>
      <c r="K417" s="14" t="str">
        <f t="shared" si="27"/>
        <v/>
      </c>
      <c r="L417" s="14">
        <f t="shared" si="24"/>
        <v>0</v>
      </c>
    </row>
    <row r="418" spans="1:12">
      <c r="A418" s="190"/>
      <c r="B418" s="234"/>
      <c r="C418" s="234"/>
      <c r="D418" s="234"/>
      <c r="E418" s="235"/>
      <c r="F418" s="236"/>
      <c r="G418" s="288"/>
      <c r="H418" s="234"/>
      <c r="I418" s="134" t="str">
        <f t="shared" si="25"/>
        <v/>
      </c>
      <c r="J418" s="14" t="str">
        <f t="shared" si="26"/>
        <v/>
      </c>
      <c r="K418" s="14" t="str">
        <f t="shared" si="27"/>
        <v/>
      </c>
      <c r="L418" s="14">
        <f t="shared" si="24"/>
        <v>0</v>
      </c>
    </row>
    <row r="419" spans="1:12">
      <c r="A419" s="190"/>
      <c r="B419" s="234"/>
      <c r="C419" s="234"/>
      <c r="D419" s="234"/>
      <c r="E419" s="235"/>
      <c r="F419" s="236"/>
      <c r="G419" s="288"/>
      <c r="H419" s="234"/>
      <c r="I419" s="134" t="str">
        <f t="shared" si="25"/>
        <v/>
      </c>
      <c r="J419" s="14" t="str">
        <f t="shared" si="26"/>
        <v/>
      </c>
      <c r="K419" s="14" t="str">
        <f t="shared" si="27"/>
        <v/>
      </c>
      <c r="L419" s="14">
        <f t="shared" si="24"/>
        <v>0</v>
      </c>
    </row>
    <row r="420" spans="1:12">
      <c r="A420" s="190"/>
      <c r="B420" s="234"/>
      <c r="C420" s="234"/>
      <c r="D420" s="234"/>
      <c r="E420" s="235"/>
      <c r="F420" s="236"/>
      <c r="G420" s="288"/>
      <c r="H420" s="234"/>
      <c r="I420" s="134" t="str">
        <f t="shared" si="25"/>
        <v/>
      </c>
      <c r="J420" s="14" t="str">
        <f t="shared" si="26"/>
        <v/>
      </c>
      <c r="K420" s="14" t="str">
        <f t="shared" si="27"/>
        <v/>
      </c>
      <c r="L420" s="14">
        <f t="shared" si="24"/>
        <v>0</v>
      </c>
    </row>
    <row r="421" spans="1:12">
      <c r="A421" s="190"/>
      <c r="B421" s="234"/>
      <c r="C421" s="234"/>
      <c r="D421" s="234"/>
      <c r="E421" s="235"/>
      <c r="F421" s="236"/>
      <c r="G421" s="288"/>
      <c r="H421" s="234"/>
      <c r="I421" s="134" t="str">
        <f t="shared" si="25"/>
        <v/>
      </c>
      <c r="J421" s="14" t="str">
        <f t="shared" si="26"/>
        <v/>
      </c>
      <c r="K421" s="14" t="str">
        <f t="shared" si="27"/>
        <v/>
      </c>
      <c r="L421" s="14">
        <f t="shared" si="24"/>
        <v>0</v>
      </c>
    </row>
    <row r="422" spans="1:12">
      <c r="A422" s="190"/>
      <c r="B422" s="234"/>
      <c r="C422" s="234"/>
      <c r="D422" s="234"/>
      <c r="E422" s="235"/>
      <c r="F422" s="236"/>
      <c r="G422" s="288"/>
      <c r="H422" s="234"/>
      <c r="I422" s="134" t="str">
        <f t="shared" si="25"/>
        <v/>
      </c>
      <c r="J422" s="14" t="str">
        <f t="shared" si="26"/>
        <v/>
      </c>
      <c r="K422" s="14" t="str">
        <f t="shared" si="27"/>
        <v/>
      </c>
      <c r="L422" s="14">
        <f t="shared" si="24"/>
        <v>0</v>
      </c>
    </row>
    <row r="423" spans="1:12">
      <c r="A423" s="190"/>
      <c r="B423" s="234"/>
      <c r="C423" s="234"/>
      <c r="D423" s="234"/>
      <c r="E423" s="235"/>
      <c r="F423" s="236"/>
      <c r="G423" s="288"/>
      <c r="H423" s="234"/>
      <c r="I423" s="134" t="str">
        <f t="shared" si="25"/>
        <v/>
      </c>
      <c r="J423" s="14" t="str">
        <f t="shared" si="26"/>
        <v/>
      </c>
      <c r="K423" s="14" t="str">
        <f t="shared" si="27"/>
        <v/>
      </c>
      <c r="L423" s="14">
        <f t="shared" si="24"/>
        <v>0</v>
      </c>
    </row>
    <row r="424" spans="1:12">
      <c r="A424" s="190"/>
      <c r="B424" s="234"/>
      <c r="C424" s="234"/>
      <c r="D424" s="234"/>
      <c r="E424" s="235"/>
      <c r="F424" s="236"/>
      <c r="G424" s="288"/>
      <c r="H424" s="234"/>
      <c r="I424" s="134" t="str">
        <f t="shared" si="25"/>
        <v/>
      </c>
      <c r="J424" s="14" t="str">
        <f t="shared" si="26"/>
        <v/>
      </c>
      <c r="K424" s="14" t="str">
        <f t="shared" si="27"/>
        <v/>
      </c>
      <c r="L424" s="14">
        <f t="shared" si="24"/>
        <v>0</v>
      </c>
    </row>
    <row r="425" spans="1:12">
      <c r="A425" s="190"/>
      <c r="B425" s="234"/>
      <c r="C425" s="234"/>
      <c r="D425" s="234"/>
      <c r="E425" s="235"/>
      <c r="F425" s="236"/>
      <c r="G425" s="288"/>
      <c r="H425" s="234"/>
      <c r="I425" s="134" t="str">
        <f t="shared" si="25"/>
        <v/>
      </c>
      <c r="J425" s="14" t="str">
        <f t="shared" si="26"/>
        <v/>
      </c>
      <c r="K425" s="14" t="str">
        <f t="shared" si="27"/>
        <v/>
      </c>
      <c r="L425" s="14">
        <f t="shared" si="24"/>
        <v>0</v>
      </c>
    </row>
    <row r="426" spans="1:12">
      <c r="A426" s="190"/>
      <c r="B426" s="234"/>
      <c r="C426" s="234"/>
      <c r="D426" s="234"/>
      <c r="E426" s="235"/>
      <c r="F426" s="236"/>
      <c r="G426" s="288"/>
      <c r="H426" s="234"/>
      <c r="I426" s="134" t="str">
        <f t="shared" si="25"/>
        <v/>
      </c>
      <c r="J426" s="14" t="str">
        <f t="shared" si="26"/>
        <v/>
      </c>
      <c r="K426" s="14" t="str">
        <f t="shared" si="27"/>
        <v/>
      </c>
      <c r="L426" s="14">
        <f t="shared" si="24"/>
        <v>0</v>
      </c>
    </row>
    <row r="427" spans="1:12">
      <c r="A427" s="190"/>
      <c r="B427" s="234"/>
      <c r="C427" s="234"/>
      <c r="D427" s="234"/>
      <c r="E427" s="235"/>
      <c r="F427" s="236"/>
      <c r="G427" s="288"/>
      <c r="H427" s="234"/>
      <c r="I427" s="134" t="str">
        <f t="shared" si="25"/>
        <v/>
      </c>
      <c r="J427" s="14" t="str">
        <f t="shared" si="26"/>
        <v/>
      </c>
      <c r="K427" s="14" t="str">
        <f t="shared" si="27"/>
        <v/>
      </c>
      <c r="L427" s="14">
        <f t="shared" si="24"/>
        <v>0</v>
      </c>
    </row>
    <row r="428" spans="1:12">
      <c r="A428" s="190"/>
      <c r="B428" s="234"/>
      <c r="C428" s="234"/>
      <c r="D428" s="234"/>
      <c r="E428" s="235"/>
      <c r="F428" s="236"/>
      <c r="G428" s="288"/>
      <c r="H428" s="234"/>
      <c r="I428" s="134" t="str">
        <f t="shared" si="25"/>
        <v/>
      </c>
      <c r="J428" s="14" t="str">
        <f t="shared" si="26"/>
        <v/>
      </c>
      <c r="K428" s="14" t="str">
        <f t="shared" si="27"/>
        <v/>
      </c>
      <c r="L428" s="14">
        <f t="shared" si="24"/>
        <v>0</v>
      </c>
    </row>
    <row r="429" spans="1:12">
      <c r="A429" s="190"/>
      <c r="B429" s="234"/>
      <c r="C429" s="234"/>
      <c r="D429" s="234"/>
      <c r="E429" s="235"/>
      <c r="F429" s="236"/>
      <c r="G429" s="288"/>
      <c r="H429" s="234"/>
      <c r="I429" s="134" t="str">
        <f t="shared" si="25"/>
        <v/>
      </c>
      <c r="J429" s="14" t="str">
        <f t="shared" si="26"/>
        <v/>
      </c>
      <c r="K429" s="14" t="str">
        <f t="shared" si="27"/>
        <v/>
      </c>
      <c r="L429" s="14">
        <f t="shared" si="24"/>
        <v>0</v>
      </c>
    </row>
    <row r="430" spans="1:12">
      <c r="A430" s="190"/>
      <c r="B430" s="234"/>
      <c r="C430" s="234"/>
      <c r="D430" s="234"/>
      <c r="E430" s="235"/>
      <c r="F430" s="236"/>
      <c r="G430" s="288"/>
      <c r="H430" s="234"/>
      <c r="I430" s="134" t="str">
        <f t="shared" si="25"/>
        <v/>
      </c>
      <c r="J430" s="14" t="str">
        <f t="shared" si="26"/>
        <v/>
      </c>
      <c r="K430" s="14" t="str">
        <f t="shared" si="27"/>
        <v/>
      </c>
      <c r="L430" s="14">
        <f t="shared" si="24"/>
        <v>0</v>
      </c>
    </row>
    <row r="431" spans="1:12">
      <c r="A431" s="190"/>
      <c r="B431" s="234"/>
      <c r="C431" s="234"/>
      <c r="D431" s="234"/>
      <c r="E431" s="235"/>
      <c r="F431" s="236"/>
      <c r="G431" s="288"/>
      <c r="H431" s="234"/>
      <c r="I431" s="134" t="str">
        <f t="shared" si="25"/>
        <v/>
      </c>
      <c r="J431" s="14" t="str">
        <f t="shared" si="26"/>
        <v/>
      </c>
      <c r="K431" s="14" t="str">
        <f t="shared" si="27"/>
        <v/>
      </c>
      <c r="L431" s="14">
        <f t="shared" si="24"/>
        <v>0</v>
      </c>
    </row>
    <row r="432" spans="1:12">
      <c r="A432" s="190"/>
      <c r="B432" s="234"/>
      <c r="C432" s="234"/>
      <c r="D432" s="234"/>
      <c r="E432" s="235"/>
      <c r="F432" s="236"/>
      <c r="G432" s="288"/>
      <c r="H432" s="234"/>
      <c r="I432" s="134" t="str">
        <f t="shared" si="25"/>
        <v/>
      </c>
      <c r="J432" s="14" t="str">
        <f t="shared" si="26"/>
        <v/>
      </c>
      <c r="K432" s="14" t="str">
        <f t="shared" si="27"/>
        <v/>
      </c>
      <c r="L432" s="14">
        <f t="shared" si="24"/>
        <v>0</v>
      </c>
    </row>
    <row r="433" spans="1:12">
      <c r="A433" s="190"/>
      <c r="B433" s="234"/>
      <c r="C433" s="234"/>
      <c r="D433" s="234"/>
      <c r="E433" s="235"/>
      <c r="F433" s="236"/>
      <c r="G433" s="288"/>
      <c r="H433" s="234"/>
      <c r="I433" s="134" t="str">
        <f t="shared" si="25"/>
        <v/>
      </c>
      <c r="J433" s="14" t="str">
        <f t="shared" si="26"/>
        <v/>
      </c>
      <c r="K433" s="14" t="str">
        <f t="shared" si="27"/>
        <v/>
      </c>
      <c r="L433" s="14">
        <f t="shared" si="24"/>
        <v>0</v>
      </c>
    </row>
    <row r="434" spans="1:12">
      <c r="A434" s="190"/>
      <c r="B434" s="234"/>
      <c r="C434" s="234"/>
      <c r="D434" s="234"/>
      <c r="E434" s="235"/>
      <c r="F434" s="236"/>
      <c r="G434" s="288"/>
      <c r="H434" s="234"/>
      <c r="I434" s="134" t="str">
        <f t="shared" si="25"/>
        <v/>
      </c>
      <c r="J434" s="14" t="str">
        <f t="shared" si="26"/>
        <v/>
      </c>
      <c r="K434" s="14" t="str">
        <f t="shared" si="27"/>
        <v/>
      </c>
      <c r="L434" s="14">
        <f t="shared" si="24"/>
        <v>0</v>
      </c>
    </row>
    <row r="435" spans="1:12">
      <c r="A435" s="190"/>
      <c r="B435" s="234"/>
      <c r="C435" s="234"/>
      <c r="D435" s="234"/>
      <c r="E435" s="235"/>
      <c r="F435" s="236"/>
      <c r="G435" s="288"/>
      <c r="H435" s="234"/>
      <c r="I435" s="134" t="str">
        <f t="shared" si="25"/>
        <v/>
      </c>
      <c r="J435" s="14" t="str">
        <f t="shared" si="26"/>
        <v/>
      </c>
      <c r="K435" s="14" t="str">
        <f t="shared" si="27"/>
        <v/>
      </c>
      <c r="L435" s="14">
        <f t="shared" si="24"/>
        <v>0</v>
      </c>
    </row>
    <row r="436" spans="1:12">
      <c r="A436" s="190"/>
      <c r="B436" s="234"/>
      <c r="C436" s="234"/>
      <c r="D436" s="234"/>
      <c r="E436" s="235"/>
      <c r="F436" s="236"/>
      <c r="G436" s="288"/>
      <c r="H436" s="234"/>
      <c r="I436" s="134" t="str">
        <f t="shared" si="25"/>
        <v/>
      </c>
      <c r="J436" s="14" t="str">
        <f t="shared" si="26"/>
        <v/>
      </c>
      <c r="K436" s="14" t="str">
        <f t="shared" si="27"/>
        <v/>
      </c>
      <c r="L436" s="14">
        <f t="shared" si="24"/>
        <v>0</v>
      </c>
    </row>
    <row r="437" spans="1:12">
      <c r="A437" s="190"/>
      <c r="B437" s="234"/>
      <c r="C437" s="234"/>
      <c r="D437" s="234"/>
      <c r="E437" s="235"/>
      <c r="F437" s="236"/>
      <c r="G437" s="288"/>
      <c r="H437" s="234"/>
      <c r="I437" s="134" t="str">
        <f t="shared" si="25"/>
        <v/>
      </c>
      <c r="J437" s="14" t="str">
        <f t="shared" si="26"/>
        <v/>
      </c>
      <c r="K437" s="14" t="str">
        <f t="shared" si="27"/>
        <v/>
      </c>
      <c r="L437" s="14">
        <f t="shared" si="24"/>
        <v>0</v>
      </c>
    </row>
    <row r="438" spans="1:12">
      <c r="A438" s="190"/>
      <c r="B438" s="234"/>
      <c r="C438" s="234"/>
      <c r="D438" s="234"/>
      <c r="E438" s="235"/>
      <c r="F438" s="236"/>
      <c r="G438" s="288"/>
      <c r="H438" s="234"/>
      <c r="I438" s="134" t="str">
        <f t="shared" si="25"/>
        <v/>
      </c>
      <c r="J438" s="14" t="str">
        <f t="shared" si="26"/>
        <v/>
      </c>
      <c r="K438" s="14" t="str">
        <f t="shared" si="27"/>
        <v/>
      </c>
      <c r="L438" s="14">
        <f t="shared" si="24"/>
        <v>0</v>
      </c>
    </row>
    <row r="439" spans="1:12">
      <c r="A439" s="190"/>
      <c r="B439" s="234"/>
      <c r="C439" s="234"/>
      <c r="D439" s="234"/>
      <c r="E439" s="235"/>
      <c r="F439" s="236"/>
      <c r="G439" s="288"/>
      <c r="H439" s="234"/>
      <c r="I439" s="134" t="str">
        <f t="shared" si="25"/>
        <v/>
      </c>
      <c r="J439" s="14" t="str">
        <f t="shared" si="26"/>
        <v/>
      </c>
      <c r="K439" s="14" t="str">
        <f t="shared" si="27"/>
        <v/>
      </c>
      <c r="L439" s="14">
        <f t="shared" si="24"/>
        <v>0</v>
      </c>
    </row>
    <row r="440" spans="1:12">
      <c r="A440" s="190"/>
      <c r="B440" s="234"/>
      <c r="C440" s="234"/>
      <c r="D440" s="234"/>
      <c r="E440" s="235"/>
      <c r="F440" s="236"/>
      <c r="G440" s="288"/>
      <c r="H440" s="234"/>
      <c r="I440" s="134" t="str">
        <f t="shared" si="25"/>
        <v/>
      </c>
      <c r="J440" s="14" t="str">
        <f t="shared" si="26"/>
        <v/>
      </c>
      <c r="K440" s="14" t="str">
        <f t="shared" si="27"/>
        <v/>
      </c>
      <c r="L440" s="14">
        <f t="shared" si="24"/>
        <v>0</v>
      </c>
    </row>
    <row r="441" spans="1:12">
      <c r="A441" s="190"/>
      <c r="B441" s="234"/>
      <c r="C441" s="234"/>
      <c r="D441" s="234"/>
      <c r="E441" s="235"/>
      <c r="F441" s="236"/>
      <c r="G441" s="288"/>
      <c r="H441" s="234"/>
      <c r="I441" s="134" t="str">
        <f t="shared" si="25"/>
        <v/>
      </c>
      <c r="J441" s="14" t="str">
        <f t="shared" si="26"/>
        <v/>
      </c>
      <c r="K441" s="14" t="str">
        <f t="shared" si="27"/>
        <v/>
      </c>
      <c r="L441" s="14">
        <f t="shared" si="24"/>
        <v>0</v>
      </c>
    </row>
    <row r="442" spans="1:12">
      <c r="A442" s="190"/>
      <c r="B442" s="234"/>
      <c r="C442" s="234"/>
      <c r="D442" s="234"/>
      <c r="E442" s="235"/>
      <c r="F442" s="236"/>
      <c r="G442" s="288"/>
      <c r="H442" s="234"/>
      <c r="I442" s="134" t="str">
        <f t="shared" si="25"/>
        <v/>
      </c>
      <c r="J442" s="14" t="str">
        <f t="shared" si="26"/>
        <v/>
      </c>
      <c r="K442" s="14" t="str">
        <f t="shared" si="27"/>
        <v/>
      </c>
      <c r="L442" s="14">
        <f t="shared" si="24"/>
        <v>0</v>
      </c>
    </row>
    <row r="443" spans="1:12">
      <c r="A443" s="190"/>
      <c r="B443" s="234"/>
      <c r="C443" s="234"/>
      <c r="D443" s="234"/>
      <c r="E443" s="235"/>
      <c r="F443" s="236"/>
      <c r="G443" s="288"/>
      <c r="H443" s="234"/>
      <c r="I443" s="134" t="str">
        <f t="shared" si="25"/>
        <v/>
      </c>
      <c r="J443" s="14" t="str">
        <f t="shared" si="26"/>
        <v/>
      </c>
      <c r="K443" s="14" t="str">
        <f t="shared" si="27"/>
        <v/>
      </c>
      <c r="L443" s="14">
        <f t="shared" si="24"/>
        <v>0</v>
      </c>
    </row>
    <row r="444" spans="1:12">
      <c r="A444" s="190"/>
      <c r="B444" s="234"/>
      <c r="C444" s="234"/>
      <c r="D444" s="234"/>
      <c r="E444" s="235"/>
      <c r="F444" s="236"/>
      <c r="G444" s="288"/>
      <c r="H444" s="234"/>
      <c r="I444" s="134" t="str">
        <f t="shared" si="25"/>
        <v/>
      </c>
      <c r="J444" s="14" t="str">
        <f t="shared" si="26"/>
        <v/>
      </c>
      <c r="K444" s="14" t="str">
        <f t="shared" si="27"/>
        <v/>
      </c>
      <c r="L444" s="14">
        <f t="shared" si="24"/>
        <v>0</v>
      </c>
    </row>
    <row r="445" spans="1:12">
      <c r="A445" s="190"/>
      <c r="B445" s="234"/>
      <c r="C445" s="234"/>
      <c r="D445" s="234"/>
      <c r="E445" s="235"/>
      <c r="F445" s="236"/>
      <c r="G445" s="288"/>
      <c r="H445" s="234"/>
      <c r="I445" s="134" t="str">
        <f t="shared" si="25"/>
        <v/>
      </c>
      <c r="J445" s="14" t="str">
        <f t="shared" si="26"/>
        <v/>
      </c>
      <c r="K445" s="14" t="str">
        <f t="shared" si="27"/>
        <v/>
      </c>
      <c r="L445" s="14">
        <f t="shared" si="24"/>
        <v>0</v>
      </c>
    </row>
    <row r="446" spans="1:12">
      <c r="A446" s="190"/>
      <c r="B446" s="234"/>
      <c r="C446" s="234"/>
      <c r="D446" s="234"/>
      <c r="E446" s="235"/>
      <c r="F446" s="236"/>
      <c r="G446" s="288"/>
      <c r="H446" s="234"/>
      <c r="I446" s="134" t="str">
        <f t="shared" si="25"/>
        <v/>
      </c>
      <c r="J446" s="14" t="str">
        <f t="shared" si="26"/>
        <v/>
      </c>
      <c r="K446" s="14" t="str">
        <f t="shared" si="27"/>
        <v/>
      </c>
      <c r="L446" s="14">
        <f t="shared" si="24"/>
        <v>0</v>
      </c>
    </row>
    <row r="447" spans="1:12">
      <c r="A447" s="190"/>
      <c r="B447" s="234"/>
      <c r="C447" s="234"/>
      <c r="D447" s="234"/>
      <c r="E447" s="235"/>
      <c r="F447" s="236"/>
      <c r="G447" s="288"/>
      <c r="H447" s="234"/>
      <c r="I447" s="134" t="str">
        <f t="shared" si="25"/>
        <v/>
      </c>
      <c r="J447" s="14" t="str">
        <f t="shared" si="26"/>
        <v/>
      </c>
      <c r="K447" s="14" t="str">
        <f t="shared" si="27"/>
        <v/>
      </c>
      <c r="L447" s="14">
        <f t="shared" si="24"/>
        <v>0</v>
      </c>
    </row>
    <row r="448" spans="1:12">
      <c r="A448" s="190"/>
      <c r="B448" s="234"/>
      <c r="C448" s="234"/>
      <c r="D448" s="234"/>
      <c r="E448" s="235"/>
      <c r="F448" s="236"/>
      <c r="G448" s="288"/>
      <c r="H448" s="234"/>
      <c r="I448" s="134" t="str">
        <f t="shared" si="25"/>
        <v/>
      </c>
      <c r="J448" s="14" t="str">
        <f t="shared" si="26"/>
        <v/>
      </c>
      <c r="K448" s="14" t="str">
        <f t="shared" si="27"/>
        <v/>
      </c>
      <c r="L448" s="14">
        <f t="shared" si="24"/>
        <v>0</v>
      </c>
    </row>
    <row r="449" spans="1:12">
      <c r="A449" s="190"/>
      <c r="B449" s="234"/>
      <c r="C449" s="234"/>
      <c r="D449" s="234"/>
      <c r="E449" s="235"/>
      <c r="F449" s="236"/>
      <c r="G449" s="288"/>
      <c r="H449" s="234"/>
      <c r="I449" s="134" t="str">
        <f t="shared" si="25"/>
        <v/>
      </c>
      <c r="J449" s="14" t="str">
        <f t="shared" si="26"/>
        <v/>
      </c>
      <c r="K449" s="14" t="str">
        <f t="shared" si="27"/>
        <v/>
      </c>
      <c r="L449" s="14">
        <f t="shared" si="24"/>
        <v>0</v>
      </c>
    </row>
    <row r="450" spans="1:12">
      <c r="A450" s="190"/>
      <c r="B450" s="234"/>
      <c r="C450" s="234"/>
      <c r="D450" s="234"/>
      <c r="E450" s="235"/>
      <c r="F450" s="236"/>
      <c r="G450" s="288"/>
      <c r="H450" s="234"/>
      <c r="I450" s="134" t="str">
        <f t="shared" si="25"/>
        <v/>
      </c>
      <c r="J450" s="14" t="str">
        <f t="shared" si="26"/>
        <v/>
      </c>
      <c r="K450" s="14" t="str">
        <f t="shared" si="27"/>
        <v/>
      </c>
      <c r="L450" s="14">
        <f t="shared" si="24"/>
        <v>0</v>
      </c>
    </row>
    <row r="451" spans="1:12">
      <c r="A451" s="190"/>
      <c r="B451" s="234"/>
      <c r="C451" s="234"/>
      <c r="D451" s="234"/>
      <c r="E451" s="235"/>
      <c r="F451" s="236"/>
      <c r="G451" s="288"/>
      <c r="H451" s="234"/>
      <c r="I451" s="134" t="str">
        <f t="shared" si="25"/>
        <v/>
      </c>
      <c r="J451" s="14" t="str">
        <f t="shared" si="26"/>
        <v/>
      </c>
      <c r="K451" s="14" t="str">
        <f t="shared" si="27"/>
        <v/>
      </c>
      <c r="L451" s="14">
        <f t="shared" si="24"/>
        <v>0</v>
      </c>
    </row>
    <row r="452" spans="1:12">
      <c r="A452" s="190"/>
      <c r="B452" s="234"/>
      <c r="C452" s="234"/>
      <c r="D452" s="234"/>
      <c r="E452" s="235"/>
      <c r="F452" s="236"/>
      <c r="G452" s="288"/>
      <c r="H452" s="234"/>
      <c r="I452" s="134" t="str">
        <f t="shared" si="25"/>
        <v/>
      </c>
      <c r="J452" s="14" t="str">
        <f t="shared" si="26"/>
        <v/>
      </c>
      <c r="K452" s="14" t="str">
        <f t="shared" si="27"/>
        <v/>
      </c>
      <c r="L452" s="14">
        <f t="shared" si="24"/>
        <v>0</v>
      </c>
    </row>
    <row r="453" spans="1:12">
      <c r="A453" s="190"/>
      <c r="B453" s="234"/>
      <c r="C453" s="234"/>
      <c r="D453" s="234"/>
      <c r="E453" s="235"/>
      <c r="F453" s="236"/>
      <c r="G453" s="288"/>
      <c r="H453" s="234"/>
      <c r="I453" s="134" t="str">
        <f t="shared" si="25"/>
        <v/>
      </c>
      <c r="J453" s="14" t="str">
        <f t="shared" si="26"/>
        <v/>
      </c>
      <c r="K453" s="14" t="str">
        <f t="shared" si="27"/>
        <v/>
      </c>
      <c r="L453" s="14">
        <f t="shared" si="24"/>
        <v>0</v>
      </c>
    </row>
    <row r="454" spans="1:12">
      <c r="A454" s="190"/>
      <c r="B454" s="234"/>
      <c r="C454" s="234"/>
      <c r="D454" s="234"/>
      <c r="E454" s="235"/>
      <c r="F454" s="236"/>
      <c r="G454" s="288"/>
      <c r="H454" s="234"/>
      <c r="I454" s="134" t="str">
        <f t="shared" si="25"/>
        <v/>
      </c>
      <c r="J454" s="14" t="str">
        <f t="shared" si="26"/>
        <v/>
      </c>
      <c r="K454" s="14" t="str">
        <f t="shared" si="27"/>
        <v/>
      </c>
      <c r="L454" s="14">
        <f t="shared" si="24"/>
        <v>0</v>
      </c>
    </row>
    <row r="455" spans="1:12">
      <c r="A455" s="190"/>
      <c r="B455" s="234"/>
      <c r="C455" s="234"/>
      <c r="D455" s="234"/>
      <c r="E455" s="235"/>
      <c r="F455" s="236"/>
      <c r="G455" s="288"/>
      <c r="H455" s="234"/>
      <c r="I455" s="134" t="str">
        <f t="shared" si="25"/>
        <v/>
      </c>
      <c r="J455" s="14" t="str">
        <f t="shared" si="26"/>
        <v/>
      </c>
      <c r="K455" s="14" t="str">
        <f t="shared" si="27"/>
        <v/>
      </c>
      <c r="L455" s="14">
        <f t="shared" si="24"/>
        <v>0</v>
      </c>
    </row>
    <row r="456" spans="1:12">
      <c r="A456" s="190"/>
      <c r="B456" s="234"/>
      <c r="C456" s="234"/>
      <c r="D456" s="234"/>
      <c r="E456" s="235"/>
      <c r="F456" s="236"/>
      <c r="G456" s="288"/>
      <c r="H456" s="234"/>
      <c r="I456" s="134" t="str">
        <f t="shared" si="25"/>
        <v/>
      </c>
      <c r="J456" s="14" t="str">
        <f t="shared" si="26"/>
        <v/>
      </c>
      <c r="K456" s="14" t="str">
        <f t="shared" si="27"/>
        <v/>
      </c>
      <c r="L456" s="14">
        <f t="shared" ref="L456:L500" si="28">E456*A456</f>
        <v>0</v>
      </c>
    </row>
    <row r="457" spans="1:12">
      <c r="A457" s="190"/>
      <c r="B457" s="234"/>
      <c r="C457" s="234"/>
      <c r="D457" s="234"/>
      <c r="E457" s="235"/>
      <c r="F457" s="236"/>
      <c r="G457" s="288"/>
      <c r="H457" s="234"/>
      <c r="I457" s="134" t="str">
        <f t="shared" ref="I457:I500" si="29">RIGHT($B457,3)</f>
        <v/>
      </c>
      <c r="J457" s="14" t="str">
        <f t="shared" ref="J457:J500" si="30">LEFT($C457,2)</f>
        <v/>
      </c>
      <c r="K457" s="14" t="str">
        <f t="shared" ref="K457:K500" si="31">RIGHT($D457,6)</f>
        <v/>
      </c>
      <c r="L457" s="14">
        <f t="shared" si="28"/>
        <v>0</v>
      </c>
    </row>
    <row r="458" spans="1:12">
      <c r="A458" s="190"/>
      <c r="B458" s="234"/>
      <c r="C458" s="234"/>
      <c r="D458" s="234"/>
      <c r="E458" s="235"/>
      <c r="F458" s="236"/>
      <c r="G458" s="288"/>
      <c r="H458" s="234"/>
      <c r="I458" s="134" t="str">
        <f t="shared" si="29"/>
        <v/>
      </c>
      <c r="J458" s="14" t="str">
        <f t="shared" si="30"/>
        <v/>
      </c>
      <c r="K458" s="14" t="str">
        <f t="shared" si="31"/>
        <v/>
      </c>
      <c r="L458" s="14">
        <f t="shared" si="28"/>
        <v>0</v>
      </c>
    </row>
    <row r="459" spans="1:12">
      <c r="A459" s="190"/>
      <c r="B459" s="234"/>
      <c r="C459" s="234"/>
      <c r="D459" s="234"/>
      <c r="E459" s="235"/>
      <c r="F459" s="236"/>
      <c r="G459" s="288"/>
      <c r="H459" s="234"/>
      <c r="I459" s="134" t="str">
        <f t="shared" si="29"/>
        <v/>
      </c>
      <c r="J459" s="14" t="str">
        <f t="shared" si="30"/>
        <v/>
      </c>
      <c r="K459" s="14" t="str">
        <f t="shared" si="31"/>
        <v/>
      </c>
      <c r="L459" s="14">
        <f t="shared" si="28"/>
        <v>0</v>
      </c>
    </row>
    <row r="460" spans="1:12">
      <c r="A460" s="190"/>
      <c r="B460" s="234"/>
      <c r="C460" s="234"/>
      <c r="D460" s="234"/>
      <c r="E460" s="235"/>
      <c r="F460" s="236"/>
      <c r="G460" s="288"/>
      <c r="H460" s="234"/>
      <c r="I460" s="134" t="str">
        <f t="shared" si="29"/>
        <v/>
      </c>
      <c r="J460" s="14" t="str">
        <f t="shared" si="30"/>
        <v/>
      </c>
      <c r="K460" s="14" t="str">
        <f t="shared" si="31"/>
        <v/>
      </c>
      <c r="L460" s="14">
        <f t="shared" si="28"/>
        <v>0</v>
      </c>
    </row>
    <row r="461" spans="1:12">
      <c r="A461" s="190"/>
      <c r="B461" s="234"/>
      <c r="C461" s="234"/>
      <c r="D461" s="234"/>
      <c r="E461" s="235"/>
      <c r="F461" s="236"/>
      <c r="G461" s="288"/>
      <c r="H461" s="234"/>
      <c r="I461" s="134" t="str">
        <f t="shared" si="29"/>
        <v/>
      </c>
      <c r="J461" s="14" t="str">
        <f t="shared" si="30"/>
        <v/>
      </c>
      <c r="K461" s="14" t="str">
        <f t="shared" si="31"/>
        <v/>
      </c>
      <c r="L461" s="14">
        <f t="shared" si="28"/>
        <v>0</v>
      </c>
    </row>
    <row r="462" spans="1:12">
      <c r="A462" s="190"/>
      <c r="B462" s="234"/>
      <c r="C462" s="234"/>
      <c r="D462" s="234"/>
      <c r="E462" s="235"/>
      <c r="F462" s="236"/>
      <c r="G462" s="288"/>
      <c r="H462" s="234"/>
      <c r="I462" s="134" t="str">
        <f t="shared" si="29"/>
        <v/>
      </c>
      <c r="J462" s="14" t="str">
        <f t="shared" si="30"/>
        <v/>
      </c>
      <c r="K462" s="14" t="str">
        <f t="shared" si="31"/>
        <v/>
      </c>
      <c r="L462" s="14">
        <f t="shared" si="28"/>
        <v>0</v>
      </c>
    </row>
    <row r="463" spans="1:12">
      <c r="A463" s="190"/>
      <c r="B463" s="234"/>
      <c r="C463" s="234"/>
      <c r="D463" s="234"/>
      <c r="E463" s="235"/>
      <c r="F463" s="236"/>
      <c r="G463" s="288"/>
      <c r="H463" s="234"/>
      <c r="I463" s="134" t="str">
        <f t="shared" si="29"/>
        <v/>
      </c>
      <c r="J463" s="14" t="str">
        <f t="shared" si="30"/>
        <v/>
      </c>
      <c r="K463" s="14" t="str">
        <f t="shared" si="31"/>
        <v/>
      </c>
      <c r="L463" s="14">
        <f t="shared" si="28"/>
        <v>0</v>
      </c>
    </row>
    <row r="464" spans="1:12">
      <c r="A464" s="190"/>
      <c r="B464" s="234"/>
      <c r="C464" s="234"/>
      <c r="D464" s="234"/>
      <c r="E464" s="235"/>
      <c r="F464" s="236"/>
      <c r="G464" s="288"/>
      <c r="H464" s="234"/>
      <c r="I464" s="134" t="str">
        <f t="shared" si="29"/>
        <v/>
      </c>
      <c r="J464" s="14" t="str">
        <f t="shared" si="30"/>
        <v/>
      </c>
      <c r="K464" s="14" t="str">
        <f t="shared" si="31"/>
        <v/>
      </c>
      <c r="L464" s="14">
        <f t="shared" si="28"/>
        <v>0</v>
      </c>
    </row>
    <row r="465" spans="1:12">
      <c r="A465" s="190"/>
      <c r="B465" s="234"/>
      <c r="C465" s="234"/>
      <c r="D465" s="234"/>
      <c r="E465" s="235"/>
      <c r="F465" s="236"/>
      <c r="G465" s="288"/>
      <c r="H465" s="234"/>
      <c r="I465" s="134" t="str">
        <f t="shared" si="29"/>
        <v/>
      </c>
      <c r="J465" s="14" t="str">
        <f t="shared" si="30"/>
        <v/>
      </c>
      <c r="K465" s="14" t="str">
        <f t="shared" si="31"/>
        <v/>
      </c>
      <c r="L465" s="14">
        <f t="shared" si="28"/>
        <v>0</v>
      </c>
    </row>
    <row r="466" spans="1:12">
      <c r="A466" s="190"/>
      <c r="B466" s="234"/>
      <c r="C466" s="234"/>
      <c r="D466" s="234"/>
      <c r="E466" s="235"/>
      <c r="F466" s="236"/>
      <c r="G466" s="288"/>
      <c r="H466" s="234"/>
      <c r="I466" s="134" t="str">
        <f t="shared" si="29"/>
        <v/>
      </c>
      <c r="J466" s="14" t="str">
        <f t="shared" si="30"/>
        <v/>
      </c>
      <c r="K466" s="14" t="str">
        <f t="shared" si="31"/>
        <v/>
      </c>
      <c r="L466" s="14">
        <f t="shared" si="28"/>
        <v>0</v>
      </c>
    </row>
    <row r="467" spans="1:12">
      <c r="A467" s="190"/>
      <c r="B467" s="234"/>
      <c r="C467" s="234"/>
      <c r="D467" s="234"/>
      <c r="E467" s="235"/>
      <c r="F467" s="236"/>
      <c r="G467" s="288"/>
      <c r="H467" s="234"/>
      <c r="I467" s="134" t="str">
        <f t="shared" si="29"/>
        <v/>
      </c>
      <c r="J467" s="14" t="str">
        <f t="shared" si="30"/>
        <v/>
      </c>
      <c r="K467" s="14" t="str">
        <f t="shared" si="31"/>
        <v/>
      </c>
      <c r="L467" s="14">
        <f t="shared" si="28"/>
        <v>0</v>
      </c>
    </row>
    <row r="468" spans="1:12">
      <c r="A468" s="190"/>
      <c r="B468" s="234"/>
      <c r="C468" s="234"/>
      <c r="D468" s="234"/>
      <c r="E468" s="235"/>
      <c r="F468" s="236"/>
      <c r="G468" s="288"/>
      <c r="H468" s="234"/>
      <c r="I468" s="134" t="str">
        <f t="shared" si="29"/>
        <v/>
      </c>
      <c r="J468" s="14" t="str">
        <f t="shared" si="30"/>
        <v/>
      </c>
      <c r="K468" s="14" t="str">
        <f t="shared" si="31"/>
        <v/>
      </c>
      <c r="L468" s="14">
        <f t="shared" si="28"/>
        <v>0</v>
      </c>
    </row>
    <row r="469" spans="1:12">
      <c r="A469" s="190"/>
      <c r="B469" s="234"/>
      <c r="C469" s="234"/>
      <c r="D469" s="234"/>
      <c r="E469" s="235"/>
      <c r="F469" s="236"/>
      <c r="G469" s="288"/>
      <c r="H469" s="234"/>
      <c r="I469" s="134" t="str">
        <f t="shared" si="29"/>
        <v/>
      </c>
      <c r="J469" s="14" t="str">
        <f t="shared" si="30"/>
        <v/>
      </c>
      <c r="K469" s="14" t="str">
        <f t="shared" si="31"/>
        <v/>
      </c>
      <c r="L469" s="14">
        <f t="shared" si="28"/>
        <v>0</v>
      </c>
    </row>
    <row r="470" spans="1:12">
      <c r="A470" s="190"/>
      <c r="B470" s="234"/>
      <c r="C470" s="234"/>
      <c r="D470" s="234"/>
      <c r="E470" s="235"/>
      <c r="F470" s="236"/>
      <c r="G470" s="288"/>
      <c r="H470" s="234"/>
      <c r="I470" s="134" t="str">
        <f t="shared" si="29"/>
        <v/>
      </c>
      <c r="J470" s="14" t="str">
        <f t="shared" si="30"/>
        <v/>
      </c>
      <c r="K470" s="14" t="str">
        <f t="shared" si="31"/>
        <v/>
      </c>
      <c r="L470" s="14">
        <f t="shared" si="28"/>
        <v>0</v>
      </c>
    </row>
    <row r="471" spans="1:12">
      <c r="A471" s="190"/>
      <c r="B471" s="234"/>
      <c r="C471" s="234"/>
      <c r="D471" s="234"/>
      <c r="E471" s="235"/>
      <c r="F471" s="236"/>
      <c r="G471" s="288"/>
      <c r="H471" s="234"/>
      <c r="I471" s="134" t="str">
        <f t="shared" si="29"/>
        <v/>
      </c>
      <c r="J471" s="14" t="str">
        <f t="shared" si="30"/>
        <v/>
      </c>
      <c r="K471" s="14" t="str">
        <f t="shared" si="31"/>
        <v/>
      </c>
      <c r="L471" s="14">
        <f t="shared" si="28"/>
        <v>0</v>
      </c>
    </row>
    <row r="472" spans="1:12">
      <c r="A472" s="190"/>
      <c r="B472" s="234"/>
      <c r="C472" s="234"/>
      <c r="D472" s="234"/>
      <c r="E472" s="235"/>
      <c r="F472" s="236"/>
      <c r="G472" s="288"/>
      <c r="H472" s="234"/>
      <c r="I472" s="134" t="str">
        <f t="shared" si="29"/>
        <v/>
      </c>
      <c r="J472" s="14" t="str">
        <f t="shared" si="30"/>
        <v/>
      </c>
      <c r="K472" s="14" t="str">
        <f t="shared" si="31"/>
        <v/>
      </c>
      <c r="L472" s="14">
        <f t="shared" si="28"/>
        <v>0</v>
      </c>
    </row>
    <row r="473" spans="1:12">
      <c r="A473" s="190"/>
      <c r="B473" s="234"/>
      <c r="C473" s="234"/>
      <c r="D473" s="234"/>
      <c r="E473" s="235"/>
      <c r="F473" s="236"/>
      <c r="G473" s="288"/>
      <c r="H473" s="234"/>
      <c r="I473" s="134" t="str">
        <f t="shared" si="29"/>
        <v/>
      </c>
      <c r="J473" s="14" t="str">
        <f t="shared" si="30"/>
        <v/>
      </c>
      <c r="K473" s="14" t="str">
        <f t="shared" si="31"/>
        <v/>
      </c>
      <c r="L473" s="14">
        <f t="shared" si="28"/>
        <v>0</v>
      </c>
    </row>
    <row r="474" spans="1:12">
      <c r="A474" s="190"/>
      <c r="B474" s="234"/>
      <c r="C474" s="234"/>
      <c r="D474" s="234"/>
      <c r="E474" s="235"/>
      <c r="F474" s="236"/>
      <c r="G474" s="288"/>
      <c r="H474" s="234"/>
      <c r="I474" s="134" t="str">
        <f t="shared" si="29"/>
        <v/>
      </c>
      <c r="J474" s="14" t="str">
        <f t="shared" si="30"/>
        <v/>
      </c>
      <c r="K474" s="14" t="str">
        <f t="shared" si="31"/>
        <v/>
      </c>
      <c r="L474" s="14">
        <f t="shared" si="28"/>
        <v>0</v>
      </c>
    </row>
    <row r="475" spans="1:12">
      <c r="A475" s="190"/>
      <c r="B475" s="234"/>
      <c r="C475" s="234"/>
      <c r="D475" s="234"/>
      <c r="E475" s="235"/>
      <c r="F475" s="236"/>
      <c r="G475" s="288"/>
      <c r="H475" s="234"/>
      <c r="I475" s="134" t="str">
        <f t="shared" si="29"/>
        <v/>
      </c>
      <c r="J475" s="14" t="str">
        <f t="shared" si="30"/>
        <v/>
      </c>
      <c r="K475" s="14" t="str">
        <f t="shared" si="31"/>
        <v/>
      </c>
      <c r="L475" s="14">
        <f t="shared" si="28"/>
        <v>0</v>
      </c>
    </row>
    <row r="476" spans="1:12">
      <c r="A476" s="190"/>
      <c r="B476" s="234"/>
      <c r="C476" s="234"/>
      <c r="D476" s="234"/>
      <c r="E476" s="235"/>
      <c r="F476" s="236"/>
      <c r="G476" s="288"/>
      <c r="H476" s="234"/>
      <c r="I476" s="134" t="str">
        <f t="shared" si="29"/>
        <v/>
      </c>
      <c r="J476" s="14" t="str">
        <f t="shared" si="30"/>
        <v/>
      </c>
      <c r="K476" s="14" t="str">
        <f t="shared" si="31"/>
        <v/>
      </c>
      <c r="L476" s="14">
        <f t="shared" si="28"/>
        <v>0</v>
      </c>
    </row>
    <row r="477" spans="1:12">
      <c r="A477" s="190"/>
      <c r="B477" s="234"/>
      <c r="C477" s="234"/>
      <c r="D477" s="234"/>
      <c r="E477" s="235"/>
      <c r="F477" s="236"/>
      <c r="G477" s="288"/>
      <c r="H477" s="234"/>
      <c r="I477" s="134" t="str">
        <f t="shared" si="29"/>
        <v/>
      </c>
      <c r="J477" s="14" t="str">
        <f t="shared" si="30"/>
        <v/>
      </c>
      <c r="K477" s="14" t="str">
        <f t="shared" si="31"/>
        <v/>
      </c>
      <c r="L477" s="14">
        <f t="shared" si="28"/>
        <v>0</v>
      </c>
    </row>
    <row r="478" spans="1:12">
      <c r="A478" s="190"/>
      <c r="B478" s="234"/>
      <c r="C478" s="234"/>
      <c r="D478" s="234"/>
      <c r="E478" s="235"/>
      <c r="F478" s="236"/>
      <c r="G478" s="288"/>
      <c r="H478" s="234"/>
      <c r="I478" s="134" t="str">
        <f t="shared" si="29"/>
        <v/>
      </c>
      <c r="J478" s="14" t="str">
        <f t="shared" si="30"/>
        <v/>
      </c>
      <c r="K478" s="14" t="str">
        <f t="shared" si="31"/>
        <v/>
      </c>
      <c r="L478" s="14">
        <f t="shared" si="28"/>
        <v>0</v>
      </c>
    </row>
    <row r="479" spans="1:12">
      <c r="A479" s="190"/>
      <c r="B479" s="234"/>
      <c r="C479" s="234"/>
      <c r="D479" s="234"/>
      <c r="E479" s="235"/>
      <c r="F479" s="236"/>
      <c r="G479" s="288"/>
      <c r="H479" s="234"/>
      <c r="I479" s="134" t="str">
        <f t="shared" si="29"/>
        <v/>
      </c>
      <c r="J479" s="14" t="str">
        <f t="shared" si="30"/>
        <v/>
      </c>
      <c r="K479" s="14" t="str">
        <f t="shared" si="31"/>
        <v/>
      </c>
      <c r="L479" s="14">
        <f t="shared" si="28"/>
        <v>0</v>
      </c>
    </row>
    <row r="480" spans="1:12">
      <c r="A480" s="190"/>
      <c r="B480" s="234"/>
      <c r="C480" s="234"/>
      <c r="D480" s="234"/>
      <c r="E480" s="235"/>
      <c r="F480" s="236"/>
      <c r="G480" s="288"/>
      <c r="H480" s="234"/>
      <c r="I480" s="134" t="str">
        <f t="shared" si="29"/>
        <v/>
      </c>
      <c r="J480" s="14" t="str">
        <f t="shared" si="30"/>
        <v/>
      </c>
      <c r="K480" s="14" t="str">
        <f t="shared" si="31"/>
        <v/>
      </c>
      <c r="L480" s="14">
        <f t="shared" si="28"/>
        <v>0</v>
      </c>
    </row>
    <row r="481" spans="1:12">
      <c r="A481" s="190"/>
      <c r="B481" s="234"/>
      <c r="C481" s="234"/>
      <c r="D481" s="234"/>
      <c r="E481" s="235"/>
      <c r="F481" s="236"/>
      <c r="G481" s="288"/>
      <c r="H481" s="234"/>
      <c r="I481" s="134" t="str">
        <f t="shared" si="29"/>
        <v/>
      </c>
      <c r="J481" s="14" t="str">
        <f t="shared" si="30"/>
        <v/>
      </c>
      <c r="K481" s="14" t="str">
        <f t="shared" si="31"/>
        <v/>
      </c>
      <c r="L481" s="14">
        <f t="shared" si="28"/>
        <v>0</v>
      </c>
    </row>
    <row r="482" spans="1:12">
      <c r="A482" s="190"/>
      <c r="B482" s="234"/>
      <c r="C482" s="234"/>
      <c r="D482" s="234"/>
      <c r="E482" s="235"/>
      <c r="F482" s="236"/>
      <c r="G482" s="288"/>
      <c r="H482" s="234"/>
      <c r="I482" s="134" t="str">
        <f t="shared" si="29"/>
        <v/>
      </c>
      <c r="J482" s="14" t="str">
        <f t="shared" si="30"/>
        <v/>
      </c>
      <c r="K482" s="14" t="str">
        <f t="shared" si="31"/>
        <v/>
      </c>
      <c r="L482" s="14">
        <f t="shared" si="28"/>
        <v>0</v>
      </c>
    </row>
    <row r="483" spans="1:12">
      <c r="A483" s="190"/>
      <c r="B483" s="234"/>
      <c r="C483" s="234"/>
      <c r="D483" s="234"/>
      <c r="E483" s="235"/>
      <c r="F483" s="236"/>
      <c r="G483" s="288"/>
      <c r="H483" s="234"/>
      <c r="I483" s="134" t="str">
        <f t="shared" si="29"/>
        <v/>
      </c>
      <c r="J483" s="14" t="str">
        <f t="shared" si="30"/>
        <v/>
      </c>
      <c r="K483" s="14" t="str">
        <f t="shared" si="31"/>
        <v/>
      </c>
      <c r="L483" s="14">
        <f t="shared" si="28"/>
        <v>0</v>
      </c>
    </row>
    <row r="484" spans="1:12">
      <c r="A484" s="190"/>
      <c r="B484" s="234"/>
      <c r="C484" s="234"/>
      <c r="D484" s="234"/>
      <c r="E484" s="235"/>
      <c r="F484" s="236"/>
      <c r="G484" s="288"/>
      <c r="H484" s="234"/>
      <c r="I484" s="134" t="str">
        <f t="shared" si="29"/>
        <v/>
      </c>
      <c r="J484" s="14" t="str">
        <f t="shared" si="30"/>
        <v/>
      </c>
      <c r="K484" s="14" t="str">
        <f t="shared" si="31"/>
        <v/>
      </c>
      <c r="L484" s="14">
        <f t="shared" si="28"/>
        <v>0</v>
      </c>
    </row>
    <row r="485" spans="1:12">
      <c r="A485" s="190"/>
      <c r="B485" s="234"/>
      <c r="C485" s="234"/>
      <c r="D485" s="234"/>
      <c r="E485" s="235"/>
      <c r="F485" s="236"/>
      <c r="G485" s="288"/>
      <c r="H485" s="234"/>
      <c r="I485" s="134" t="str">
        <f t="shared" si="29"/>
        <v/>
      </c>
      <c r="J485" s="14" t="str">
        <f t="shared" si="30"/>
        <v/>
      </c>
      <c r="K485" s="14" t="str">
        <f t="shared" si="31"/>
        <v/>
      </c>
      <c r="L485" s="14">
        <f t="shared" si="28"/>
        <v>0</v>
      </c>
    </row>
    <row r="486" spans="1:12">
      <c r="A486" s="190"/>
      <c r="B486" s="234"/>
      <c r="C486" s="234"/>
      <c r="D486" s="234"/>
      <c r="E486" s="235"/>
      <c r="F486" s="236"/>
      <c r="G486" s="288"/>
      <c r="H486" s="234"/>
      <c r="I486" s="134" t="str">
        <f t="shared" si="29"/>
        <v/>
      </c>
      <c r="J486" s="14" t="str">
        <f t="shared" si="30"/>
        <v/>
      </c>
      <c r="K486" s="14" t="str">
        <f t="shared" si="31"/>
        <v/>
      </c>
      <c r="L486" s="14">
        <f t="shared" si="28"/>
        <v>0</v>
      </c>
    </row>
    <row r="487" spans="1:12">
      <c r="A487" s="190"/>
      <c r="B487" s="234"/>
      <c r="C487" s="234"/>
      <c r="D487" s="234"/>
      <c r="E487" s="235"/>
      <c r="F487" s="236"/>
      <c r="G487" s="288"/>
      <c r="H487" s="234"/>
      <c r="I487" s="134" t="str">
        <f t="shared" si="29"/>
        <v/>
      </c>
      <c r="J487" s="14" t="str">
        <f t="shared" si="30"/>
        <v/>
      </c>
      <c r="K487" s="14" t="str">
        <f t="shared" si="31"/>
        <v/>
      </c>
      <c r="L487" s="14">
        <f t="shared" si="28"/>
        <v>0</v>
      </c>
    </row>
    <row r="488" spans="1:12">
      <c r="A488" s="190"/>
      <c r="B488" s="234"/>
      <c r="C488" s="234"/>
      <c r="D488" s="234"/>
      <c r="E488" s="235"/>
      <c r="F488" s="236"/>
      <c r="G488" s="288"/>
      <c r="H488" s="234"/>
      <c r="I488" s="134" t="str">
        <f t="shared" si="29"/>
        <v/>
      </c>
      <c r="J488" s="14" t="str">
        <f t="shared" si="30"/>
        <v/>
      </c>
      <c r="K488" s="14" t="str">
        <f t="shared" si="31"/>
        <v/>
      </c>
      <c r="L488" s="14">
        <f t="shared" si="28"/>
        <v>0</v>
      </c>
    </row>
    <row r="489" spans="1:12">
      <c r="A489" s="190"/>
      <c r="B489" s="234"/>
      <c r="C489" s="234"/>
      <c r="D489" s="234"/>
      <c r="E489" s="235"/>
      <c r="F489" s="236"/>
      <c r="G489" s="288"/>
      <c r="H489" s="234"/>
      <c r="I489" s="134" t="str">
        <f t="shared" si="29"/>
        <v/>
      </c>
      <c r="J489" s="14" t="str">
        <f t="shared" si="30"/>
        <v/>
      </c>
      <c r="K489" s="14" t="str">
        <f t="shared" si="31"/>
        <v/>
      </c>
      <c r="L489" s="14">
        <f t="shared" si="28"/>
        <v>0</v>
      </c>
    </row>
    <row r="490" spans="1:12">
      <c r="A490" s="190"/>
      <c r="B490" s="234"/>
      <c r="C490" s="234"/>
      <c r="D490" s="234"/>
      <c r="E490" s="235"/>
      <c r="F490" s="236"/>
      <c r="G490" s="288"/>
      <c r="H490" s="234"/>
      <c r="I490" s="134" t="str">
        <f t="shared" si="29"/>
        <v/>
      </c>
      <c r="J490" s="14" t="str">
        <f t="shared" si="30"/>
        <v/>
      </c>
      <c r="K490" s="14" t="str">
        <f t="shared" si="31"/>
        <v/>
      </c>
      <c r="L490" s="14">
        <f t="shared" si="28"/>
        <v>0</v>
      </c>
    </row>
    <row r="491" spans="1:12">
      <c r="A491" s="190"/>
      <c r="B491" s="234"/>
      <c r="C491" s="234"/>
      <c r="D491" s="234"/>
      <c r="E491" s="235"/>
      <c r="F491" s="236"/>
      <c r="G491" s="288"/>
      <c r="H491" s="234"/>
      <c r="I491" s="134" t="str">
        <f t="shared" si="29"/>
        <v/>
      </c>
      <c r="J491" s="14" t="str">
        <f t="shared" si="30"/>
        <v/>
      </c>
      <c r="K491" s="14" t="str">
        <f t="shared" si="31"/>
        <v/>
      </c>
      <c r="L491" s="14">
        <f t="shared" si="28"/>
        <v>0</v>
      </c>
    </row>
    <row r="492" spans="1:12">
      <c r="A492" s="190"/>
      <c r="B492" s="234"/>
      <c r="C492" s="234"/>
      <c r="D492" s="234"/>
      <c r="E492" s="235"/>
      <c r="F492" s="236"/>
      <c r="G492" s="288"/>
      <c r="H492" s="234"/>
      <c r="I492" s="134" t="str">
        <f t="shared" si="29"/>
        <v/>
      </c>
      <c r="J492" s="14" t="str">
        <f t="shared" si="30"/>
        <v/>
      </c>
      <c r="K492" s="14" t="str">
        <f t="shared" si="31"/>
        <v/>
      </c>
      <c r="L492" s="14">
        <f t="shared" si="28"/>
        <v>0</v>
      </c>
    </row>
    <row r="493" spans="1:12">
      <c r="A493" s="190"/>
      <c r="B493" s="234"/>
      <c r="C493" s="234"/>
      <c r="D493" s="234"/>
      <c r="E493" s="235"/>
      <c r="F493" s="236"/>
      <c r="G493" s="288"/>
      <c r="H493" s="234"/>
      <c r="I493" s="134" t="str">
        <f t="shared" si="29"/>
        <v/>
      </c>
      <c r="J493" s="14" t="str">
        <f t="shared" si="30"/>
        <v/>
      </c>
      <c r="K493" s="14" t="str">
        <f t="shared" si="31"/>
        <v/>
      </c>
      <c r="L493" s="14">
        <f t="shared" si="28"/>
        <v>0</v>
      </c>
    </row>
    <row r="494" spans="1:12">
      <c r="A494" s="190"/>
      <c r="B494" s="234"/>
      <c r="C494" s="234"/>
      <c r="D494" s="234"/>
      <c r="E494" s="235"/>
      <c r="F494" s="236"/>
      <c r="G494" s="288"/>
      <c r="H494" s="234"/>
      <c r="I494" s="134" t="str">
        <f t="shared" si="29"/>
        <v/>
      </c>
      <c r="J494" s="14" t="str">
        <f t="shared" si="30"/>
        <v/>
      </c>
      <c r="K494" s="14" t="str">
        <f t="shared" si="31"/>
        <v/>
      </c>
      <c r="L494" s="14">
        <f t="shared" si="28"/>
        <v>0</v>
      </c>
    </row>
    <row r="495" spans="1:12">
      <c r="A495" s="190"/>
      <c r="B495" s="234"/>
      <c r="C495" s="234"/>
      <c r="D495" s="234"/>
      <c r="E495" s="235"/>
      <c r="F495" s="236"/>
      <c r="G495" s="288"/>
      <c r="H495" s="234"/>
      <c r="I495" s="134" t="str">
        <f t="shared" si="29"/>
        <v/>
      </c>
      <c r="J495" s="14" t="str">
        <f t="shared" si="30"/>
        <v/>
      </c>
      <c r="K495" s="14" t="str">
        <f t="shared" si="31"/>
        <v/>
      </c>
      <c r="L495" s="14">
        <f t="shared" si="28"/>
        <v>0</v>
      </c>
    </row>
    <row r="496" spans="1:12">
      <c r="A496" s="190"/>
      <c r="B496" s="234"/>
      <c r="C496" s="234"/>
      <c r="D496" s="234"/>
      <c r="E496" s="235"/>
      <c r="F496" s="236"/>
      <c r="G496" s="288"/>
      <c r="H496" s="234"/>
      <c r="I496" s="134" t="str">
        <f t="shared" si="29"/>
        <v/>
      </c>
      <c r="J496" s="14" t="str">
        <f t="shared" si="30"/>
        <v/>
      </c>
      <c r="K496" s="14" t="str">
        <f t="shared" si="31"/>
        <v/>
      </c>
      <c r="L496" s="14">
        <f t="shared" si="28"/>
        <v>0</v>
      </c>
    </row>
    <row r="497" spans="1:12">
      <c r="A497" s="190"/>
      <c r="B497" s="234"/>
      <c r="C497" s="234"/>
      <c r="D497" s="234"/>
      <c r="E497" s="235"/>
      <c r="F497" s="236"/>
      <c r="G497" s="288"/>
      <c r="H497" s="234"/>
      <c r="I497" s="134" t="str">
        <f t="shared" si="29"/>
        <v/>
      </c>
      <c r="J497" s="14" t="str">
        <f t="shared" si="30"/>
        <v/>
      </c>
      <c r="K497" s="14" t="str">
        <f t="shared" si="31"/>
        <v/>
      </c>
      <c r="L497" s="14">
        <f t="shared" si="28"/>
        <v>0</v>
      </c>
    </row>
    <row r="498" spans="1:12">
      <c r="A498" s="190"/>
      <c r="B498" s="234"/>
      <c r="C498" s="234"/>
      <c r="D498" s="234"/>
      <c r="E498" s="235"/>
      <c r="F498" s="236"/>
      <c r="G498" s="288"/>
      <c r="H498" s="234"/>
      <c r="I498" s="134" t="str">
        <f t="shared" si="29"/>
        <v/>
      </c>
      <c r="J498" s="14" t="str">
        <f t="shared" si="30"/>
        <v/>
      </c>
      <c r="K498" s="14" t="str">
        <f t="shared" si="31"/>
        <v/>
      </c>
      <c r="L498" s="14">
        <f t="shared" si="28"/>
        <v>0</v>
      </c>
    </row>
    <row r="499" spans="1:12">
      <c r="A499" s="190"/>
      <c r="B499" s="234"/>
      <c r="C499" s="234"/>
      <c r="D499" s="234"/>
      <c r="E499" s="235"/>
      <c r="F499" s="236"/>
      <c r="G499" s="288"/>
      <c r="H499" s="234"/>
      <c r="I499" s="134" t="str">
        <f t="shared" si="29"/>
        <v/>
      </c>
      <c r="J499" s="14" t="str">
        <f t="shared" si="30"/>
        <v/>
      </c>
      <c r="K499" s="14" t="str">
        <f t="shared" si="31"/>
        <v/>
      </c>
      <c r="L499" s="14">
        <f t="shared" si="28"/>
        <v>0</v>
      </c>
    </row>
    <row r="500" spans="1:12">
      <c r="A500" s="239"/>
      <c r="B500" s="112"/>
      <c r="C500" s="112"/>
      <c r="D500" s="112"/>
      <c r="E500" s="112"/>
      <c r="F500" s="112"/>
      <c r="G500" s="289"/>
      <c r="I500" s="134" t="str">
        <f t="shared" si="29"/>
        <v/>
      </c>
      <c r="J500" s="14" t="str">
        <f t="shared" si="30"/>
        <v/>
      </c>
      <c r="K500" s="14" t="str">
        <f t="shared" si="31"/>
        <v/>
      </c>
      <c r="L500" s="14">
        <f t="shared" si="28"/>
        <v>0</v>
      </c>
    </row>
  </sheetData>
  <sheetProtection password="EF32" sheet="1" objects="1" scenarios="1"/>
  <mergeCells count="2">
    <mergeCell ref="A1:H1"/>
    <mergeCell ref="A2:H2"/>
  </mergeCells>
  <conditionalFormatting sqref="B10:B100">
    <cfRule type="expression" dxfId="44" priority="13" stopIfTrue="1">
      <formula>AND(ISTEXT(D10)=TRUE,ISTEXT(B10)=FALSE)</formula>
    </cfRule>
  </conditionalFormatting>
  <conditionalFormatting sqref="C13:C100">
    <cfRule type="expression" dxfId="43" priority="14" stopIfTrue="1">
      <formula>AND(OR(#REF!="instructional program",#REF!="improvement of instructional services",#REF!="administration"),C13="purchased property services (0400)",ISTEXT(C13)=TRUE)</formula>
    </cfRule>
    <cfRule type="expression" dxfId="42" priority="15" stopIfTrue="1">
      <formula>AND(OR(#REF!="administration",#REF!="administration"),C13="other (0800)",ISTEXT(C13)=TRUE)</formula>
    </cfRule>
    <cfRule type="expression" dxfId="41" priority="16" stopIfTrue="1">
      <formula>AND(ISTEXT(D13)=TRUE,ISTEXT(C13)=FALSE)</formula>
    </cfRule>
  </conditionalFormatting>
  <conditionalFormatting sqref="C12 C10">
    <cfRule type="expression" dxfId="40" priority="17" stopIfTrue="1">
      <formula>AND(OR(B10="instructional program",B10="improvement of instructional services",B10="administration"),C10="purchased property services (0400)",ISTEXT(C10)=TRUE)</formula>
    </cfRule>
    <cfRule type="expression" dxfId="39" priority="18" stopIfTrue="1">
      <formula>AND(OR(B10="administration",B10="administration"),C10="other (0800)",ISTEXT(C10)=TRUE)</formula>
    </cfRule>
    <cfRule type="expression" dxfId="38" priority="19" stopIfTrue="1">
      <formula>AND(ISTEXT(D10)=TRUE,ISTEXT(C10)=FALSE)</formula>
    </cfRule>
  </conditionalFormatting>
  <conditionalFormatting sqref="C11">
    <cfRule type="expression" dxfId="37" priority="20" stopIfTrue="1">
      <formula>AND(OR(#REF!="instructional program",#REF!="improvement of instructional services",#REF!="administration"),C11="purchased property services (0400)",ISTEXT(C11)=TRUE)</formula>
    </cfRule>
    <cfRule type="expression" dxfId="36" priority="21" stopIfTrue="1">
      <formula>AND(OR(#REF!="administration",#REF!="administration"),C11="other (0800)",ISTEXT(C11)=TRUE)</formula>
    </cfRule>
    <cfRule type="expression" dxfId="35" priority="22" stopIfTrue="1">
      <formula>AND(ISTEXT(D11)=TRUE,ISTEXT(C11)=FALSE)</formula>
    </cfRule>
  </conditionalFormatting>
  <conditionalFormatting sqref="B4">
    <cfRule type="expression" dxfId="34" priority="23" stopIfTrue="1">
      <formula>$D$9="BOCES"</formula>
    </cfRule>
  </conditionalFormatting>
  <conditionalFormatting sqref="B8">
    <cfRule type="expression" dxfId="33" priority="12" stopIfTrue="1">
      <formula>AND(ISTEXT(D8)=TRUE,ISTEXT(B8)=FALSE)</formula>
    </cfRule>
  </conditionalFormatting>
  <conditionalFormatting sqref="C8">
    <cfRule type="expression" dxfId="32" priority="9" stopIfTrue="1">
      <formula>AND(OR(B8="instructional program",B8="improvement of instructional services",B8="administration"),C8="purchased property services (0400)",ISTEXT(C8)=TRUE)</formula>
    </cfRule>
    <cfRule type="expression" dxfId="31" priority="10" stopIfTrue="1">
      <formula>AND(OR(B8="administration",B8="administration"),C8="other (0800)",ISTEXT(C8)=TRUE)</formula>
    </cfRule>
    <cfRule type="expression" dxfId="30" priority="11" stopIfTrue="1">
      <formula>AND(ISTEXT(D8)=TRUE,ISTEXT(C8)=FALSE)</formula>
    </cfRule>
  </conditionalFormatting>
  <conditionalFormatting sqref="H8:H199">
    <cfRule type="expression" dxfId="29" priority="8">
      <formula>IF(#REF!="Federal","No Input Needed")</formula>
    </cfRule>
  </conditionalFormatting>
  <conditionalFormatting sqref="B9">
    <cfRule type="expression" dxfId="28" priority="7" stopIfTrue="1">
      <formula>AND(ISTEXT(D9)=TRUE,ISTEXT(B9)=FALSE)</formula>
    </cfRule>
  </conditionalFormatting>
  <conditionalFormatting sqref="C9">
    <cfRule type="expression" dxfId="27" priority="4" stopIfTrue="1">
      <formula>AND(OR(B9="instructional program",B9="improvement of instructional services",B9="administration"),C9="purchased property services (0400)",ISTEXT(C9)=TRUE)</formula>
    </cfRule>
    <cfRule type="expression" dxfId="26" priority="5" stopIfTrue="1">
      <formula>AND(OR(B9="administration",B9="administration"),C9="other (0800)",ISTEXT(C9)=TRUE)</formula>
    </cfRule>
    <cfRule type="expression" dxfId="25" priority="6" stopIfTrue="1">
      <formula>AND(ISTEXT(D9)=TRUE,ISTEXT(C9)=FALSE)</formula>
    </cfRule>
  </conditionalFormatting>
  <conditionalFormatting sqref="G10:G499">
    <cfRule type="expression" dxfId="24" priority="3">
      <formula>IF(#REF!="Federal","No Input Needed")</formula>
    </cfRule>
  </conditionalFormatting>
  <conditionalFormatting sqref="G8:G499">
    <cfRule type="expression" dxfId="23" priority="1">
      <formula>C8="Program Income"</formula>
    </cfRule>
    <cfRule type="expression" dxfId="22" priority="2">
      <formula>C8="Federal"</formula>
    </cfRule>
  </conditionalFormatting>
  <dataValidations count="4">
    <dataValidation type="list" allowBlank="1" showInputMessage="1" showErrorMessage="1" sqref="H8:H499">
      <formula1>Yes_No</formula1>
    </dataValidation>
    <dataValidation type="list" errorStyle="warning" allowBlank="1" showInputMessage="1" showErrorMessage="1" errorTitle="*** ERROR ***" error="Costs for Salaries and Property are not entered on this sheet, but are entered on the Staff sheet or Equipment sheet.  However, narrative descriptions should be entered on this sheet." sqref="D8:D499">
      <formula1>object</formula1>
    </dataValidation>
    <dataValidation type="list" allowBlank="1" showErrorMessage="1" sqref="C8:C499">
      <formula1>Federal_Match_ProgramIncome</formula1>
    </dataValidation>
    <dataValidation type="list" allowBlank="1" showInputMessage="1" showErrorMessage="1" sqref="B8:B499">
      <formula1>program</formula1>
    </dataValidation>
  </dataValidations>
  <pageMargins left="0.1" right="0.1" top="0.1" bottom="0.1" header="0.3" footer="0.3"/>
  <pageSetup scale="86"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theme="6" tint="0.39997558519241921"/>
    <pageSetUpPr fitToPage="1"/>
  </sheetPr>
  <dimension ref="A1:U501"/>
  <sheetViews>
    <sheetView zoomScaleNormal="100" workbookViewId="0">
      <pane ySplit="6" topLeftCell="A7" activePane="bottomLeft" state="frozen"/>
      <selection pane="bottomLeft" activeCell="H15" sqref="H15"/>
    </sheetView>
  </sheetViews>
  <sheetFormatPr defaultColWidth="0" defaultRowHeight="12.75" zeroHeight="1"/>
  <cols>
    <col min="1" max="1" width="20.7109375" style="165" customWidth="1"/>
    <col min="2" max="5" width="22.85546875" style="112" customWidth="1"/>
    <col min="6" max="6" width="24.85546875" style="112" customWidth="1"/>
    <col min="7" max="7" width="6.140625" style="112" customWidth="1"/>
    <col min="8" max="8" width="9" style="112" customWidth="1"/>
    <col min="9" max="9" width="32.7109375" style="112" customWidth="1"/>
    <col min="10" max="10" width="27" style="112" customWidth="1"/>
    <col min="11" max="11" width="8" style="112" customWidth="1"/>
    <col min="12" max="12" width="21.28515625" style="118" hidden="1" customWidth="1"/>
    <col min="13" max="14" width="6.140625" style="132" hidden="1" customWidth="1"/>
    <col min="15" max="21" width="15.140625" style="132" hidden="1" customWidth="1"/>
    <col min="22" max="16384" width="6.140625" style="132" hidden="1"/>
  </cols>
  <sheetData>
    <row r="1" spans="1:15" ht="18">
      <c r="A1" s="169"/>
      <c r="B1" s="170"/>
      <c r="C1" s="171" t="str">
        <f>'1-Cover Page'!$C$9&amp;"  "&amp;TEXT('1-Cover Page'!$C$11,"mm/dd/yy")</f>
        <v xml:space="preserve">   </v>
      </c>
      <c r="D1" s="169"/>
      <c r="E1" s="170" t="s">
        <v>189</v>
      </c>
      <c r="F1" s="171"/>
      <c r="G1" s="169"/>
      <c r="H1" s="172"/>
      <c r="I1" s="170"/>
      <c r="J1" s="170"/>
      <c r="K1" s="170"/>
      <c r="L1" s="135"/>
    </row>
    <row r="2" spans="1:15">
      <c r="A2" s="173"/>
      <c r="B2" s="174"/>
      <c r="C2" s="175">
        <f>'1-Cover Page'!$C$6</f>
        <v>0</v>
      </c>
      <c r="D2" s="173"/>
      <c r="E2" s="224" t="str">
        <f>'1-Cover Page'!C5</f>
        <v>Adult Education and Literacy Budget Form</v>
      </c>
      <c r="F2" s="175"/>
      <c r="G2" s="173"/>
      <c r="H2" s="175"/>
      <c r="I2" s="174"/>
      <c r="J2" s="174"/>
      <c r="K2" s="174"/>
      <c r="L2" s="135"/>
    </row>
    <row r="3" spans="1:15" ht="13.5" thickBot="1">
      <c r="A3" s="176"/>
      <c r="B3" s="175"/>
      <c r="C3" s="175" t="str">
        <f>'1-Cover Page'!$C$24</f>
        <v>14-15v9</v>
      </c>
      <c r="D3" s="177"/>
      <c r="E3" s="175"/>
      <c r="F3" s="175"/>
      <c r="G3" s="178"/>
      <c r="H3" s="175"/>
      <c r="I3" s="175"/>
      <c r="J3" s="175"/>
      <c r="K3" s="175"/>
      <c r="L3" s="135"/>
    </row>
    <row r="4" spans="1:15" ht="13.5" thickBot="1">
      <c r="A4" s="117">
        <v>1</v>
      </c>
      <c r="B4" s="115">
        <v>2</v>
      </c>
      <c r="C4" s="113">
        <v>3</v>
      </c>
      <c r="D4" s="114">
        <v>4</v>
      </c>
      <c r="E4" s="114">
        <v>5</v>
      </c>
      <c r="F4" s="115">
        <v>6</v>
      </c>
      <c r="G4" s="113">
        <v>7</v>
      </c>
      <c r="H4" s="116">
        <v>8</v>
      </c>
      <c r="I4" s="115">
        <v>9</v>
      </c>
      <c r="J4" s="115">
        <v>10</v>
      </c>
      <c r="K4" s="115">
        <v>11</v>
      </c>
      <c r="L4" s="139"/>
    </row>
    <row r="5" spans="1:15" ht="77.25" customHeight="1">
      <c r="A5" s="163" t="s">
        <v>97</v>
      </c>
      <c r="B5" s="65" t="s">
        <v>115</v>
      </c>
      <c r="C5" s="162" t="s">
        <v>128</v>
      </c>
      <c r="D5" s="160" t="s">
        <v>129</v>
      </c>
      <c r="E5" s="160" t="s">
        <v>192</v>
      </c>
      <c r="F5" s="167" t="s">
        <v>126</v>
      </c>
      <c r="G5" s="160" t="s">
        <v>23</v>
      </c>
      <c r="H5" s="160" t="s">
        <v>125</v>
      </c>
      <c r="I5" s="65" t="s">
        <v>133</v>
      </c>
      <c r="J5" s="65" t="s">
        <v>191</v>
      </c>
      <c r="K5" s="65" t="s">
        <v>130</v>
      </c>
      <c r="L5" s="137"/>
      <c r="O5" s="163" t="s">
        <v>97</v>
      </c>
    </row>
    <row r="6" spans="1:15" ht="18" customHeight="1">
      <c r="A6" s="69"/>
      <c r="B6" s="179"/>
      <c r="C6" s="180" t="s">
        <v>20</v>
      </c>
      <c r="D6" s="69"/>
      <c r="E6" s="69"/>
      <c r="F6" s="225"/>
      <c r="G6" s="181">
        <f>SUM(G7:G500)</f>
        <v>0</v>
      </c>
      <c r="H6" s="182">
        <f>SUM(H7:H500)</f>
        <v>0</v>
      </c>
      <c r="I6" s="179"/>
      <c r="J6" s="179"/>
      <c r="K6" s="179"/>
      <c r="L6" s="139"/>
    </row>
    <row r="7" spans="1:15" s="228" customFormat="1" ht="11.25">
      <c r="A7" s="164"/>
      <c r="B7" s="140"/>
      <c r="C7" s="140"/>
      <c r="D7" s="140"/>
      <c r="E7" s="140"/>
      <c r="F7" s="140"/>
      <c r="G7" s="141"/>
      <c r="H7" s="253"/>
      <c r="I7" s="256"/>
      <c r="J7" s="140"/>
      <c r="K7" s="140"/>
      <c r="L7" s="226" t="str">
        <f t="shared" ref="L7:L70" si="0">LEFT(B7,2)</f>
        <v/>
      </c>
      <c r="M7" s="227" t="s">
        <v>119</v>
      </c>
      <c r="N7" s="228" t="str">
        <f t="shared" ref="N7:N70" si="1">RIGHT(F7,3)</f>
        <v/>
      </c>
      <c r="O7" s="228">
        <f t="shared" ref="O7:O71" si="2">H7*A7</f>
        <v>0</v>
      </c>
    </row>
    <row r="8" spans="1:15" s="231" customFormat="1" ht="11.25">
      <c r="A8" s="166"/>
      <c r="B8" s="140"/>
      <c r="C8" s="140"/>
      <c r="D8" s="140"/>
      <c r="E8" s="140"/>
      <c r="F8" s="140"/>
      <c r="G8" s="141"/>
      <c r="H8" s="253"/>
      <c r="I8" s="256"/>
      <c r="J8" s="140"/>
      <c r="K8" s="140"/>
      <c r="L8" s="229" t="str">
        <f t="shared" si="0"/>
        <v/>
      </c>
      <c r="M8" s="230" t="s">
        <v>119</v>
      </c>
      <c r="N8" s="228" t="str">
        <f t="shared" si="1"/>
        <v/>
      </c>
      <c r="O8" s="228">
        <f t="shared" si="2"/>
        <v>0</v>
      </c>
    </row>
    <row r="9" spans="1:15" s="231" customFormat="1" ht="11.25">
      <c r="A9" s="166"/>
      <c r="B9" s="140"/>
      <c r="C9" s="140"/>
      <c r="D9" s="140"/>
      <c r="E9" s="140"/>
      <c r="F9" s="140"/>
      <c r="G9" s="141"/>
      <c r="H9" s="253"/>
      <c r="I9" s="256"/>
      <c r="J9" s="140"/>
      <c r="K9" s="140"/>
      <c r="L9" s="229" t="str">
        <f t="shared" si="0"/>
        <v/>
      </c>
      <c r="M9" s="230" t="s">
        <v>119</v>
      </c>
      <c r="N9" s="228" t="str">
        <f t="shared" si="1"/>
        <v/>
      </c>
      <c r="O9" s="228">
        <f t="shared" si="2"/>
        <v>0</v>
      </c>
    </row>
    <row r="10" spans="1:15" s="231" customFormat="1" ht="11.25">
      <c r="A10" s="166"/>
      <c r="B10" s="140"/>
      <c r="C10" s="140"/>
      <c r="D10" s="140"/>
      <c r="E10" s="140"/>
      <c r="F10" s="140"/>
      <c r="G10" s="141"/>
      <c r="H10" s="253"/>
      <c r="I10" s="256"/>
      <c r="J10" s="140"/>
      <c r="K10" s="140"/>
      <c r="L10" s="229" t="str">
        <f t="shared" si="0"/>
        <v/>
      </c>
      <c r="M10" s="230" t="s">
        <v>119</v>
      </c>
      <c r="N10" s="228" t="str">
        <f t="shared" si="1"/>
        <v/>
      </c>
      <c r="O10" s="228">
        <f t="shared" si="2"/>
        <v>0</v>
      </c>
    </row>
    <row r="11" spans="1:15" s="231" customFormat="1" ht="11.25">
      <c r="A11" s="166"/>
      <c r="B11" s="140"/>
      <c r="C11" s="140"/>
      <c r="D11" s="140"/>
      <c r="E11" s="140"/>
      <c r="F11" s="140"/>
      <c r="G11" s="141"/>
      <c r="H11" s="253"/>
      <c r="I11" s="256"/>
      <c r="J11" s="140"/>
      <c r="K11" s="140"/>
      <c r="L11" s="229" t="str">
        <f t="shared" si="0"/>
        <v/>
      </c>
      <c r="M11" s="230" t="s">
        <v>119</v>
      </c>
      <c r="N11" s="228" t="str">
        <f t="shared" si="1"/>
        <v/>
      </c>
      <c r="O11" s="228">
        <f t="shared" si="2"/>
        <v>0</v>
      </c>
    </row>
    <row r="12" spans="1:15" s="231" customFormat="1" ht="11.25">
      <c r="A12" s="166"/>
      <c r="B12" s="140"/>
      <c r="C12" s="140"/>
      <c r="D12" s="140"/>
      <c r="E12" s="140"/>
      <c r="F12" s="140"/>
      <c r="G12" s="141"/>
      <c r="H12" s="253"/>
      <c r="I12" s="256"/>
      <c r="J12" s="140"/>
      <c r="K12" s="140"/>
      <c r="L12" s="229" t="str">
        <f t="shared" si="0"/>
        <v/>
      </c>
      <c r="M12" s="230" t="s">
        <v>119</v>
      </c>
      <c r="N12" s="228" t="str">
        <f t="shared" si="1"/>
        <v/>
      </c>
      <c r="O12" s="228">
        <f t="shared" si="2"/>
        <v>0</v>
      </c>
    </row>
    <row r="13" spans="1:15" s="231" customFormat="1" ht="11.25">
      <c r="A13" s="166"/>
      <c r="B13" s="140"/>
      <c r="C13" s="140"/>
      <c r="D13" s="140"/>
      <c r="E13" s="140"/>
      <c r="F13" s="140"/>
      <c r="G13" s="141"/>
      <c r="H13" s="253"/>
      <c r="I13" s="256"/>
      <c r="J13" s="140"/>
      <c r="K13" s="140"/>
      <c r="L13" s="229" t="str">
        <f t="shared" si="0"/>
        <v/>
      </c>
      <c r="M13" s="230" t="s">
        <v>119</v>
      </c>
      <c r="N13" s="228" t="str">
        <f t="shared" si="1"/>
        <v/>
      </c>
      <c r="O13" s="228">
        <f t="shared" si="2"/>
        <v>0</v>
      </c>
    </row>
    <row r="14" spans="1:15" s="231" customFormat="1" ht="11.25">
      <c r="A14" s="166"/>
      <c r="B14" s="140"/>
      <c r="C14" s="140"/>
      <c r="D14" s="140"/>
      <c r="E14" s="140"/>
      <c r="F14" s="140"/>
      <c r="G14" s="141"/>
      <c r="H14" s="253"/>
      <c r="I14" s="256"/>
      <c r="J14" s="140"/>
      <c r="K14" s="140"/>
      <c r="L14" s="229" t="str">
        <f t="shared" si="0"/>
        <v/>
      </c>
      <c r="M14" s="230" t="s">
        <v>119</v>
      </c>
      <c r="N14" s="228" t="str">
        <f t="shared" si="1"/>
        <v/>
      </c>
      <c r="O14" s="228">
        <f t="shared" si="2"/>
        <v>0</v>
      </c>
    </row>
    <row r="15" spans="1:15" s="231" customFormat="1" ht="11.25">
      <c r="A15" s="166"/>
      <c r="B15" s="140"/>
      <c r="C15" s="140"/>
      <c r="D15" s="140"/>
      <c r="E15" s="140"/>
      <c r="F15" s="140"/>
      <c r="G15" s="141"/>
      <c r="H15" s="253"/>
      <c r="I15" s="256"/>
      <c r="J15" s="140"/>
      <c r="K15" s="140"/>
      <c r="L15" s="229" t="str">
        <f t="shared" si="0"/>
        <v/>
      </c>
      <c r="M15" s="230" t="s">
        <v>119</v>
      </c>
      <c r="N15" s="228" t="str">
        <f t="shared" si="1"/>
        <v/>
      </c>
      <c r="O15" s="228">
        <f t="shared" si="2"/>
        <v>0</v>
      </c>
    </row>
    <row r="16" spans="1:15" s="231" customFormat="1" ht="11.25">
      <c r="A16" s="166"/>
      <c r="B16" s="140"/>
      <c r="C16" s="140"/>
      <c r="D16" s="168"/>
      <c r="E16" s="140"/>
      <c r="F16" s="140"/>
      <c r="G16" s="141"/>
      <c r="H16" s="253"/>
      <c r="I16" s="256"/>
      <c r="J16" s="140"/>
      <c r="K16" s="140"/>
      <c r="L16" s="229" t="str">
        <f t="shared" si="0"/>
        <v/>
      </c>
      <c r="M16" s="230" t="s">
        <v>119</v>
      </c>
      <c r="N16" s="228" t="str">
        <f t="shared" si="1"/>
        <v/>
      </c>
      <c r="O16" s="228">
        <f t="shared" si="2"/>
        <v>0</v>
      </c>
    </row>
    <row r="17" spans="1:15" s="231" customFormat="1" ht="11.25">
      <c r="A17" s="166"/>
      <c r="B17" s="168"/>
      <c r="C17" s="140"/>
      <c r="D17" s="168"/>
      <c r="E17" s="168"/>
      <c r="F17" s="140"/>
      <c r="G17" s="141"/>
      <c r="H17" s="253"/>
      <c r="I17" s="256"/>
      <c r="J17" s="140"/>
      <c r="K17" s="168"/>
      <c r="L17" s="229" t="str">
        <f t="shared" si="0"/>
        <v/>
      </c>
      <c r="M17" s="230" t="s">
        <v>119</v>
      </c>
      <c r="N17" s="228" t="str">
        <f t="shared" si="1"/>
        <v/>
      </c>
      <c r="O17" s="228">
        <f t="shared" si="2"/>
        <v>0</v>
      </c>
    </row>
    <row r="18" spans="1:15" s="231" customFormat="1" ht="11.25">
      <c r="A18" s="166"/>
      <c r="B18" s="140"/>
      <c r="C18" s="140"/>
      <c r="D18" s="168"/>
      <c r="E18" s="140"/>
      <c r="F18" s="140"/>
      <c r="G18" s="141"/>
      <c r="H18" s="253"/>
      <c r="I18" s="256"/>
      <c r="J18" s="140"/>
      <c r="K18" s="140"/>
      <c r="L18" s="229" t="str">
        <f t="shared" si="0"/>
        <v/>
      </c>
      <c r="M18" s="230" t="s">
        <v>119</v>
      </c>
      <c r="N18" s="228" t="str">
        <f t="shared" si="1"/>
        <v/>
      </c>
      <c r="O18" s="228">
        <f t="shared" si="2"/>
        <v>0</v>
      </c>
    </row>
    <row r="19" spans="1:15" s="231" customFormat="1" ht="11.25">
      <c r="A19" s="166"/>
      <c r="B19" s="168"/>
      <c r="C19" s="140"/>
      <c r="D19" s="168"/>
      <c r="E19" s="168"/>
      <c r="F19" s="140"/>
      <c r="G19" s="141"/>
      <c r="H19" s="253"/>
      <c r="I19" s="256"/>
      <c r="J19" s="140"/>
      <c r="K19" s="168"/>
      <c r="L19" s="229" t="str">
        <f t="shared" si="0"/>
        <v/>
      </c>
      <c r="M19" s="230" t="s">
        <v>119</v>
      </c>
      <c r="N19" s="228" t="str">
        <f t="shared" si="1"/>
        <v/>
      </c>
      <c r="O19" s="228">
        <f t="shared" si="2"/>
        <v>0</v>
      </c>
    </row>
    <row r="20" spans="1:15" s="231" customFormat="1" ht="11.25">
      <c r="A20" s="166"/>
      <c r="B20" s="168"/>
      <c r="C20" s="140"/>
      <c r="D20" s="168"/>
      <c r="E20" s="168"/>
      <c r="F20" s="140"/>
      <c r="G20" s="141"/>
      <c r="H20" s="253"/>
      <c r="I20" s="256"/>
      <c r="J20" s="140"/>
      <c r="K20" s="168"/>
      <c r="L20" s="229" t="str">
        <f t="shared" si="0"/>
        <v/>
      </c>
      <c r="M20" s="230" t="s">
        <v>119</v>
      </c>
      <c r="N20" s="228" t="str">
        <f t="shared" si="1"/>
        <v/>
      </c>
      <c r="O20" s="228">
        <f t="shared" si="2"/>
        <v>0</v>
      </c>
    </row>
    <row r="21" spans="1:15" s="231" customFormat="1" ht="11.25">
      <c r="A21" s="166"/>
      <c r="B21" s="168"/>
      <c r="C21" s="140"/>
      <c r="D21" s="168"/>
      <c r="E21" s="168"/>
      <c r="F21" s="140"/>
      <c r="G21" s="141"/>
      <c r="H21" s="253"/>
      <c r="I21" s="256"/>
      <c r="J21" s="140"/>
      <c r="K21" s="168"/>
      <c r="L21" s="229" t="str">
        <f t="shared" si="0"/>
        <v/>
      </c>
      <c r="M21" s="230" t="s">
        <v>119</v>
      </c>
      <c r="N21" s="228" t="str">
        <f t="shared" si="1"/>
        <v/>
      </c>
      <c r="O21" s="228">
        <f t="shared" si="2"/>
        <v>0</v>
      </c>
    </row>
    <row r="22" spans="1:15" s="231" customFormat="1" ht="11.25">
      <c r="A22" s="166"/>
      <c r="B22" s="168"/>
      <c r="C22" s="140"/>
      <c r="D22" s="168"/>
      <c r="E22" s="168"/>
      <c r="F22" s="140"/>
      <c r="G22" s="141"/>
      <c r="H22" s="253"/>
      <c r="I22" s="256"/>
      <c r="J22" s="140"/>
      <c r="K22" s="168"/>
      <c r="L22" s="229" t="str">
        <f t="shared" si="0"/>
        <v/>
      </c>
      <c r="M22" s="230" t="s">
        <v>119</v>
      </c>
      <c r="N22" s="228" t="str">
        <f t="shared" si="1"/>
        <v/>
      </c>
      <c r="O22" s="228">
        <f t="shared" si="2"/>
        <v>0</v>
      </c>
    </row>
    <row r="23" spans="1:15" s="231" customFormat="1" ht="11.25">
      <c r="A23" s="166"/>
      <c r="B23" s="168"/>
      <c r="C23" s="140"/>
      <c r="D23" s="168"/>
      <c r="E23" s="168"/>
      <c r="F23" s="140"/>
      <c r="G23" s="141"/>
      <c r="H23" s="253"/>
      <c r="I23" s="256"/>
      <c r="J23" s="140"/>
      <c r="K23" s="168"/>
      <c r="L23" s="229" t="str">
        <f t="shared" si="0"/>
        <v/>
      </c>
      <c r="M23" s="230" t="s">
        <v>119</v>
      </c>
      <c r="N23" s="228" t="str">
        <f t="shared" si="1"/>
        <v/>
      </c>
      <c r="O23" s="228">
        <f t="shared" si="2"/>
        <v>0</v>
      </c>
    </row>
    <row r="24" spans="1:15" s="231" customFormat="1" ht="11.25">
      <c r="A24" s="166"/>
      <c r="B24" s="168"/>
      <c r="C24" s="140"/>
      <c r="D24" s="168"/>
      <c r="E24" s="168"/>
      <c r="F24" s="140"/>
      <c r="G24" s="141"/>
      <c r="H24" s="253"/>
      <c r="I24" s="256"/>
      <c r="J24" s="140"/>
      <c r="K24" s="168"/>
      <c r="L24" s="229" t="str">
        <f t="shared" si="0"/>
        <v/>
      </c>
      <c r="M24" s="230" t="s">
        <v>119</v>
      </c>
      <c r="N24" s="228" t="str">
        <f t="shared" si="1"/>
        <v/>
      </c>
      <c r="O24" s="228">
        <f t="shared" si="2"/>
        <v>0</v>
      </c>
    </row>
    <row r="25" spans="1:15" s="231" customFormat="1" ht="11.25">
      <c r="A25" s="166"/>
      <c r="B25" s="168"/>
      <c r="C25" s="140"/>
      <c r="D25" s="168"/>
      <c r="E25" s="168"/>
      <c r="F25" s="140"/>
      <c r="G25" s="141"/>
      <c r="H25" s="253"/>
      <c r="I25" s="256"/>
      <c r="J25" s="140"/>
      <c r="K25" s="168"/>
      <c r="L25" s="229" t="str">
        <f t="shared" si="0"/>
        <v/>
      </c>
      <c r="M25" s="230" t="s">
        <v>119</v>
      </c>
      <c r="N25" s="228" t="str">
        <f t="shared" si="1"/>
        <v/>
      </c>
      <c r="O25" s="228">
        <f t="shared" si="2"/>
        <v>0</v>
      </c>
    </row>
    <row r="26" spans="1:15" s="231" customFormat="1" ht="11.25">
      <c r="A26" s="166"/>
      <c r="B26" s="168"/>
      <c r="C26" s="140"/>
      <c r="D26" s="168"/>
      <c r="E26" s="168"/>
      <c r="F26" s="140"/>
      <c r="G26" s="141"/>
      <c r="H26" s="253"/>
      <c r="I26" s="256"/>
      <c r="J26" s="140"/>
      <c r="K26" s="168"/>
      <c r="L26" s="229" t="str">
        <f t="shared" si="0"/>
        <v/>
      </c>
      <c r="M26" s="230" t="s">
        <v>119</v>
      </c>
      <c r="N26" s="228" t="str">
        <f t="shared" si="1"/>
        <v/>
      </c>
      <c r="O26" s="228">
        <f t="shared" si="2"/>
        <v>0</v>
      </c>
    </row>
    <row r="27" spans="1:15" s="231" customFormat="1" ht="11.25">
      <c r="A27" s="166"/>
      <c r="B27" s="168"/>
      <c r="C27" s="140"/>
      <c r="D27" s="168"/>
      <c r="E27" s="168"/>
      <c r="F27" s="140"/>
      <c r="G27" s="141"/>
      <c r="H27" s="253"/>
      <c r="I27" s="256"/>
      <c r="J27" s="140"/>
      <c r="K27" s="168"/>
      <c r="L27" s="229" t="str">
        <f t="shared" si="0"/>
        <v/>
      </c>
      <c r="M27" s="230" t="s">
        <v>119</v>
      </c>
      <c r="N27" s="228" t="str">
        <f t="shared" si="1"/>
        <v/>
      </c>
      <c r="O27" s="228">
        <f t="shared" si="2"/>
        <v>0</v>
      </c>
    </row>
    <row r="28" spans="1:15" s="231" customFormat="1" ht="11.25">
      <c r="A28" s="166"/>
      <c r="B28" s="168"/>
      <c r="C28" s="140"/>
      <c r="D28" s="168"/>
      <c r="E28" s="168"/>
      <c r="F28" s="140"/>
      <c r="G28" s="141"/>
      <c r="H28" s="253"/>
      <c r="I28" s="256"/>
      <c r="J28" s="140"/>
      <c r="K28" s="168"/>
      <c r="L28" s="229" t="str">
        <f t="shared" si="0"/>
        <v/>
      </c>
      <c r="M28" s="230" t="s">
        <v>119</v>
      </c>
      <c r="N28" s="228" t="str">
        <f t="shared" si="1"/>
        <v/>
      </c>
      <c r="O28" s="228">
        <f t="shared" si="2"/>
        <v>0</v>
      </c>
    </row>
    <row r="29" spans="1:15" s="231" customFormat="1" ht="11.25">
      <c r="A29" s="166"/>
      <c r="B29" s="168"/>
      <c r="C29" s="140"/>
      <c r="D29" s="168"/>
      <c r="E29" s="168"/>
      <c r="F29" s="140"/>
      <c r="G29" s="141"/>
      <c r="H29" s="253"/>
      <c r="I29" s="256"/>
      <c r="J29" s="140"/>
      <c r="K29" s="168"/>
      <c r="L29" s="229" t="str">
        <f t="shared" si="0"/>
        <v/>
      </c>
      <c r="M29" s="230" t="s">
        <v>119</v>
      </c>
      <c r="N29" s="228" t="str">
        <f t="shared" si="1"/>
        <v/>
      </c>
      <c r="O29" s="228">
        <f t="shared" si="2"/>
        <v>0</v>
      </c>
    </row>
    <row r="30" spans="1:15" s="231" customFormat="1" ht="11.25">
      <c r="A30" s="166"/>
      <c r="B30" s="168"/>
      <c r="C30" s="140"/>
      <c r="D30" s="168"/>
      <c r="E30" s="168"/>
      <c r="F30" s="140"/>
      <c r="G30" s="141"/>
      <c r="H30" s="253"/>
      <c r="I30" s="256"/>
      <c r="J30" s="140"/>
      <c r="K30" s="168"/>
      <c r="L30" s="229" t="str">
        <f t="shared" si="0"/>
        <v/>
      </c>
      <c r="M30" s="230" t="s">
        <v>119</v>
      </c>
      <c r="N30" s="228" t="str">
        <f t="shared" si="1"/>
        <v/>
      </c>
      <c r="O30" s="228">
        <f t="shared" si="2"/>
        <v>0</v>
      </c>
    </row>
    <row r="31" spans="1:15" s="231" customFormat="1" ht="11.25">
      <c r="A31" s="166"/>
      <c r="B31" s="168"/>
      <c r="C31" s="140"/>
      <c r="D31" s="168"/>
      <c r="E31" s="168"/>
      <c r="F31" s="140"/>
      <c r="G31" s="141"/>
      <c r="H31" s="253"/>
      <c r="I31" s="256"/>
      <c r="J31" s="140"/>
      <c r="K31" s="168"/>
      <c r="L31" s="229" t="str">
        <f t="shared" si="0"/>
        <v/>
      </c>
      <c r="M31" s="230" t="s">
        <v>119</v>
      </c>
      <c r="N31" s="228" t="str">
        <f t="shared" si="1"/>
        <v/>
      </c>
      <c r="O31" s="228">
        <f t="shared" si="2"/>
        <v>0</v>
      </c>
    </row>
    <row r="32" spans="1:15" s="231" customFormat="1" ht="11.25">
      <c r="A32" s="166"/>
      <c r="B32" s="168"/>
      <c r="C32" s="140"/>
      <c r="D32" s="168"/>
      <c r="E32" s="168"/>
      <c r="F32" s="140"/>
      <c r="G32" s="141"/>
      <c r="H32" s="253"/>
      <c r="I32" s="256"/>
      <c r="J32" s="140"/>
      <c r="K32" s="168"/>
      <c r="L32" s="229" t="str">
        <f t="shared" si="0"/>
        <v/>
      </c>
      <c r="M32" s="230" t="s">
        <v>119</v>
      </c>
      <c r="N32" s="228" t="str">
        <f t="shared" si="1"/>
        <v/>
      </c>
      <c r="O32" s="228">
        <f t="shared" si="2"/>
        <v>0</v>
      </c>
    </row>
    <row r="33" spans="1:15" s="231" customFormat="1" ht="11.25">
      <c r="A33" s="166"/>
      <c r="B33" s="168"/>
      <c r="C33" s="140"/>
      <c r="D33" s="168"/>
      <c r="E33" s="168"/>
      <c r="F33" s="140"/>
      <c r="G33" s="141"/>
      <c r="H33" s="253"/>
      <c r="I33" s="256"/>
      <c r="J33" s="140"/>
      <c r="K33" s="168"/>
      <c r="L33" s="229" t="str">
        <f t="shared" si="0"/>
        <v/>
      </c>
      <c r="M33" s="230" t="s">
        <v>119</v>
      </c>
      <c r="N33" s="228" t="str">
        <f t="shared" si="1"/>
        <v/>
      </c>
      <c r="O33" s="228">
        <f t="shared" si="2"/>
        <v>0</v>
      </c>
    </row>
    <row r="34" spans="1:15" s="231" customFormat="1" ht="11.25">
      <c r="A34" s="166"/>
      <c r="B34" s="168"/>
      <c r="C34" s="140"/>
      <c r="D34" s="168"/>
      <c r="E34" s="168"/>
      <c r="F34" s="140"/>
      <c r="G34" s="141"/>
      <c r="H34" s="253"/>
      <c r="I34" s="256"/>
      <c r="J34" s="140"/>
      <c r="K34" s="168"/>
      <c r="L34" s="229" t="str">
        <f t="shared" si="0"/>
        <v/>
      </c>
      <c r="M34" s="230" t="s">
        <v>119</v>
      </c>
      <c r="N34" s="228" t="str">
        <f t="shared" si="1"/>
        <v/>
      </c>
      <c r="O34" s="228">
        <f t="shared" si="2"/>
        <v>0</v>
      </c>
    </row>
    <row r="35" spans="1:15" s="231" customFormat="1" ht="11.25">
      <c r="A35" s="166"/>
      <c r="B35" s="168"/>
      <c r="C35" s="140"/>
      <c r="D35" s="168"/>
      <c r="E35" s="168"/>
      <c r="F35" s="140"/>
      <c r="G35" s="141"/>
      <c r="H35" s="253"/>
      <c r="I35" s="256"/>
      <c r="J35" s="140"/>
      <c r="K35" s="168"/>
      <c r="L35" s="229" t="str">
        <f t="shared" si="0"/>
        <v/>
      </c>
      <c r="M35" s="230" t="s">
        <v>119</v>
      </c>
      <c r="N35" s="228" t="str">
        <f t="shared" si="1"/>
        <v/>
      </c>
      <c r="O35" s="228">
        <f t="shared" si="2"/>
        <v>0</v>
      </c>
    </row>
    <row r="36" spans="1:15" s="231" customFormat="1" ht="11.25">
      <c r="A36" s="166"/>
      <c r="B36" s="168"/>
      <c r="C36" s="140"/>
      <c r="D36" s="168"/>
      <c r="E36" s="168"/>
      <c r="F36" s="140"/>
      <c r="G36" s="141"/>
      <c r="H36" s="253"/>
      <c r="I36" s="256"/>
      <c r="J36" s="140"/>
      <c r="K36" s="168"/>
      <c r="L36" s="229" t="str">
        <f t="shared" si="0"/>
        <v/>
      </c>
      <c r="M36" s="230" t="s">
        <v>119</v>
      </c>
      <c r="N36" s="228" t="str">
        <f t="shared" si="1"/>
        <v/>
      </c>
      <c r="O36" s="228">
        <f t="shared" si="2"/>
        <v>0</v>
      </c>
    </row>
    <row r="37" spans="1:15" s="231" customFormat="1" ht="11.25">
      <c r="A37" s="166"/>
      <c r="B37" s="168"/>
      <c r="C37" s="140"/>
      <c r="D37" s="168"/>
      <c r="E37" s="168"/>
      <c r="F37" s="140"/>
      <c r="G37" s="141"/>
      <c r="H37" s="253"/>
      <c r="I37" s="256"/>
      <c r="J37" s="140"/>
      <c r="K37" s="168"/>
      <c r="L37" s="229" t="str">
        <f t="shared" si="0"/>
        <v/>
      </c>
      <c r="M37" s="230" t="s">
        <v>119</v>
      </c>
      <c r="N37" s="228" t="str">
        <f t="shared" si="1"/>
        <v/>
      </c>
      <c r="O37" s="228">
        <f t="shared" si="2"/>
        <v>0</v>
      </c>
    </row>
    <row r="38" spans="1:15" s="231" customFormat="1" ht="11.25">
      <c r="A38" s="166"/>
      <c r="B38" s="168"/>
      <c r="C38" s="140"/>
      <c r="D38" s="168"/>
      <c r="E38" s="168"/>
      <c r="F38" s="140"/>
      <c r="G38" s="141"/>
      <c r="H38" s="253"/>
      <c r="I38" s="256"/>
      <c r="J38" s="140"/>
      <c r="K38" s="168"/>
      <c r="L38" s="229" t="str">
        <f t="shared" si="0"/>
        <v/>
      </c>
      <c r="M38" s="230" t="s">
        <v>119</v>
      </c>
      <c r="N38" s="228" t="str">
        <f t="shared" si="1"/>
        <v/>
      </c>
      <c r="O38" s="228">
        <f t="shared" si="2"/>
        <v>0</v>
      </c>
    </row>
    <row r="39" spans="1:15" s="231" customFormat="1" ht="11.25">
      <c r="A39" s="166"/>
      <c r="B39" s="168"/>
      <c r="C39" s="140"/>
      <c r="D39" s="168"/>
      <c r="E39" s="168"/>
      <c r="F39" s="140"/>
      <c r="G39" s="141"/>
      <c r="H39" s="253"/>
      <c r="I39" s="256"/>
      <c r="J39" s="140"/>
      <c r="K39" s="168"/>
      <c r="L39" s="229" t="str">
        <f t="shared" si="0"/>
        <v/>
      </c>
      <c r="M39" s="230" t="s">
        <v>119</v>
      </c>
      <c r="N39" s="228" t="str">
        <f t="shared" si="1"/>
        <v/>
      </c>
      <c r="O39" s="228">
        <f t="shared" si="2"/>
        <v>0</v>
      </c>
    </row>
    <row r="40" spans="1:15" s="231" customFormat="1" ht="11.25">
      <c r="A40" s="166"/>
      <c r="B40" s="168"/>
      <c r="C40" s="140"/>
      <c r="D40" s="168"/>
      <c r="E40" s="168"/>
      <c r="F40" s="140"/>
      <c r="G40" s="141"/>
      <c r="H40" s="253"/>
      <c r="I40" s="256"/>
      <c r="J40" s="140"/>
      <c r="K40" s="168"/>
      <c r="L40" s="229" t="str">
        <f t="shared" si="0"/>
        <v/>
      </c>
      <c r="M40" s="230" t="s">
        <v>119</v>
      </c>
      <c r="N40" s="228" t="str">
        <f t="shared" si="1"/>
        <v/>
      </c>
      <c r="O40" s="228">
        <f t="shared" si="2"/>
        <v>0</v>
      </c>
    </row>
    <row r="41" spans="1:15" s="231" customFormat="1" ht="11.25">
      <c r="A41" s="166"/>
      <c r="B41" s="168"/>
      <c r="C41" s="140"/>
      <c r="D41" s="168"/>
      <c r="E41" s="168"/>
      <c r="F41" s="140"/>
      <c r="G41" s="141"/>
      <c r="H41" s="253"/>
      <c r="I41" s="256"/>
      <c r="J41" s="140"/>
      <c r="K41" s="168"/>
      <c r="L41" s="229" t="str">
        <f t="shared" si="0"/>
        <v/>
      </c>
      <c r="M41" s="230" t="s">
        <v>119</v>
      </c>
      <c r="N41" s="228" t="str">
        <f t="shared" si="1"/>
        <v/>
      </c>
      <c r="O41" s="228">
        <f t="shared" si="2"/>
        <v>0</v>
      </c>
    </row>
    <row r="42" spans="1:15" s="231" customFormat="1" ht="11.25">
      <c r="A42" s="166"/>
      <c r="B42" s="168"/>
      <c r="C42" s="140"/>
      <c r="D42" s="168"/>
      <c r="E42" s="168"/>
      <c r="F42" s="140"/>
      <c r="G42" s="141"/>
      <c r="H42" s="253"/>
      <c r="I42" s="256"/>
      <c r="J42" s="140"/>
      <c r="K42" s="168"/>
      <c r="L42" s="229" t="str">
        <f t="shared" si="0"/>
        <v/>
      </c>
      <c r="M42" s="230" t="s">
        <v>119</v>
      </c>
      <c r="N42" s="228" t="str">
        <f t="shared" si="1"/>
        <v/>
      </c>
      <c r="O42" s="228">
        <f t="shared" si="2"/>
        <v>0</v>
      </c>
    </row>
    <row r="43" spans="1:15" s="231" customFormat="1" ht="11.25">
      <c r="A43" s="166"/>
      <c r="B43" s="168"/>
      <c r="C43" s="140"/>
      <c r="D43" s="168"/>
      <c r="E43" s="168"/>
      <c r="F43" s="140"/>
      <c r="G43" s="141"/>
      <c r="H43" s="253"/>
      <c r="I43" s="256"/>
      <c r="J43" s="140"/>
      <c r="K43" s="168"/>
      <c r="L43" s="229" t="str">
        <f t="shared" si="0"/>
        <v/>
      </c>
      <c r="M43" s="230" t="s">
        <v>119</v>
      </c>
      <c r="N43" s="228" t="str">
        <f t="shared" si="1"/>
        <v/>
      </c>
      <c r="O43" s="228">
        <f t="shared" si="2"/>
        <v>0</v>
      </c>
    </row>
    <row r="44" spans="1:15" s="231" customFormat="1" ht="11.25">
      <c r="A44" s="166"/>
      <c r="B44" s="168"/>
      <c r="C44" s="140"/>
      <c r="D44" s="168"/>
      <c r="E44" s="168"/>
      <c r="F44" s="140"/>
      <c r="G44" s="141"/>
      <c r="H44" s="253"/>
      <c r="I44" s="256"/>
      <c r="J44" s="140"/>
      <c r="K44" s="168"/>
      <c r="L44" s="229" t="str">
        <f t="shared" si="0"/>
        <v/>
      </c>
      <c r="M44" s="230" t="s">
        <v>119</v>
      </c>
      <c r="N44" s="228" t="str">
        <f t="shared" si="1"/>
        <v/>
      </c>
      <c r="O44" s="228">
        <f t="shared" si="2"/>
        <v>0</v>
      </c>
    </row>
    <row r="45" spans="1:15" s="231" customFormat="1" ht="11.25">
      <c r="A45" s="166"/>
      <c r="B45" s="168"/>
      <c r="C45" s="140"/>
      <c r="D45" s="168"/>
      <c r="E45" s="168"/>
      <c r="F45" s="140"/>
      <c r="G45" s="141"/>
      <c r="H45" s="253"/>
      <c r="I45" s="256"/>
      <c r="J45" s="140"/>
      <c r="K45" s="168"/>
      <c r="L45" s="229" t="str">
        <f t="shared" si="0"/>
        <v/>
      </c>
      <c r="M45" s="230" t="s">
        <v>119</v>
      </c>
      <c r="N45" s="228" t="str">
        <f t="shared" si="1"/>
        <v/>
      </c>
      <c r="O45" s="228">
        <f t="shared" si="2"/>
        <v>0</v>
      </c>
    </row>
    <row r="46" spans="1:15" s="231" customFormat="1" ht="11.25">
      <c r="A46" s="166"/>
      <c r="B46" s="168"/>
      <c r="C46" s="140"/>
      <c r="D46" s="168"/>
      <c r="E46" s="168"/>
      <c r="F46" s="140"/>
      <c r="G46" s="141"/>
      <c r="H46" s="253"/>
      <c r="I46" s="256"/>
      <c r="J46" s="140"/>
      <c r="K46" s="168"/>
      <c r="L46" s="229" t="str">
        <f t="shared" si="0"/>
        <v/>
      </c>
      <c r="M46" s="230" t="s">
        <v>119</v>
      </c>
      <c r="N46" s="228" t="str">
        <f t="shared" si="1"/>
        <v/>
      </c>
      <c r="O46" s="228">
        <f t="shared" si="2"/>
        <v>0</v>
      </c>
    </row>
    <row r="47" spans="1:15" s="231" customFormat="1" ht="11.25">
      <c r="A47" s="166"/>
      <c r="B47" s="168"/>
      <c r="C47" s="140"/>
      <c r="D47" s="168"/>
      <c r="E47" s="168"/>
      <c r="F47" s="140"/>
      <c r="G47" s="141"/>
      <c r="H47" s="253"/>
      <c r="I47" s="256"/>
      <c r="J47" s="140"/>
      <c r="K47" s="168"/>
      <c r="L47" s="229" t="str">
        <f t="shared" si="0"/>
        <v/>
      </c>
      <c r="M47" s="230" t="s">
        <v>119</v>
      </c>
      <c r="N47" s="228" t="str">
        <f t="shared" si="1"/>
        <v/>
      </c>
      <c r="O47" s="228">
        <f t="shared" si="2"/>
        <v>0</v>
      </c>
    </row>
    <row r="48" spans="1:15" s="231" customFormat="1" ht="11.25">
      <c r="A48" s="166"/>
      <c r="B48" s="168"/>
      <c r="C48" s="140"/>
      <c r="D48" s="168"/>
      <c r="E48" s="168"/>
      <c r="F48" s="140"/>
      <c r="G48" s="141"/>
      <c r="H48" s="253"/>
      <c r="I48" s="256"/>
      <c r="J48" s="140"/>
      <c r="K48" s="168"/>
      <c r="L48" s="229" t="str">
        <f t="shared" si="0"/>
        <v/>
      </c>
      <c r="M48" s="230" t="s">
        <v>119</v>
      </c>
      <c r="N48" s="228" t="str">
        <f t="shared" si="1"/>
        <v/>
      </c>
      <c r="O48" s="228">
        <f t="shared" si="2"/>
        <v>0</v>
      </c>
    </row>
    <row r="49" spans="1:15" s="231" customFormat="1" ht="11.25">
      <c r="A49" s="166"/>
      <c r="B49" s="168"/>
      <c r="C49" s="140"/>
      <c r="D49" s="168"/>
      <c r="E49" s="168"/>
      <c r="F49" s="140"/>
      <c r="G49" s="141"/>
      <c r="H49" s="253"/>
      <c r="I49" s="256"/>
      <c r="J49" s="140"/>
      <c r="K49" s="168"/>
      <c r="L49" s="229" t="str">
        <f t="shared" si="0"/>
        <v/>
      </c>
      <c r="M49" s="230" t="s">
        <v>119</v>
      </c>
      <c r="N49" s="228" t="str">
        <f t="shared" si="1"/>
        <v/>
      </c>
      <c r="O49" s="228">
        <f t="shared" si="2"/>
        <v>0</v>
      </c>
    </row>
    <row r="50" spans="1:15" s="231" customFormat="1" ht="11.25">
      <c r="A50" s="166"/>
      <c r="B50" s="168"/>
      <c r="C50" s="140"/>
      <c r="D50" s="168"/>
      <c r="E50" s="168"/>
      <c r="F50" s="140"/>
      <c r="G50" s="141"/>
      <c r="H50" s="253"/>
      <c r="I50" s="256"/>
      <c r="J50" s="140"/>
      <c r="K50" s="168"/>
      <c r="L50" s="229" t="str">
        <f t="shared" si="0"/>
        <v/>
      </c>
      <c r="M50" s="230" t="s">
        <v>119</v>
      </c>
      <c r="N50" s="228" t="str">
        <f t="shared" si="1"/>
        <v/>
      </c>
      <c r="O50" s="228">
        <f t="shared" si="2"/>
        <v>0</v>
      </c>
    </row>
    <row r="51" spans="1:15" s="231" customFormat="1" ht="11.25">
      <c r="A51" s="166"/>
      <c r="B51" s="168"/>
      <c r="C51" s="140"/>
      <c r="D51" s="168"/>
      <c r="E51" s="168"/>
      <c r="F51" s="140"/>
      <c r="G51" s="141"/>
      <c r="H51" s="253"/>
      <c r="I51" s="256"/>
      <c r="J51" s="140"/>
      <c r="K51" s="168"/>
      <c r="L51" s="229" t="str">
        <f t="shared" si="0"/>
        <v/>
      </c>
      <c r="M51" s="230" t="s">
        <v>119</v>
      </c>
      <c r="N51" s="228" t="str">
        <f t="shared" si="1"/>
        <v/>
      </c>
      <c r="O51" s="228">
        <f t="shared" si="2"/>
        <v>0</v>
      </c>
    </row>
    <row r="52" spans="1:15" s="231" customFormat="1" ht="11.25">
      <c r="A52" s="166"/>
      <c r="B52" s="168"/>
      <c r="C52" s="140"/>
      <c r="D52" s="168"/>
      <c r="E52" s="168"/>
      <c r="F52" s="140"/>
      <c r="G52" s="141"/>
      <c r="H52" s="253"/>
      <c r="I52" s="256"/>
      <c r="J52" s="140"/>
      <c r="K52" s="168"/>
      <c r="L52" s="229" t="str">
        <f t="shared" si="0"/>
        <v/>
      </c>
      <c r="M52" s="230" t="s">
        <v>119</v>
      </c>
      <c r="N52" s="228" t="str">
        <f t="shared" si="1"/>
        <v/>
      </c>
      <c r="O52" s="228">
        <f t="shared" si="2"/>
        <v>0</v>
      </c>
    </row>
    <row r="53" spans="1:15" s="231" customFormat="1" ht="11.25">
      <c r="A53" s="166"/>
      <c r="B53" s="168"/>
      <c r="C53" s="140"/>
      <c r="D53" s="168"/>
      <c r="E53" s="168"/>
      <c r="F53" s="140"/>
      <c r="G53" s="141"/>
      <c r="H53" s="253"/>
      <c r="I53" s="256"/>
      <c r="J53" s="140"/>
      <c r="K53" s="168"/>
      <c r="L53" s="229" t="str">
        <f t="shared" si="0"/>
        <v/>
      </c>
      <c r="M53" s="230" t="s">
        <v>119</v>
      </c>
      <c r="N53" s="228" t="str">
        <f t="shared" si="1"/>
        <v/>
      </c>
      <c r="O53" s="228">
        <f t="shared" si="2"/>
        <v>0</v>
      </c>
    </row>
    <row r="54" spans="1:15" s="231" customFormat="1" ht="11.25">
      <c r="A54" s="166"/>
      <c r="B54" s="168"/>
      <c r="C54" s="140"/>
      <c r="D54" s="168"/>
      <c r="E54" s="168"/>
      <c r="F54" s="140"/>
      <c r="G54" s="141"/>
      <c r="H54" s="253"/>
      <c r="I54" s="256"/>
      <c r="J54" s="140"/>
      <c r="K54" s="168"/>
      <c r="L54" s="229" t="str">
        <f t="shared" si="0"/>
        <v/>
      </c>
      <c r="M54" s="230" t="s">
        <v>119</v>
      </c>
      <c r="N54" s="228" t="str">
        <f t="shared" si="1"/>
        <v/>
      </c>
      <c r="O54" s="228">
        <f t="shared" si="2"/>
        <v>0</v>
      </c>
    </row>
    <row r="55" spans="1:15" s="231" customFormat="1" ht="11.25">
      <c r="A55" s="166"/>
      <c r="B55" s="168"/>
      <c r="C55" s="140"/>
      <c r="D55" s="168"/>
      <c r="E55" s="168"/>
      <c r="F55" s="140"/>
      <c r="G55" s="141"/>
      <c r="H55" s="253"/>
      <c r="I55" s="256"/>
      <c r="J55" s="140"/>
      <c r="K55" s="168"/>
      <c r="L55" s="229" t="str">
        <f t="shared" si="0"/>
        <v/>
      </c>
      <c r="M55" s="230" t="s">
        <v>119</v>
      </c>
      <c r="N55" s="228" t="str">
        <f t="shared" si="1"/>
        <v/>
      </c>
      <c r="O55" s="228">
        <f t="shared" si="2"/>
        <v>0</v>
      </c>
    </row>
    <row r="56" spans="1:15" s="231" customFormat="1" ht="11.25">
      <c r="A56" s="166"/>
      <c r="B56" s="168"/>
      <c r="C56" s="140"/>
      <c r="D56" s="168"/>
      <c r="E56" s="168"/>
      <c r="F56" s="140"/>
      <c r="G56" s="141"/>
      <c r="H56" s="253"/>
      <c r="I56" s="256"/>
      <c r="J56" s="140"/>
      <c r="K56" s="168"/>
      <c r="L56" s="229" t="str">
        <f t="shared" si="0"/>
        <v/>
      </c>
      <c r="M56" s="230" t="s">
        <v>119</v>
      </c>
      <c r="N56" s="228" t="str">
        <f t="shared" si="1"/>
        <v/>
      </c>
      <c r="O56" s="228">
        <f t="shared" si="2"/>
        <v>0</v>
      </c>
    </row>
    <row r="57" spans="1:15" s="231" customFormat="1" ht="11.25">
      <c r="A57" s="166"/>
      <c r="B57" s="168"/>
      <c r="C57" s="140"/>
      <c r="D57" s="168"/>
      <c r="E57" s="168"/>
      <c r="F57" s="140"/>
      <c r="G57" s="141"/>
      <c r="H57" s="253"/>
      <c r="I57" s="256"/>
      <c r="J57" s="140"/>
      <c r="K57" s="168"/>
      <c r="L57" s="229" t="str">
        <f t="shared" si="0"/>
        <v/>
      </c>
      <c r="M57" s="230" t="s">
        <v>119</v>
      </c>
      <c r="N57" s="228" t="str">
        <f t="shared" si="1"/>
        <v/>
      </c>
      <c r="O57" s="228">
        <f t="shared" si="2"/>
        <v>0</v>
      </c>
    </row>
    <row r="58" spans="1:15" s="231" customFormat="1" ht="11.25">
      <c r="A58" s="166"/>
      <c r="B58" s="168"/>
      <c r="C58" s="140"/>
      <c r="D58" s="168"/>
      <c r="E58" s="168"/>
      <c r="F58" s="140"/>
      <c r="G58" s="141"/>
      <c r="H58" s="253"/>
      <c r="I58" s="256"/>
      <c r="J58" s="140"/>
      <c r="K58" s="168"/>
      <c r="L58" s="229" t="str">
        <f t="shared" si="0"/>
        <v/>
      </c>
      <c r="M58" s="230" t="s">
        <v>119</v>
      </c>
      <c r="N58" s="228" t="str">
        <f t="shared" si="1"/>
        <v/>
      </c>
      <c r="O58" s="228">
        <f t="shared" si="2"/>
        <v>0</v>
      </c>
    </row>
    <row r="59" spans="1:15" s="231" customFormat="1" ht="11.25">
      <c r="A59" s="166"/>
      <c r="B59" s="168"/>
      <c r="C59" s="140"/>
      <c r="D59" s="168"/>
      <c r="E59" s="168"/>
      <c r="F59" s="140"/>
      <c r="G59" s="141"/>
      <c r="H59" s="253"/>
      <c r="I59" s="256"/>
      <c r="J59" s="140"/>
      <c r="K59" s="168"/>
      <c r="L59" s="229" t="str">
        <f t="shared" si="0"/>
        <v/>
      </c>
      <c r="M59" s="230" t="s">
        <v>119</v>
      </c>
      <c r="N59" s="228" t="str">
        <f t="shared" si="1"/>
        <v/>
      </c>
      <c r="O59" s="228">
        <f t="shared" si="2"/>
        <v>0</v>
      </c>
    </row>
    <row r="60" spans="1:15" s="231" customFormat="1" ht="11.25">
      <c r="A60" s="166"/>
      <c r="B60" s="168"/>
      <c r="C60" s="140"/>
      <c r="D60" s="168"/>
      <c r="E60" s="168"/>
      <c r="F60" s="140"/>
      <c r="G60" s="141"/>
      <c r="H60" s="253"/>
      <c r="I60" s="256"/>
      <c r="J60" s="140"/>
      <c r="K60" s="168"/>
      <c r="L60" s="229" t="str">
        <f t="shared" si="0"/>
        <v/>
      </c>
      <c r="M60" s="230" t="s">
        <v>119</v>
      </c>
      <c r="N60" s="228" t="str">
        <f t="shared" si="1"/>
        <v/>
      </c>
      <c r="O60" s="228">
        <f t="shared" si="2"/>
        <v>0</v>
      </c>
    </row>
    <row r="61" spans="1:15" s="231" customFormat="1" ht="11.25">
      <c r="A61" s="166"/>
      <c r="B61" s="168"/>
      <c r="C61" s="140"/>
      <c r="D61" s="168"/>
      <c r="E61" s="168"/>
      <c r="F61" s="140"/>
      <c r="G61" s="141"/>
      <c r="H61" s="253"/>
      <c r="I61" s="256"/>
      <c r="J61" s="140"/>
      <c r="K61" s="168"/>
      <c r="L61" s="229" t="str">
        <f t="shared" si="0"/>
        <v/>
      </c>
      <c r="M61" s="230" t="s">
        <v>119</v>
      </c>
      <c r="N61" s="228" t="str">
        <f t="shared" si="1"/>
        <v/>
      </c>
      <c r="O61" s="228">
        <f t="shared" si="2"/>
        <v>0</v>
      </c>
    </row>
    <row r="62" spans="1:15" s="231" customFormat="1" ht="11.25">
      <c r="A62" s="166"/>
      <c r="B62" s="168"/>
      <c r="C62" s="140"/>
      <c r="D62" s="168"/>
      <c r="E62" s="168"/>
      <c r="F62" s="140"/>
      <c r="G62" s="141"/>
      <c r="H62" s="253"/>
      <c r="I62" s="256"/>
      <c r="J62" s="140"/>
      <c r="K62" s="168"/>
      <c r="L62" s="229" t="str">
        <f t="shared" si="0"/>
        <v/>
      </c>
      <c r="M62" s="230" t="s">
        <v>119</v>
      </c>
      <c r="N62" s="228" t="str">
        <f t="shared" si="1"/>
        <v/>
      </c>
      <c r="O62" s="228">
        <f t="shared" si="2"/>
        <v>0</v>
      </c>
    </row>
    <row r="63" spans="1:15" s="231" customFormat="1" ht="11.25">
      <c r="A63" s="166"/>
      <c r="B63" s="168"/>
      <c r="C63" s="140"/>
      <c r="D63" s="168"/>
      <c r="E63" s="168"/>
      <c r="F63" s="140"/>
      <c r="G63" s="141"/>
      <c r="H63" s="253"/>
      <c r="I63" s="256"/>
      <c r="J63" s="140"/>
      <c r="K63" s="168"/>
      <c r="L63" s="229" t="str">
        <f t="shared" si="0"/>
        <v/>
      </c>
      <c r="M63" s="230" t="s">
        <v>119</v>
      </c>
      <c r="N63" s="228" t="str">
        <f t="shared" si="1"/>
        <v/>
      </c>
      <c r="O63" s="228">
        <f t="shared" si="2"/>
        <v>0</v>
      </c>
    </row>
    <row r="64" spans="1:15" s="231" customFormat="1" ht="11.25">
      <c r="A64" s="166"/>
      <c r="B64" s="168"/>
      <c r="C64" s="140"/>
      <c r="D64" s="168"/>
      <c r="E64" s="168"/>
      <c r="F64" s="140"/>
      <c r="G64" s="141"/>
      <c r="H64" s="253"/>
      <c r="I64" s="256"/>
      <c r="J64" s="140"/>
      <c r="K64" s="168"/>
      <c r="L64" s="229" t="str">
        <f t="shared" si="0"/>
        <v/>
      </c>
      <c r="M64" s="230" t="s">
        <v>119</v>
      </c>
      <c r="N64" s="228" t="str">
        <f t="shared" si="1"/>
        <v/>
      </c>
      <c r="O64" s="228">
        <f t="shared" si="2"/>
        <v>0</v>
      </c>
    </row>
    <row r="65" spans="1:15" s="231" customFormat="1" ht="11.25">
      <c r="A65" s="166"/>
      <c r="B65" s="168"/>
      <c r="C65" s="140"/>
      <c r="D65" s="168"/>
      <c r="E65" s="168"/>
      <c r="F65" s="140"/>
      <c r="G65" s="141"/>
      <c r="H65" s="253"/>
      <c r="I65" s="256"/>
      <c r="J65" s="140"/>
      <c r="K65" s="168"/>
      <c r="L65" s="229" t="str">
        <f t="shared" si="0"/>
        <v/>
      </c>
      <c r="M65" s="230" t="s">
        <v>119</v>
      </c>
      <c r="N65" s="228" t="str">
        <f t="shared" si="1"/>
        <v/>
      </c>
      <c r="O65" s="228">
        <f t="shared" si="2"/>
        <v>0</v>
      </c>
    </row>
    <row r="66" spans="1:15" s="231" customFormat="1" ht="11.25">
      <c r="A66" s="166"/>
      <c r="B66" s="168"/>
      <c r="C66" s="140"/>
      <c r="D66" s="168"/>
      <c r="E66" s="168"/>
      <c r="F66" s="140"/>
      <c r="G66" s="141"/>
      <c r="H66" s="253"/>
      <c r="I66" s="256"/>
      <c r="J66" s="140"/>
      <c r="K66" s="168"/>
      <c r="L66" s="229" t="str">
        <f t="shared" si="0"/>
        <v/>
      </c>
      <c r="M66" s="230" t="s">
        <v>119</v>
      </c>
      <c r="N66" s="228" t="str">
        <f t="shared" si="1"/>
        <v/>
      </c>
      <c r="O66" s="228">
        <f t="shared" si="2"/>
        <v>0</v>
      </c>
    </row>
    <row r="67" spans="1:15" s="231" customFormat="1" ht="11.25">
      <c r="A67" s="166"/>
      <c r="B67" s="168"/>
      <c r="C67" s="140"/>
      <c r="D67" s="168"/>
      <c r="E67" s="168"/>
      <c r="F67" s="140"/>
      <c r="G67" s="141"/>
      <c r="H67" s="253"/>
      <c r="I67" s="256"/>
      <c r="J67" s="140"/>
      <c r="K67" s="168"/>
      <c r="L67" s="229" t="str">
        <f t="shared" si="0"/>
        <v/>
      </c>
      <c r="M67" s="230" t="s">
        <v>119</v>
      </c>
      <c r="N67" s="228" t="str">
        <f t="shared" si="1"/>
        <v/>
      </c>
      <c r="O67" s="228">
        <f t="shared" si="2"/>
        <v>0</v>
      </c>
    </row>
    <row r="68" spans="1:15" s="231" customFormat="1" ht="11.25">
      <c r="A68" s="166"/>
      <c r="B68" s="168"/>
      <c r="C68" s="140"/>
      <c r="D68" s="168"/>
      <c r="E68" s="168"/>
      <c r="F68" s="140"/>
      <c r="G68" s="141"/>
      <c r="H68" s="253"/>
      <c r="I68" s="256"/>
      <c r="J68" s="140"/>
      <c r="K68" s="168"/>
      <c r="L68" s="229" t="str">
        <f t="shared" si="0"/>
        <v/>
      </c>
      <c r="M68" s="230" t="s">
        <v>119</v>
      </c>
      <c r="N68" s="228" t="str">
        <f t="shared" si="1"/>
        <v/>
      </c>
      <c r="O68" s="228">
        <f t="shared" si="2"/>
        <v>0</v>
      </c>
    </row>
    <row r="69" spans="1:15" s="231" customFormat="1" ht="11.25">
      <c r="A69" s="166"/>
      <c r="B69" s="168"/>
      <c r="C69" s="140"/>
      <c r="D69" s="168"/>
      <c r="E69" s="168"/>
      <c r="F69" s="140"/>
      <c r="G69" s="141"/>
      <c r="H69" s="253"/>
      <c r="I69" s="256"/>
      <c r="J69" s="140"/>
      <c r="K69" s="168"/>
      <c r="L69" s="229" t="str">
        <f t="shared" si="0"/>
        <v/>
      </c>
      <c r="M69" s="230" t="s">
        <v>119</v>
      </c>
      <c r="N69" s="228" t="str">
        <f t="shared" si="1"/>
        <v/>
      </c>
      <c r="O69" s="228">
        <f t="shared" si="2"/>
        <v>0</v>
      </c>
    </row>
    <row r="70" spans="1:15" s="231" customFormat="1" ht="11.25">
      <c r="A70" s="166"/>
      <c r="B70" s="168"/>
      <c r="C70" s="140"/>
      <c r="D70" s="168"/>
      <c r="E70" s="168"/>
      <c r="F70" s="140"/>
      <c r="G70" s="141"/>
      <c r="H70" s="253"/>
      <c r="I70" s="256"/>
      <c r="J70" s="140"/>
      <c r="K70" s="168"/>
      <c r="L70" s="229" t="str">
        <f t="shared" si="0"/>
        <v/>
      </c>
      <c r="M70" s="230" t="s">
        <v>119</v>
      </c>
      <c r="N70" s="228" t="str">
        <f t="shared" si="1"/>
        <v/>
      </c>
      <c r="O70" s="228">
        <f t="shared" si="2"/>
        <v>0</v>
      </c>
    </row>
    <row r="71" spans="1:15" s="231" customFormat="1" ht="11.25">
      <c r="A71" s="166"/>
      <c r="B71" s="168"/>
      <c r="C71" s="140"/>
      <c r="D71" s="168"/>
      <c r="E71" s="168"/>
      <c r="F71" s="140"/>
      <c r="G71" s="141"/>
      <c r="H71" s="253"/>
      <c r="I71" s="256"/>
      <c r="J71" s="140"/>
      <c r="K71" s="168"/>
      <c r="L71" s="229" t="str">
        <f t="shared" ref="L71:L134" si="3">LEFT(B71,2)</f>
        <v/>
      </c>
      <c r="M71" s="230" t="s">
        <v>119</v>
      </c>
      <c r="N71" s="228" t="str">
        <f t="shared" ref="N71:N134" si="4">RIGHT(F71,3)</f>
        <v/>
      </c>
      <c r="O71" s="228">
        <f t="shared" si="2"/>
        <v>0</v>
      </c>
    </row>
    <row r="72" spans="1:15" s="231" customFormat="1" ht="11.25">
      <c r="A72" s="166"/>
      <c r="B72" s="168"/>
      <c r="C72" s="140"/>
      <c r="D72" s="168"/>
      <c r="E72" s="168"/>
      <c r="F72" s="140"/>
      <c r="G72" s="141"/>
      <c r="H72" s="253"/>
      <c r="I72" s="256"/>
      <c r="J72" s="140"/>
      <c r="K72" s="168"/>
      <c r="L72" s="229" t="str">
        <f t="shared" si="3"/>
        <v/>
      </c>
      <c r="M72" s="230" t="s">
        <v>119</v>
      </c>
      <c r="N72" s="228" t="str">
        <f t="shared" si="4"/>
        <v/>
      </c>
      <c r="O72" s="228">
        <f t="shared" ref="O72:O135" si="5">H72*A72</f>
        <v>0</v>
      </c>
    </row>
    <row r="73" spans="1:15" s="231" customFormat="1" ht="11.25">
      <c r="A73" s="166"/>
      <c r="B73" s="168"/>
      <c r="C73" s="140"/>
      <c r="D73" s="168"/>
      <c r="E73" s="168"/>
      <c r="F73" s="140"/>
      <c r="G73" s="141"/>
      <c r="H73" s="253"/>
      <c r="I73" s="256"/>
      <c r="J73" s="140"/>
      <c r="K73" s="168"/>
      <c r="L73" s="229" t="str">
        <f t="shared" si="3"/>
        <v/>
      </c>
      <c r="M73" s="230" t="s">
        <v>119</v>
      </c>
      <c r="N73" s="228" t="str">
        <f t="shared" si="4"/>
        <v/>
      </c>
      <c r="O73" s="228">
        <f t="shared" si="5"/>
        <v>0</v>
      </c>
    </row>
    <row r="74" spans="1:15" s="231" customFormat="1" ht="11.25">
      <c r="A74" s="166"/>
      <c r="B74" s="168"/>
      <c r="C74" s="140"/>
      <c r="D74" s="168"/>
      <c r="E74" s="168"/>
      <c r="F74" s="140"/>
      <c r="G74" s="141"/>
      <c r="H74" s="253"/>
      <c r="I74" s="256"/>
      <c r="J74" s="140"/>
      <c r="K74" s="168"/>
      <c r="L74" s="229" t="str">
        <f t="shared" si="3"/>
        <v/>
      </c>
      <c r="M74" s="230" t="s">
        <v>119</v>
      </c>
      <c r="N74" s="228" t="str">
        <f t="shared" si="4"/>
        <v/>
      </c>
      <c r="O74" s="228">
        <f t="shared" si="5"/>
        <v>0</v>
      </c>
    </row>
    <row r="75" spans="1:15" s="231" customFormat="1" ht="11.25">
      <c r="A75" s="166"/>
      <c r="B75" s="168"/>
      <c r="C75" s="140"/>
      <c r="D75" s="168"/>
      <c r="E75" s="168"/>
      <c r="F75" s="140"/>
      <c r="G75" s="141"/>
      <c r="H75" s="253"/>
      <c r="I75" s="256"/>
      <c r="J75" s="140"/>
      <c r="K75" s="168"/>
      <c r="L75" s="229" t="str">
        <f t="shared" si="3"/>
        <v/>
      </c>
      <c r="M75" s="230" t="s">
        <v>119</v>
      </c>
      <c r="N75" s="228" t="str">
        <f t="shared" si="4"/>
        <v/>
      </c>
      <c r="O75" s="228">
        <f t="shared" si="5"/>
        <v>0</v>
      </c>
    </row>
    <row r="76" spans="1:15" s="231" customFormat="1" ht="11.25">
      <c r="A76" s="166"/>
      <c r="B76" s="168"/>
      <c r="C76" s="140"/>
      <c r="D76" s="168"/>
      <c r="E76" s="168"/>
      <c r="F76" s="140"/>
      <c r="G76" s="141"/>
      <c r="H76" s="253"/>
      <c r="I76" s="256"/>
      <c r="J76" s="140"/>
      <c r="K76" s="168"/>
      <c r="L76" s="229" t="str">
        <f t="shared" si="3"/>
        <v/>
      </c>
      <c r="M76" s="230" t="s">
        <v>119</v>
      </c>
      <c r="N76" s="228" t="str">
        <f t="shared" si="4"/>
        <v/>
      </c>
      <c r="O76" s="228">
        <f t="shared" si="5"/>
        <v>0</v>
      </c>
    </row>
    <row r="77" spans="1:15" s="231" customFormat="1" ht="11.25">
      <c r="A77" s="166"/>
      <c r="B77" s="168"/>
      <c r="C77" s="140"/>
      <c r="D77" s="168"/>
      <c r="E77" s="168"/>
      <c r="F77" s="140"/>
      <c r="G77" s="141"/>
      <c r="H77" s="253"/>
      <c r="I77" s="256"/>
      <c r="J77" s="140"/>
      <c r="K77" s="168"/>
      <c r="L77" s="229" t="str">
        <f t="shared" si="3"/>
        <v/>
      </c>
      <c r="M77" s="230" t="s">
        <v>119</v>
      </c>
      <c r="N77" s="228" t="str">
        <f t="shared" si="4"/>
        <v/>
      </c>
      <c r="O77" s="228">
        <f t="shared" si="5"/>
        <v>0</v>
      </c>
    </row>
    <row r="78" spans="1:15" s="231" customFormat="1" ht="11.25">
      <c r="A78" s="166"/>
      <c r="B78" s="168"/>
      <c r="C78" s="140"/>
      <c r="D78" s="168"/>
      <c r="E78" s="168"/>
      <c r="F78" s="140"/>
      <c r="G78" s="141"/>
      <c r="H78" s="253"/>
      <c r="I78" s="256"/>
      <c r="J78" s="140"/>
      <c r="K78" s="168"/>
      <c r="L78" s="229" t="str">
        <f t="shared" si="3"/>
        <v/>
      </c>
      <c r="M78" s="230" t="s">
        <v>119</v>
      </c>
      <c r="N78" s="228" t="str">
        <f t="shared" si="4"/>
        <v/>
      </c>
      <c r="O78" s="228">
        <f t="shared" si="5"/>
        <v>0</v>
      </c>
    </row>
    <row r="79" spans="1:15" s="231" customFormat="1" ht="11.25">
      <c r="A79" s="166"/>
      <c r="B79" s="168"/>
      <c r="C79" s="140"/>
      <c r="D79" s="168"/>
      <c r="E79" s="168"/>
      <c r="F79" s="140"/>
      <c r="G79" s="141"/>
      <c r="H79" s="253"/>
      <c r="I79" s="256"/>
      <c r="J79" s="140"/>
      <c r="K79" s="168"/>
      <c r="L79" s="229" t="str">
        <f t="shared" si="3"/>
        <v/>
      </c>
      <c r="M79" s="230" t="s">
        <v>119</v>
      </c>
      <c r="N79" s="228" t="str">
        <f t="shared" si="4"/>
        <v/>
      </c>
      <c r="O79" s="228">
        <f t="shared" si="5"/>
        <v>0</v>
      </c>
    </row>
    <row r="80" spans="1:15" s="231" customFormat="1" ht="11.25">
      <c r="A80" s="166"/>
      <c r="B80" s="168"/>
      <c r="C80" s="140"/>
      <c r="D80" s="168"/>
      <c r="E80" s="168"/>
      <c r="F80" s="140"/>
      <c r="G80" s="141"/>
      <c r="H80" s="253"/>
      <c r="I80" s="256"/>
      <c r="J80" s="140"/>
      <c r="K80" s="168"/>
      <c r="L80" s="229" t="str">
        <f t="shared" si="3"/>
        <v/>
      </c>
      <c r="M80" s="230" t="s">
        <v>119</v>
      </c>
      <c r="N80" s="228" t="str">
        <f t="shared" si="4"/>
        <v/>
      </c>
      <c r="O80" s="228">
        <f t="shared" si="5"/>
        <v>0</v>
      </c>
    </row>
    <row r="81" spans="1:15" s="231" customFormat="1" ht="11.25">
      <c r="A81" s="166"/>
      <c r="B81" s="168"/>
      <c r="C81" s="140"/>
      <c r="D81" s="168"/>
      <c r="E81" s="168"/>
      <c r="F81" s="140"/>
      <c r="G81" s="141"/>
      <c r="H81" s="253"/>
      <c r="I81" s="256"/>
      <c r="J81" s="140"/>
      <c r="K81" s="168"/>
      <c r="L81" s="229" t="str">
        <f t="shared" si="3"/>
        <v/>
      </c>
      <c r="M81" s="230" t="s">
        <v>119</v>
      </c>
      <c r="N81" s="228" t="str">
        <f t="shared" si="4"/>
        <v/>
      </c>
      <c r="O81" s="228">
        <f t="shared" si="5"/>
        <v>0</v>
      </c>
    </row>
    <row r="82" spans="1:15" s="231" customFormat="1" ht="11.25">
      <c r="A82" s="166"/>
      <c r="B82" s="168"/>
      <c r="C82" s="140"/>
      <c r="D82" s="168"/>
      <c r="E82" s="168"/>
      <c r="F82" s="140"/>
      <c r="G82" s="141"/>
      <c r="H82" s="253"/>
      <c r="I82" s="256"/>
      <c r="J82" s="140"/>
      <c r="K82" s="168"/>
      <c r="L82" s="229" t="str">
        <f t="shared" si="3"/>
        <v/>
      </c>
      <c r="M82" s="230" t="s">
        <v>119</v>
      </c>
      <c r="N82" s="228" t="str">
        <f t="shared" si="4"/>
        <v/>
      </c>
      <c r="O82" s="228">
        <f t="shared" si="5"/>
        <v>0</v>
      </c>
    </row>
    <row r="83" spans="1:15" s="231" customFormat="1" ht="11.25">
      <c r="A83" s="166"/>
      <c r="B83" s="168"/>
      <c r="C83" s="140"/>
      <c r="D83" s="168"/>
      <c r="E83" s="168"/>
      <c r="F83" s="140"/>
      <c r="G83" s="141"/>
      <c r="H83" s="253"/>
      <c r="I83" s="256"/>
      <c r="J83" s="140"/>
      <c r="K83" s="168"/>
      <c r="L83" s="229" t="str">
        <f t="shared" si="3"/>
        <v/>
      </c>
      <c r="M83" s="230" t="s">
        <v>119</v>
      </c>
      <c r="N83" s="228" t="str">
        <f t="shared" si="4"/>
        <v/>
      </c>
      <c r="O83" s="228">
        <f t="shared" si="5"/>
        <v>0</v>
      </c>
    </row>
    <row r="84" spans="1:15" s="231" customFormat="1" ht="11.25">
      <c r="A84" s="166"/>
      <c r="B84" s="168"/>
      <c r="C84" s="140"/>
      <c r="D84" s="168"/>
      <c r="E84" s="168"/>
      <c r="F84" s="140"/>
      <c r="G84" s="141"/>
      <c r="H84" s="253"/>
      <c r="I84" s="256"/>
      <c r="J84" s="140"/>
      <c r="K84" s="168"/>
      <c r="L84" s="229" t="str">
        <f t="shared" si="3"/>
        <v/>
      </c>
      <c r="M84" s="230" t="s">
        <v>119</v>
      </c>
      <c r="N84" s="228" t="str">
        <f t="shared" si="4"/>
        <v/>
      </c>
      <c r="O84" s="228">
        <f t="shared" si="5"/>
        <v>0</v>
      </c>
    </row>
    <row r="85" spans="1:15" s="231" customFormat="1" ht="11.25">
      <c r="A85" s="166"/>
      <c r="B85" s="168"/>
      <c r="C85" s="140"/>
      <c r="D85" s="168"/>
      <c r="E85" s="168"/>
      <c r="F85" s="140"/>
      <c r="G85" s="141"/>
      <c r="H85" s="253"/>
      <c r="I85" s="256"/>
      <c r="J85" s="140"/>
      <c r="K85" s="168"/>
      <c r="L85" s="229" t="str">
        <f t="shared" si="3"/>
        <v/>
      </c>
      <c r="M85" s="230" t="s">
        <v>119</v>
      </c>
      <c r="N85" s="228" t="str">
        <f t="shared" si="4"/>
        <v/>
      </c>
      <c r="O85" s="228">
        <f t="shared" si="5"/>
        <v>0</v>
      </c>
    </row>
    <row r="86" spans="1:15" s="231" customFormat="1" ht="11.25">
      <c r="A86" s="166"/>
      <c r="B86" s="168"/>
      <c r="C86" s="140"/>
      <c r="D86" s="168"/>
      <c r="E86" s="168"/>
      <c r="F86" s="140"/>
      <c r="G86" s="141"/>
      <c r="H86" s="253"/>
      <c r="I86" s="256"/>
      <c r="J86" s="140"/>
      <c r="K86" s="168"/>
      <c r="L86" s="229" t="str">
        <f t="shared" si="3"/>
        <v/>
      </c>
      <c r="M86" s="230" t="s">
        <v>119</v>
      </c>
      <c r="N86" s="228" t="str">
        <f t="shared" si="4"/>
        <v/>
      </c>
      <c r="O86" s="228">
        <f t="shared" si="5"/>
        <v>0</v>
      </c>
    </row>
    <row r="87" spans="1:15" s="231" customFormat="1" ht="11.25">
      <c r="A87" s="166"/>
      <c r="B87" s="168"/>
      <c r="C87" s="140"/>
      <c r="D87" s="168"/>
      <c r="E87" s="168"/>
      <c r="F87" s="140"/>
      <c r="G87" s="141"/>
      <c r="H87" s="253"/>
      <c r="I87" s="256"/>
      <c r="J87" s="140"/>
      <c r="K87" s="168"/>
      <c r="L87" s="229" t="str">
        <f t="shared" si="3"/>
        <v/>
      </c>
      <c r="M87" s="230" t="s">
        <v>119</v>
      </c>
      <c r="N87" s="228" t="str">
        <f t="shared" si="4"/>
        <v/>
      </c>
      <c r="O87" s="228">
        <f t="shared" si="5"/>
        <v>0</v>
      </c>
    </row>
    <row r="88" spans="1:15" s="231" customFormat="1" ht="11.25">
      <c r="A88" s="166"/>
      <c r="B88" s="168"/>
      <c r="C88" s="140"/>
      <c r="D88" s="168"/>
      <c r="E88" s="168"/>
      <c r="F88" s="140"/>
      <c r="G88" s="141"/>
      <c r="H88" s="253"/>
      <c r="I88" s="256"/>
      <c r="J88" s="140"/>
      <c r="K88" s="168"/>
      <c r="L88" s="229" t="str">
        <f t="shared" si="3"/>
        <v/>
      </c>
      <c r="M88" s="230" t="s">
        <v>119</v>
      </c>
      <c r="N88" s="228" t="str">
        <f t="shared" si="4"/>
        <v/>
      </c>
      <c r="O88" s="228">
        <f t="shared" si="5"/>
        <v>0</v>
      </c>
    </row>
    <row r="89" spans="1:15" s="231" customFormat="1" ht="11.25">
      <c r="A89" s="166"/>
      <c r="B89" s="168"/>
      <c r="C89" s="140"/>
      <c r="D89" s="168"/>
      <c r="E89" s="168"/>
      <c r="F89" s="140"/>
      <c r="G89" s="141"/>
      <c r="H89" s="253"/>
      <c r="I89" s="256"/>
      <c r="J89" s="140"/>
      <c r="K89" s="168"/>
      <c r="L89" s="229" t="str">
        <f t="shared" si="3"/>
        <v/>
      </c>
      <c r="M89" s="230" t="s">
        <v>119</v>
      </c>
      <c r="N89" s="228" t="str">
        <f t="shared" si="4"/>
        <v/>
      </c>
      <c r="O89" s="228">
        <f t="shared" si="5"/>
        <v>0</v>
      </c>
    </row>
    <row r="90" spans="1:15" s="231" customFormat="1" ht="11.25">
      <c r="A90" s="166"/>
      <c r="B90" s="168"/>
      <c r="C90" s="140"/>
      <c r="D90" s="168"/>
      <c r="E90" s="168"/>
      <c r="F90" s="140"/>
      <c r="G90" s="141"/>
      <c r="H90" s="253"/>
      <c r="I90" s="256"/>
      <c r="J90" s="140"/>
      <c r="K90" s="168"/>
      <c r="L90" s="229" t="str">
        <f t="shared" si="3"/>
        <v/>
      </c>
      <c r="M90" s="230" t="s">
        <v>119</v>
      </c>
      <c r="N90" s="228" t="str">
        <f t="shared" si="4"/>
        <v/>
      </c>
      <c r="O90" s="228">
        <f t="shared" si="5"/>
        <v>0</v>
      </c>
    </row>
    <row r="91" spans="1:15" s="231" customFormat="1" ht="11.25">
      <c r="A91" s="166"/>
      <c r="B91" s="168"/>
      <c r="C91" s="140"/>
      <c r="D91" s="168"/>
      <c r="E91" s="168"/>
      <c r="F91" s="140"/>
      <c r="G91" s="141"/>
      <c r="H91" s="253"/>
      <c r="I91" s="256"/>
      <c r="J91" s="140"/>
      <c r="K91" s="168"/>
      <c r="L91" s="229" t="str">
        <f t="shared" si="3"/>
        <v/>
      </c>
      <c r="M91" s="230" t="s">
        <v>119</v>
      </c>
      <c r="N91" s="228" t="str">
        <f t="shared" si="4"/>
        <v/>
      </c>
      <c r="O91" s="228">
        <f t="shared" si="5"/>
        <v>0</v>
      </c>
    </row>
    <row r="92" spans="1:15" s="231" customFormat="1" ht="11.25">
      <c r="A92" s="166"/>
      <c r="B92" s="168"/>
      <c r="C92" s="140"/>
      <c r="D92" s="168"/>
      <c r="E92" s="168"/>
      <c r="F92" s="140"/>
      <c r="G92" s="141"/>
      <c r="H92" s="253"/>
      <c r="I92" s="256"/>
      <c r="J92" s="140"/>
      <c r="K92" s="168"/>
      <c r="L92" s="229" t="str">
        <f t="shared" si="3"/>
        <v/>
      </c>
      <c r="M92" s="230" t="s">
        <v>119</v>
      </c>
      <c r="N92" s="228" t="str">
        <f t="shared" si="4"/>
        <v/>
      </c>
      <c r="O92" s="228">
        <f t="shared" si="5"/>
        <v>0</v>
      </c>
    </row>
    <row r="93" spans="1:15" s="231" customFormat="1" ht="11.25">
      <c r="A93" s="166"/>
      <c r="B93" s="168"/>
      <c r="C93" s="140"/>
      <c r="D93" s="168"/>
      <c r="E93" s="168"/>
      <c r="F93" s="140"/>
      <c r="G93" s="141"/>
      <c r="H93" s="253"/>
      <c r="I93" s="256"/>
      <c r="J93" s="140"/>
      <c r="K93" s="168"/>
      <c r="L93" s="229" t="str">
        <f t="shared" si="3"/>
        <v/>
      </c>
      <c r="M93" s="230" t="s">
        <v>119</v>
      </c>
      <c r="N93" s="228" t="str">
        <f t="shared" si="4"/>
        <v/>
      </c>
      <c r="O93" s="228">
        <f t="shared" si="5"/>
        <v>0</v>
      </c>
    </row>
    <row r="94" spans="1:15" s="231" customFormat="1" ht="11.25">
      <c r="A94" s="166"/>
      <c r="B94" s="168"/>
      <c r="C94" s="140"/>
      <c r="D94" s="168"/>
      <c r="E94" s="168"/>
      <c r="F94" s="140"/>
      <c r="G94" s="141"/>
      <c r="H94" s="253"/>
      <c r="I94" s="256"/>
      <c r="J94" s="140"/>
      <c r="K94" s="168"/>
      <c r="L94" s="229" t="str">
        <f t="shared" si="3"/>
        <v/>
      </c>
      <c r="M94" s="230" t="s">
        <v>119</v>
      </c>
      <c r="N94" s="228" t="str">
        <f t="shared" si="4"/>
        <v/>
      </c>
      <c r="O94" s="228">
        <f t="shared" si="5"/>
        <v>0</v>
      </c>
    </row>
    <row r="95" spans="1:15" s="231" customFormat="1" ht="11.25">
      <c r="A95" s="166"/>
      <c r="B95" s="168"/>
      <c r="C95" s="140"/>
      <c r="D95" s="168"/>
      <c r="E95" s="168"/>
      <c r="F95" s="140"/>
      <c r="G95" s="141"/>
      <c r="H95" s="253"/>
      <c r="I95" s="256"/>
      <c r="J95" s="140"/>
      <c r="K95" s="168"/>
      <c r="L95" s="229" t="str">
        <f t="shared" si="3"/>
        <v/>
      </c>
      <c r="M95" s="230" t="s">
        <v>119</v>
      </c>
      <c r="N95" s="228" t="str">
        <f t="shared" si="4"/>
        <v/>
      </c>
      <c r="O95" s="228">
        <f t="shared" si="5"/>
        <v>0</v>
      </c>
    </row>
    <row r="96" spans="1:15" s="231" customFormat="1" ht="11.25">
      <c r="A96" s="166"/>
      <c r="B96" s="168"/>
      <c r="C96" s="140"/>
      <c r="D96" s="168"/>
      <c r="E96" s="168"/>
      <c r="F96" s="140"/>
      <c r="G96" s="141"/>
      <c r="H96" s="253"/>
      <c r="I96" s="256"/>
      <c r="J96" s="140"/>
      <c r="K96" s="168"/>
      <c r="L96" s="229" t="str">
        <f t="shared" si="3"/>
        <v/>
      </c>
      <c r="M96" s="230" t="s">
        <v>119</v>
      </c>
      <c r="N96" s="228" t="str">
        <f t="shared" si="4"/>
        <v/>
      </c>
      <c r="O96" s="228">
        <f t="shared" si="5"/>
        <v>0</v>
      </c>
    </row>
    <row r="97" spans="1:15" s="231" customFormat="1" ht="11.25">
      <c r="A97" s="166"/>
      <c r="B97" s="168"/>
      <c r="C97" s="140"/>
      <c r="D97" s="168"/>
      <c r="E97" s="168"/>
      <c r="F97" s="140"/>
      <c r="G97" s="141"/>
      <c r="H97" s="253"/>
      <c r="I97" s="256"/>
      <c r="J97" s="140"/>
      <c r="K97" s="168"/>
      <c r="L97" s="229" t="str">
        <f t="shared" si="3"/>
        <v/>
      </c>
      <c r="M97" s="230" t="s">
        <v>119</v>
      </c>
      <c r="N97" s="228" t="str">
        <f t="shared" si="4"/>
        <v/>
      </c>
      <c r="O97" s="228">
        <f t="shared" si="5"/>
        <v>0</v>
      </c>
    </row>
    <row r="98" spans="1:15" s="231" customFormat="1" ht="11.25">
      <c r="A98" s="166"/>
      <c r="B98" s="168"/>
      <c r="C98" s="140"/>
      <c r="D98" s="168"/>
      <c r="E98" s="168"/>
      <c r="F98" s="140"/>
      <c r="G98" s="141"/>
      <c r="H98" s="253"/>
      <c r="I98" s="256"/>
      <c r="J98" s="140"/>
      <c r="K98" s="168"/>
      <c r="L98" s="229" t="str">
        <f t="shared" si="3"/>
        <v/>
      </c>
      <c r="M98" s="230" t="s">
        <v>119</v>
      </c>
      <c r="N98" s="228" t="str">
        <f t="shared" si="4"/>
        <v/>
      </c>
      <c r="O98" s="228">
        <f t="shared" si="5"/>
        <v>0</v>
      </c>
    </row>
    <row r="99" spans="1:15" s="231" customFormat="1" ht="11.25">
      <c r="A99" s="166"/>
      <c r="B99" s="168"/>
      <c r="C99" s="140"/>
      <c r="D99" s="168"/>
      <c r="E99" s="168"/>
      <c r="F99" s="140"/>
      <c r="G99" s="141"/>
      <c r="H99" s="253"/>
      <c r="I99" s="256"/>
      <c r="J99" s="140"/>
      <c r="K99" s="168"/>
      <c r="L99" s="229" t="str">
        <f t="shared" si="3"/>
        <v/>
      </c>
      <c r="M99" s="230" t="s">
        <v>119</v>
      </c>
      <c r="N99" s="228" t="str">
        <f t="shared" si="4"/>
        <v/>
      </c>
      <c r="O99" s="228">
        <f t="shared" si="5"/>
        <v>0</v>
      </c>
    </row>
    <row r="100" spans="1:15" s="231" customFormat="1" ht="11.25">
      <c r="A100" s="166"/>
      <c r="B100" s="168"/>
      <c r="C100" s="140"/>
      <c r="D100" s="168"/>
      <c r="E100" s="168"/>
      <c r="F100" s="140"/>
      <c r="G100" s="141"/>
      <c r="H100" s="253"/>
      <c r="I100" s="256"/>
      <c r="J100" s="140"/>
      <c r="K100" s="168"/>
      <c r="L100" s="229" t="str">
        <f t="shared" si="3"/>
        <v/>
      </c>
      <c r="M100" s="230" t="s">
        <v>119</v>
      </c>
      <c r="N100" s="228" t="str">
        <f t="shared" si="4"/>
        <v/>
      </c>
      <c r="O100" s="228">
        <f t="shared" si="5"/>
        <v>0</v>
      </c>
    </row>
    <row r="101" spans="1:15" s="231" customFormat="1" ht="11.25">
      <c r="A101" s="166"/>
      <c r="B101" s="185"/>
      <c r="C101" s="185"/>
      <c r="D101" s="185"/>
      <c r="E101" s="185"/>
      <c r="F101" s="185"/>
      <c r="G101" s="185"/>
      <c r="H101" s="254"/>
      <c r="I101" s="256"/>
      <c r="J101" s="140"/>
      <c r="K101" s="185"/>
      <c r="L101" s="229" t="str">
        <f t="shared" si="3"/>
        <v/>
      </c>
      <c r="M101" s="230" t="s">
        <v>119</v>
      </c>
      <c r="N101" s="228" t="str">
        <f t="shared" si="4"/>
        <v/>
      </c>
      <c r="O101" s="228">
        <f t="shared" si="5"/>
        <v>0</v>
      </c>
    </row>
    <row r="102" spans="1:15" s="231" customFormat="1" ht="11.25">
      <c r="A102" s="166"/>
      <c r="B102" s="185"/>
      <c r="C102" s="185"/>
      <c r="D102" s="185"/>
      <c r="E102" s="185"/>
      <c r="F102" s="185"/>
      <c r="G102" s="185"/>
      <c r="H102" s="254"/>
      <c r="I102" s="256"/>
      <c r="J102" s="140"/>
      <c r="K102" s="185"/>
      <c r="L102" s="229" t="str">
        <f t="shared" si="3"/>
        <v/>
      </c>
      <c r="M102" s="230" t="s">
        <v>119</v>
      </c>
      <c r="N102" s="228" t="str">
        <f t="shared" si="4"/>
        <v/>
      </c>
      <c r="O102" s="228">
        <f t="shared" si="5"/>
        <v>0</v>
      </c>
    </row>
    <row r="103" spans="1:15" s="231" customFormat="1" ht="11.25">
      <c r="A103" s="166"/>
      <c r="B103" s="185"/>
      <c r="C103" s="185"/>
      <c r="D103" s="185"/>
      <c r="E103" s="185"/>
      <c r="F103" s="185"/>
      <c r="G103" s="185"/>
      <c r="H103" s="254"/>
      <c r="I103" s="256"/>
      <c r="J103" s="140"/>
      <c r="K103" s="185"/>
      <c r="L103" s="229" t="str">
        <f t="shared" si="3"/>
        <v/>
      </c>
      <c r="M103" s="230" t="s">
        <v>119</v>
      </c>
      <c r="N103" s="228" t="str">
        <f t="shared" si="4"/>
        <v/>
      </c>
      <c r="O103" s="228">
        <f t="shared" si="5"/>
        <v>0</v>
      </c>
    </row>
    <row r="104" spans="1:15" s="231" customFormat="1" ht="11.25">
      <c r="A104" s="166"/>
      <c r="B104" s="185"/>
      <c r="C104" s="185"/>
      <c r="D104" s="185"/>
      <c r="E104" s="185"/>
      <c r="F104" s="185"/>
      <c r="G104" s="185"/>
      <c r="H104" s="254"/>
      <c r="I104" s="256"/>
      <c r="J104" s="140"/>
      <c r="K104" s="185"/>
      <c r="L104" s="229" t="str">
        <f t="shared" si="3"/>
        <v/>
      </c>
      <c r="M104" s="230" t="s">
        <v>119</v>
      </c>
      <c r="N104" s="228" t="str">
        <f t="shared" si="4"/>
        <v/>
      </c>
      <c r="O104" s="228">
        <f t="shared" si="5"/>
        <v>0</v>
      </c>
    </row>
    <row r="105" spans="1:15" s="231" customFormat="1" ht="11.25">
      <c r="A105" s="166"/>
      <c r="B105" s="185"/>
      <c r="C105" s="185"/>
      <c r="D105" s="185"/>
      <c r="E105" s="185"/>
      <c r="F105" s="185"/>
      <c r="G105" s="185"/>
      <c r="H105" s="254"/>
      <c r="I105" s="256"/>
      <c r="J105" s="140"/>
      <c r="K105" s="185"/>
      <c r="L105" s="229" t="str">
        <f t="shared" si="3"/>
        <v/>
      </c>
      <c r="M105" s="230" t="s">
        <v>119</v>
      </c>
      <c r="N105" s="228" t="str">
        <f t="shared" si="4"/>
        <v/>
      </c>
      <c r="O105" s="228">
        <f t="shared" si="5"/>
        <v>0</v>
      </c>
    </row>
    <row r="106" spans="1:15" s="231" customFormat="1" ht="11.25">
      <c r="A106" s="166"/>
      <c r="B106" s="185"/>
      <c r="C106" s="185"/>
      <c r="D106" s="185"/>
      <c r="E106" s="185"/>
      <c r="F106" s="185"/>
      <c r="G106" s="185"/>
      <c r="H106" s="254"/>
      <c r="I106" s="256"/>
      <c r="J106" s="140"/>
      <c r="K106" s="185"/>
      <c r="L106" s="229" t="str">
        <f t="shared" si="3"/>
        <v/>
      </c>
      <c r="M106" s="230" t="s">
        <v>119</v>
      </c>
      <c r="N106" s="228" t="str">
        <f t="shared" si="4"/>
        <v/>
      </c>
      <c r="O106" s="228">
        <f t="shared" si="5"/>
        <v>0</v>
      </c>
    </row>
    <row r="107" spans="1:15" s="231" customFormat="1" ht="11.25">
      <c r="A107" s="166"/>
      <c r="B107" s="185"/>
      <c r="C107" s="185"/>
      <c r="D107" s="185"/>
      <c r="E107" s="185"/>
      <c r="F107" s="185"/>
      <c r="G107" s="185"/>
      <c r="H107" s="254"/>
      <c r="I107" s="256"/>
      <c r="J107" s="140"/>
      <c r="K107" s="185"/>
      <c r="L107" s="229" t="str">
        <f t="shared" si="3"/>
        <v/>
      </c>
      <c r="M107" s="230" t="s">
        <v>119</v>
      </c>
      <c r="N107" s="228" t="str">
        <f t="shared" si="4"/>
        <v/>
      </c>
      <c r="O107" s="228">
        <f t="shared" si="5"/>
        <v>0</v>
      </c>
    </row>
    <row r="108" spans="1:15" s="231" customFormat="1" ht="11.25">
      <c r="A108" s="166"/>
      <c r="B108" s="185"/>
      <c r="C108" s="185"/>
      <c r="D108" s="185"/>
      <c r="E108" s="185"/>
      <c r="F108" s="185"/>
      <c r="G108" s="185"/>
      <c r="H108" s="254"/>
      <c r="I108" s="256"/>
      <c r="J108" s="140"/>
      <c r="K108" s="185"/>
      <c r="L108" s="229" t="str">
        <f t="shared" si="3"/>
        <v/>
      </c>
      <c r="M108" s="230" t="s">
        <v>119</v>
      </c>
      <c r="N108" s="228" t="str">
        <f t="shared" si="4"/>
        <v/>
      </c>
      <c r="O108" s="228">
        <f t="shared" si="5"/>
        <v>0</v>
      </c>
    </row>
    <row r="109" spans="1:15" s="231" customFormat="1" ht="11.25">
      <c r="A109" s="166"/>
      <c r="B109" s="185"/>
      <c r="C109" s="185"/>
      <c r="D109" s="185"/>
      <c r="E109" s="185"/>
      <c r="F109" s="185"/>
      <c r="G109" s="185"/>
      <c r="H109" s="254"/>
      <c r="I109" s="256"/>
      <c r="J109" s="140"/>
      <c r="K109" s="185"/>
      <c r="L109" s="229" t="str">
        <f t="shared" si="3"/>
        <v/>
      </c>
      <c r="M109" s="230" t="s">
        <v>119</v>
      </c>
      <c r="N109" s="228" t="str">
        <f t="shared" si="4"/>
        <v/>
      </c>
      <c r="O109" s="228">
        <f t="shared" si="5"/>
        <v>0</v>
      </c>
    </row>
    <row r="110" spans="1:15" s="231" customFormat="1" ht="11.25">
      <c r="A110" s="166"/>
      <c r="B110" s="185"/>
      <c r="C110" s="185"/>
      <c r="D110" s="185"/>
      <c r="E110" s="185"/>
      <c r="F110" s="185"/>
      <c r="G110" s="185"/>
      <c r="H110" s="254"/>
      <c r="I110" s="256"/>
      <c r="J110" s="140"/>
      <c r="K110" s="185"/>
      <c r="L110" s="229" t="str">
        <f t="shared" si="3"/>
        <v/>
      </c>
      <c r="M110" s="230" t="s">
        <v>119</v>
      </c>
      <c r="N110" s="228" t="str">
        <f t="shared" si="4"/>
        <v/>
      </c>
      <c r="O110" s="228">
        <f t="shared" si="5"/>
        <v>0</v>
      </c>
    </row>
    <row r="111" spans="1:15" s="231" customFormat="1" ht="11.25">
      <c r="A111" s="166"/>
      <c r="B111" s="185"/>
      <c r="C111" s="185"/>
      <c r="D111" s="185"/>
      <c r="E111" s="185"/>
      <c r="F111" s="185"/>
      <c r="G111" s="185"/>
      <c r="H111" s="254"/>
      <c r="I111" s="256"/>
      <c r="J111" s="140"/>
      <c r="K111" s="185"/>
      <c r="L111" s="229" t="str">
        <f t="shared" si="3"/>
        <v/>
      </c>
      <c r="M111" s="230" t="s">
        <v>119</v>
      </c>
      <c r="N111" s="228" t="str">
        <f t="shared" si="4"/>
        <v/>
      </c>
      <c r="O111" s="228">
        <f t="shared" si="5"/>
        <v>0</v>
      </c>
    </row>
    <row r="112" spans="1:15" s="231" customFormat="1" ht="11.25">
      <c r="A112" s="166"/>
      <c r="B112" s="185"/>
      <c r="C112" s="185"/>
      <c r="D112" s="185"/>
      <c r="E112" s="185"/>
      <c r="F112" s="185"/>
      <c r="G112" s="185"/>
      <c r="H112" s="254"/>
      <c r="I112" s="256"/>
      <c r="J112" s="140"/>
      <c r="K112" s="185"/>
      <c r="L112" s="229" t="str">
        <f t="shared" si="3"/>
        <v/>
      </c>
      <c r="M112" s="230" t="s">
        <v>119</v>
      </c>
      <c r="N112" s="228" t="str">
        <f t="shared" si="4"/>
        <v/>
      </c>
      <c r="O112" s="228">
        <f t="shared" si="5"/>
        <v>0</v>
      </c>
    </row>
    <row r="113" spans="1:15" s="231" customFormat="1" ht="11.25">
      <c r="A113" s="166"/>
      <c r="B113" s="185"/>
      <c r="C113" s="185"/>
      <c r="D113" s="185"/>
      <c r="E113" s="185"/>
      <c r="F113" s="185"/>
      <c r="G113" s="185"/>
      <c r="H113" s="254"/>
      <c r="I113" s="256"/>
      <c r="J113" s="140"/>
      <c r="K113" s="185"/>
      <c r="L113" s="229" t="str">
        <f t="shared" si="3"/>
        <v/>
      </c>
      <c r="M113" s="230" t="s">
        <v>119</v>
      </c>
      <c r="N113" s="228" t="str">
        <f t="shared" si="4"/>
        <v/>
      </c>
      <c r="O113" s="228">
        <f t="shared" si="5"/>
        <v>0</v>
      </c>
    </row>
    <row r="114" spans="1:15" s="231" customFormat="1" ht="11.25">
      <c r="A114" s="166"/>
      <c r="B114" s="185"/>
      <c r="C114" s="185"/>
      <c r="D114" s="185"/>
      <c r="E114" s="185"/>
      <c r="F114" s="185"/>
      <c r="G114" s="185"/>
      <c r="H114" s="254"/>
      <c r="I114" s="256"/>
      <c r="J114" s="140"/>
      <c r="K114" s="185"/>
      <c r="L114" s="229" t="str">
        <f t="shared" si="3"/>
        <v/>
      </c>
      <c r="M114" s="230" t="s">
        <v>119</v>
      </c>
      <c r="N114" s="228" t="str">
        <f t="shared" si="4"/>
        <v/>
      </c>
      <c r="O114" s="228">
        <f t="shared" si="5"/>
        <v>0</v>
      </c>
    </row>
    <row r="115" spans="1:15" s="231" customFormat="1" ht="11.25">
      <c r="A115" s="166"/>
      <c r="B115" s="185"/>
      <c r="C115" s="185"/>
      <c r="D115" s="185"/>
      <c r="E115" s="185"/>
      <c r="F115" s="185"/>
      <c r="G115" s="185"/>
      <c r="H115" s="254"/>
      <c r="I115" s="256"/>
      <c r="J115" s="140"/>
      <c r="K115" s="185"/>
      <c r="L115" s="229" t="str">
        <f t="shared" si="3"/>
        <v/>
      </c>
      <c r="M115" s="230" t="s">
        <v>119</v>
      </c>
      <c r="N115" s="228" t="str">
        <f t="shared" si="4"/>
        <v/>
      </c>
      <c r="O115" s="228">
        <f t="shared" si="5"/>
        <v>0</v>
      </c>
    </row>
    <row r="116" spans="1:15" s="231" customFormat="1" ht="11.25">
      <c r="A116" s="166"/>
      <c r="B116" s="185"/>
      <c r="C116" s="185"/>
      <c r="D116" s="185"/>
      <c r="E116" s="185"/>
      <c r="F116" s="185"/>
      <c r="G116" s="185"/>
      <c r="H116" s="254"/>
      <c r="I116" s="256"/>
      <c r="J116" s="140"/>
      <c r="K116" s="185"/>
      <c r="L116" s="229" t="str">
        <f t="shared" si="3"/>
        <v/>
      </c>
      <c r="M116" s="230" t="s">
        <v>119</v>
      </c>
      <c r="N116" s="228" t="str">
        <f t="shared" si="4"/>
        <v/>
      </c>
      <c r="O116" s="228">
        <f t="shared" si="5"/>
        <v>0</v>
      </c>
    </row>
    <row r="117" spans="1:15" s="231" customFormat="1" ht="11.25">
      <c r="A117" s="166"/>
      <c r="B117" s="185"/>
      <c r="C117" s="185"/>
      <c r="D117" s="185"/>
      <c r="E117" s="185"/>
      <c r="F117" s="185"/>
      <c r="G117" s="185"/>
      <c r="H117" s="254"/>
      <c r="I117" s="256"/>
      <c r="J117" s="140"/>
      <c r="K117" s="185"/>
      <c r="L117" s="229" t="str">
        <f t="shared" si="3"/>
        <v/>
      </c>
      <c r="M117" s="230" t="s">
        <v>119</v>
      </c>
      <c r="N117" s="228" t="str">
        <f t="shared" si="4"/>
        <v/>
      </c>
      <c r="O117" s="228">
        <f t="shared" si="5"/>
        <v>0</v>
      </c>
    </row>
    <row r="118" spans="1:15" s="231" customFormat="1" ht="11.25">
      <c r="A118" s="166"/>
      <c r="B118" s="185"/>
      <c r="C118" s="185"/>
      <c r="D118" s="185"/>
      <c r="E118" s="185"/>
      <c r="F118" s="185"/>
      <c r="G118" s="185"/>
      <c r="H118" s="254"/>
      <c r="I118" s="256"/>
      <c r="J118" s="140"/>
      <c r="K118" s="185"/>
      <c r="L118" s="229" t="str">
        <f t="shared" si="3"/>
        <v/>
      </c>
      <c r="M118" s="230" t="s">
        <v>119</v>
      </c>
      <c r="N118" s="228" t="str">
        <f t="shared" si="4"/>
        <v/>
      </c>
      <c r="O118" s="228">
        <f t="shared" si="5"/>
        <v>0</v>
      </c>
    </row>
    <row r="119" spans="1:15" s="231" customFormat="1" ht="11.25">
      <c r="A119" s="166"/>
      <c r="B119" s="185"/>
      <c r="C119" s="185"/>
      <c r="D119" s="185"/>
      <c r="E119" s="185"/>
      <c r="F119" s="185"/>
      <c r="G119" s="185"/>
      <c r="H119" s="254"/>
      <c r="I119" s="256"/>
      <c r="J119" s="140"/>
      <c r="K119" s="185"/>
      <c r="L119" s="229" t="str">
        <f t="shared" si="3"/>
        <v/>
      </c>
      <c r="M119" s="230" t="s">
        <v>119</v>
      </c>
      <c r="N119" s="228" t="str">
        <f t="shared" si="4"/>
        <v/>
      </c>
      <c r="O119" s="228">
        <f t="shared" si="5"/>
        <v>0</v>
      </c>
    </row>
    <row r="120" spans="1:15" s="231" customFormat="1" ht="11.25">
      <c r="A120" s="166"/>
      <c r="B120" s="185"/>
      <c r="C120" s="185"/>
      <c r="D120" s="185"/>
      <c r="E120" s="185"/>
      <c r="F120" s="185"/>
      <c r="G120" s="185"/>
      <c r="H120" s="254"/>
      <c r="I120" s="256"/>
      <c r="J120" s="140"/>
      <c r="K120" s="185"/>
      <c r="L120" s="229" t="str">
        <f t="shared" si="3"/>
        <v/>
      </c>
      <c r="M120" s="230" t="s">
        <v>119</v>
      </c>
      <c r="N120" s="228" t="str">
        <f t="shared" si="4"/>
        <v/>
      </c>
      <c r="O120" s="228">
        <f t="shared" si="5"/>
        <v>0</v>
      </c>
    </row>
    <row r="121" spans="1:15" s="231" customFormat="1" ht="11.25">
      <c r="A121" s="166"/>
      <c r="B121" s="185"/>
      <c r="C121" s="185"/>
      <c r="D121" s="185"/>
      <c r="E121" s="185"/>
      <c r="F121" s="185"/>
      <c r="G121" s="185"/>
      <c r="H121" s="254"/>
      <c r="I121" s="256"/>
      <c r="J121" s="140"/>
      <c r="K121" s="185"/>
      <c r="L121" s="229" t="str">
        <f t="shared" si="3"/>
        <v/>
      </c>
      <c r="M121" s="230" t="s">
        <v>119</v>
      </c>
      <c r="N121" s="228" t="str">
        <f t="shared" si="4"/>
        <v/>
      </c>
      <c r="O121" s="228">
        <f t="shared" si="5"/>
        <v>0</v>
      </c>
    </row>
    <row r="122" spans="1:15" s="231" customFormat="1" ht="11.25">
      <c r="A122" s="166"/>
      <c r="B122" s="185"/>
      <c r="C122" s="185"/>
      <c r="D122" s="185"/>
      <c r="E122" s="185"/>
      <c r="F122" s="185"/>
      <c r="G122" s="185"/>
      <c r="H122" s="254"/>
      <c r="I122" s="256"/>
      <c r="J122" s="140"/>
      <c r="K122" s="185"/>
      <c r="L122" s="229" t="str">
        <f t="shared" si="3"/>
        <v/>
      </c>
      <c r="M122" s="230" t="s">
        <v>119</v>
      </c>
      <c r="N122" s="228" t="str">
        <f t="shared" si="4"/>
        <v/>
      </c>
      <c r="O122" s="228">
        <f t="shared" si="5"/>
        <v>0</v>
      </c>
    </row>
    <row r="123" spans="1:15" s="231" customFormat="1" ht="11.25">
      <c r="A123" s="166"/>
      <c r="B123" s="185"/>
      <c r="C123" s="185"/>
      <c r="D123" s="185"/>
      <c r="E123" s="185"/>
      <c r="F123" s="185"/>
      <c r="G123" s="185"/>
      <c r="H123" s="254"/>
      <c r="I123" s="256"/>
      <c r="J123" s="140"/>
      <c r="K123" s="185"/>
      <c r="L123" s="229" t="str">
        <f t="shared" si="3"/>
        <v/>
      </c>
      <c r="M123" s="230" t="s">
        <v>119</v>
      </c>
      <c r="N123" s="228" t="str">
        <f t="shared" si="4"/>
        <v/>
      </c>
      <c r="O123" s="228">
        <f t="shared" si="5"/>
        <v>0</v>
      </c>
    </row>
    <row r="124" spans="1:15" s="231" customFormat="1" ht="11.25">
      <c r="A124" s="166"/>
      <c r="B124" s="185"/>
      <c r="C124" s="185"/>
      <c r="D124" s="185"/>
      <c r="E124" s="185"/>
      <c r="F124" s="185"/>
      <c r="G124" s="185"/>
      <c r="H124" s="254"/>
      <c r="I124" s="256"/>
      <c r="J124" s="140"/>
      <c r="K124" s="185"/>
      <c r="L124" s="229" t="str">
        <f t="shared" si="3"/>
        <v/>
      </c>
      <c r="M124" s="230" t="s">
        <v>119</v>
      </c>
      <c r="N124" s="228" t="str">
        <f t="shared" si="4"/>
        <v/>
      </c>
      <c r="O124" s="228">
        <f t="shared" si="5"/>
        <v>0</v>
      </c>
    </row>
    <row r="125" spans="1:15" s="231" customFormat="1" ht="11.25">
      <c r="A125" s="166"/>
      <c r="B125" s="185"/>
      <c r="C125" s="185"/>
      <c r="D125" s="185"/>
      <c r="E125" s="185"/>
      <c r="F125" s="185"/>
      <c r="G125" s="185"/>
      <c r="H125" s="254"/>
      <c r="I125" s="256"/>
      <c r="J125" s="140"/>
      <c r="K125" s="185"/>
      <c r="L125" s="229" t="str">
        <f t="shared" si="3"/>
        <v/>
      </c>
      <c r="M125" s="230" t="s">
        <v>119</v>
      </c>
      <c r="N125" s="228" t="str">
        <f t="shared" si="4"/>
        <v/>
      </c>
      <c r="O125" s="228">
        <f t="shared" si="5"/>
        <v>0</v>
      </c>
    </row>
    <row r="126" spans="1:15" s="231" customFormat="1" ht="11.25">
      <c r="A126" s="166"/>
      <c r="B126" s="185"/>
      <c r="C126" s="185"/>
      <c r="D126" s="185"/>
      <c r="E126" s="185"/>
      <c r="F126" s="185"/>
      <c r="G126" s="185"/>
      <c r="H126" s="254"/>
      <c r="I126" s="256"/>
      <c r="J126" s="140"/>
      <c r="K126" s="185"/>
      <c r="L126" s="229" t="str">
        <f t="shared" si="3"/>
        <v/>
      </c>
      <c r="M126" s="230" t="s">
        <v>119</v>
      </c>
      <c r="N126" s="228" t="str">
        <f t="shared" si="4"/>
        <v/>
      </c>
      <c r="O126" s="228">
        <f t="shared" si="5"/>
        <v>0</v>
      </c>
    </row>
    <row r="127" spans="1:15" s="231" customFormat="1" ht="11.25">
      <c r="A127" s="166"/>
      <c r="B127" s="185"/>
      <c r="C127" s="185"/>
      <c r="D127" s="185"/>
      <c r="E127" s="185"/>
      <c r="F127" s="185"/>
      <c r="G127" s="185"/>
      <c r="H127" s="254"/>
      <c r="I127" s="256"/>
      <c r="J127" s="140"/>
      <c r="K127" s="185"/>
      <c r="L127" s="229" t="str">
        <f t="shared" si="3"/>
        <v/>
      </c>
      <c r="M127" s="230" t="s">
        <v>119</v>
      </c>
      <c r="N127" s="228" t="str">
        <f t="shared" si="4"/>
        <v/>
      </c>
      <c r="O127" s="228">
        <f t="shared" si="5"/>
        <v>0</v>
      </c>
    </row>
    <row r="128" spans="1:15" s="231" customFormat="1" ht="11.25">
      <c r="A128" s="166"/>
      <c r="B128" s="185"/>
      <c r="C128" s="185"/>
      <c r="D128" s="185"/>
      <c r="E128" s="185"/>
      <c r="F128" s="185"/>
      <c r="G128" s="185"/>
      <c r="H128" s="254"/>
      <c r="I128" s="256"/>
      <c r="J128" s="140"/>
      <c r="K128" s="185"/>
      <c r="L128" s="229" t="str">
        <f t="shared" si="3"/>
        <v/>
      </c>
      <c r="M128" s="230" t="s">
        <v>119</v>
      </c>
      <c r="N128" s="228" t="str">
        <f t="shared" si="4"/>
        <v/>
      </c>
      <c r="O128" s="228">
        <f t="shared" si="5"/>
        <v>0</v>
      </c>
    </row>
    <row r="129" spans="1:15" s="231" customFormat="1" ht="11.25">
      <c r="A129" s="166"/>
      <c r="B129" s="185"/>
      <c r="C129" s="185"/>
      <c r="D129" s="185"/>
      <c r="E129" s="185"/>
      <c r="F129" s="185"/>
      <c r="G129" s="185"/>
      <c r="H129" s="254"/>
      <c r="I129" s="256"/>
      <c r="J129" s="140"/>
      <c r="K129" s="185"/>
      <c r="L129" s="229" t="str">
        <f t="shared" si="3"/>
        <v/>
      </c>
      <c r="M129" s="230" t="s">
        <v>119</v>
      </c>
      <c r="N129" s="228" t="str">
        <f t="shared" si="4"/>
        <v/>
      </c>
      <c r="O129" s="228">
        <f t="shared" si="5"/>
        <v>0</v>
      </c>
    </row>
    <row r="130" spans="1:15" s="231" customFormat="1" ht="11.25">
      <c r="A130" s="166"/>
      <c r="B130" s="185"/>
      <c r="C130" s="185"/>
      <c r="D130" s="185"/>
      <c r="E130" s="185"/>
      <c r="F130" s="185"/>
      <c r="G130" s="185"/>
      <c r="H130" s="254"/>
      <c r="I130" s="256"/>
      <c r="J130" s="140"/>
      <c r="K130" s="185"/>
      <c r="L130" s="229" t="str">
        <f t="shared" si="3"/>
        <v/>
      </c>
      <c r="M130" s="230" t="s">
        <v>119</v>
      </c>
      <c r="N130" s="228" t="str">
        <f t="shared" si="4"/>
        <v/>
      </c>
      <c r="O130" s="228">
        <f t="shared" si="5"/>
        <v>0</v>
      </c>
    </row>
    <row r="131" spans="1:15" s="231" customFormat="1" ht="11.25">
      <c r="A131" s="166"/>
      <c r="B131" s="185"/>
      <c r="C131" s="185"/>
      <c r="D131" s="185"/>
      <c r="E131" s="185"/>
      <c r="F131" s="185"/>
      <c r="G131" s="185"/>
      <c r="H131" s="254"/>
      <c r="I131" s="256"/>
      <c r="J131" s="140"/>
      <c r="K131" s="185"/>
      <c r="L131" s="229" t="str">
        <f t="shared" si="3"/>
        <v/>
      </c>
      <c r="M131" s="230" t="s">
        <v>119</v>
      </c>
      <c r="N131" s="228" t="str">
        <f t="shared" si="4"/>
        <v/>
      </c>
      <c r="O131" s="228">
        <f t="shared" si="5"/>
        <v>0</v>
      </c>
    </row>
    <row r="132" spans="1:15" s="231" customFormat="1" ht="11.25">
      <c r="A132" s="166"/>
      <c r="B132" s="185"/>
      <c r="C132" s="185"/>
      <c r="D132" s="185"/>
      <c r="E132" s="185"/>
      <c r="F132" s="185"/>
      <c r="G132" s="185"/>
      <c r="H132" s="254"/>
      <c r="I132" s="256"/>
      <c r="J132" s="140"/>
      <c r="K132" s="185"/>
      <c r="L132" s="229" t="str">
        <f t="shared" si="3"/>
        <v/>
      </c>
      <c r="M132" s="230" t="s">
        <v>119</v>
      </c>
      <c r="N132" s="228" t="str">
        <f t="shared" si="4"/>
        <v/>
      </c>
      <c r="O132" s="228">
        <f t="shared" si="5"/>
        <v>0</v>
      </c>
    </row>
    <row r="133" spans="1:15" s="231" customFormat="1" ht="11.25">
      <c r="A133" s="166"/>
      <c r="B133" s="185"/>
      <c r="C133" s="185"/>
      <c r="D133" s="185"/>
      <c r="E133" s="185"/>
      <c r="F133" s="185"/>
      <c r="G133" s="185"/>
      <c r="H133" s="254"/>
      <c r="I133" s="256"/>
      <c r="J133" s="140"/>
      <c r="K133" s="185"/>
      <c r="L133" s="229" t="str">
        <f t="shared" si="3"/>
        <v/>
      </c>
      <c r="M133" s="230" t="s">
        <v>119</v>
      </c>
      <c r="N133" s="228" t="str">
        <f t="shared" si="4"/>
        <v/>
      </c>
      <c r="O133" s="228">
        <f t="shared" si="5"/>
        <v>0</v>
      </c>
    </row>
    <row r="134" spans="1:15" s="231" customFormat="1" ht="11.25">
      <c r="A134" s="166"/>
      <c r="B134" s="185"/>
      <c r="C134" s="185"/>
      <c r="D134" s="185"/>
      <c r="E134" s="185"/>
      <c r="F134" s="185"/>
      <c r="G134" s="185"/>
      <c r="H134" s="254"/>
      <c r="I134" s="256"/>
      <c r="J134" s="140"/>
      <c r="K134" s="185"/>
      <c r="L134" s="229" t="str">
        <f t="shared" si="3"/>
        <v/>
      </c>
      <c r="M134" s="230" t="s">
        <v>119</v>
      </c>
      <c r="N134" s="228" t="str">
        <f t="shared" si="4"/>
        <v/>
      </c>
      <c r="O134" s="228">
        <f t="shared" si="5"/>
        <v>0</v>
      </c>
    </row>
    <row r="135" spans="1:15" s="231" customFormat="1" ht="11.25">
      <c r="A135" s="166"/>
      <c r="B135" s="185"/>
      <c r="C135" s="185"/>
      <c r="D135" s="185"/>
      <c r="E135" s="185"/>
      <c r="F135" s="185"/>
      <c r="G135" s="185"/>
      <c r="H135" s="254"/>
      <c r="I135" s="256"/>
      <c r="J135" s="140"/>
      <c r="K135" s="185"/>
      <c r="L135" s="229" t="str">
        <f t="shared" ref="L135:L198" si="6">LEFT(B135,2)</f>
        <v/>
      </c>
      <c r="M135" s="230" t="s">
        <v>119</v>
      </c>
      <c r="N135" s="228" t="str">
        <f t="shared" ref="N135:N198" si="7">RIGHT(F135,3)</f>
        <v/>
      </c>
      <c r="O135" s="228">
        <f t="shared" si="5"/>
        <v>0</v>
      </c>
    </row>
    <row r="136" spans="1:15" s="231" customFormat="1" ht="11.25">
      <c r="A136" s="166"/>
      <c r="B136" s="185"/>
      <c r="C136" s="185"/>
      <c r="D136" s="185"/>
      <c r="E136" s="185"/>
      <c r="F136" s="185"/>
      <c r="G136" s="185"/>
      <c r="H136" s="254"/>
      <c r="I136" s="256"/>
      <c r="J136" s="140"/>
      <c r="K136" s="185"/>
      <c r="L136" s="229" t="str">
        <f t="shared" si="6"/>
        <v/>
      </c>
      <c r="M136" s="230" t="s">
        <v>119</v>
      </c>
      <c r="N136" s="228" t="str">
        <f t="shared" si="7"/>
        <v/>
      </c>
      <c r="O136" s="228">
        <f t="shared" ref="O136:O199" si="8">H136*A136</f>
        <v>0</v>
      </c>
    </row>
    <row r="137" spans="1:15" s="231" customFormat="1" ht="11.25">
      <c r="A137" s="166"/>
      <c r="B137" s="185"/>
      <c r="C137" s="185"/>
      <c r="D137" s="185"/>
      <c r="E137" s="185"/>
      <c r="F137" s="185"/>
      <c r="G137" s="185"/>
      <c r="H137" s="254"/>
      <c r="I137" s="256"/>
      <c r="J137" s="140"/>
      <c r="K137" s="185"/>
      <c r="L137" s="229" t="str">
        <f t="shared" si="6"/>
        <v/>
      </c>
      <c r="M137" s="230" t="s">
        <v>119</v>
      </c>
      <c r="N137" s="228" t="str">
        <f t="shared" si="7"/>
        <v/>
      </c>
      <c r="O137" s="228">
        <f t="shared" si="8"/>
        <v>0</v>
      </c>
    </row>
    <row r="138" spans="1:15" s="231" customFormat="1" ht="11.25">
      <c r="A138" s="166"/>
      <c r="B138" s="185"/>
      <c r="C138" s="185"/>
      <c r="D138" s="185"/>
      <c r="E138" s="185"/>
      <c r="F138" s="185"/>
      <c r="G138" s="185"/>
      <c r="H138" s="254"/>
      <c r="I138" s="256"/>
      <c r="J138" s="140"/>
      <c r="K138" s="185"/>
      <c r="L138" s="229" t="str">
        <f t="shared" si="6"/>
        <v/>
      </c>
      <c r="M138" s="230" t="s">
        <v>119</v>
      </c>
      <c r="N138" s="228" t="str">
        <f t="shared" si="7"/>
        <v/>
      </c>
      <c r="O138" s="228">
        <f t="shared" si="8"/>
        <v>0</v>
      </c>
    </row>
    <row r="139" spans="1:15" s="231" customFormat="1" ht="11.25">
      <c r="A139" s="166"/>
      <c r="B139" s="185"/>
      <c r="C139" s="185"/>
      <c r="D139" s="185"/>
      <c r="E139" s="185"/>
      <c r="F139" s="185"/>
      <c r="G139" s="185"/>
      <c r="H139" s="254"/>
      <c r="I139" s="256"/>
      <c r="J139" s="140"/>
      <c r="K139" s="185"/>
      <c r="L139" s="229" t="str">
        <f t="shared" si="6"/>
        <v/>
      </c>
      <c r="M139" s="230" t="s">
        <v>119</v>
      </c>
      <c r="N139" s="228" t="str">
        <f t="shared" si="7"/>
        <v/>
      </c>
      <c r="O139" s="228">
        <f t="shared" si="8"/>
        <v>0</v>
      </c>
    </row>
    <row r="140" spans="1:15" s="231" customFormat="1" ht="11.25">
      <c r="A140" s="166"/>
      <c r="B140" s="185"/>
      <c r="C140" s="185"/>
      <c r="D140" s="185"/>
      <c r="E140" s="185"/>
      <c r="F140" s="185"/>
      <c r="G140" s="185"/>
      <c r="H140" s="254"/>
      <c r="I140" s="256"/>
      <c r="J140" s="140"/>
      <c r="K140" s="185"/>
      <c r="L140" s="229" t="str">
        <f t="shared" si="6"/>
        <v/>
      </c>
      <c r="M140" s="230" t="s">
        <v>119</v>
      </c>
      <c r="N140" s="228" t="str">
        <f t="shared" si="7"/>
        <v/>
      </c>
      <c r="O140" s="228">
        <f t="shared" si="8"/>
        <v>0</v>
      </c>
    </row>
    <row r="141" spans="1:15" s="231" customFormat="1" ht="11.25">
      <c r="A141" s="166"/>
      <c r="B141" s="185"/>
      <c r="C141" s="185"/>
      <c r="D141" s="185"/>
      <c r="E141" s="185"/>
      <c r="F141" s="185"/>
      <c r="G141" s="185"/>
      <c r="H141" s="254"/>
      <c r="I141" s="256"/>
      <c r="J141" s="140"/>
      <c r="K141" s="185"/>
      <c r="L141" s="229" t="str">
        <f t="shared" si="6"/>
        <v/>
      </c>
      <c r="M141" s="230" t="s">
        <v>119</v>
      </c>
      <c r="N141" s="228" t="str">
        <f t="shared" si="7"/>
        <v/>
      </c>
      <c r="O141" s="228">
        <f t="shared" si="8"/>
        <v>0</v>
      </c>
    </row>
    <row r="142" spans="1:15" s="231" customFormat="1" ht="11.25">
      <c r="A142" s="166"/>
      <c r="B142" s="185"/>
      <c r="C142" s="185"/>
      <c r="D142" s="185"/>
      <c r="E142" s="185"/>
      <c r="F142" s="185"/>
      <c r="G142" s="185"/>
      <c r="H142" s="254"/>
      <c r="I142" s="256"/>
      <c r="J142" s="140"/>
      <c r="K142" s="185"/>
      <c r="L142" s="229" t="str">
        <f t="shared" si="6"/>
        <v/>
      </c>
      <c r="M142" s="230" t="s">
        <v>119</v>
      </c>
      <c r="N142" s="228" t="str">
        <f t="shared" si="7"/>
        <v/>
      </c>
      <c r="O142" s="228">
        <f t="shared" si="8"/>
        <v>0</v>
      </c>
    </row>
    <row r="143" spans="1:15" s="231" customFormat="1" ht="11.25">
      <c r="A143" s="166"/>
      <c r="B143" s="185"/>
      <c r="C143" s="185"/>
      <c r="D143" s="185"/>
      <c r="E143" s="185"/>
      <c r="F143" s="185"/>
      <c r="G143" s="185"/>
      <c r="H143" s="254"/>
      <c r="I143" s="256"/>
      <c r="J143" s="140"/>
      <c r="K143" s="185"/>
      <c r="L143" s="229" t="str">
        <f t="shared" si="6"/>
        <v/>
      </c>
      <c r="M143" s="230" t="s">
        <v>119</v>
      </c>
      <c r="N143" s="228" t="str">
        <f t="shared" si="7"/>
        <v/>
      </c>
      <c r="O143" s="228">
        <f t="shared" si="8"/>
        <v>0</v>
      </c>
    </row>
    <row r="144" spans="1:15" s="231" customFormat="1" ht="11.25">
      <c r="A144" s="166"/>
      <c r="B144" s="185"/>
      <c r="C144" s="185"/>
      <c r="D144" s="185"/>
      <c r="E144" s="185"/>
      <c r="F144" s="185"/>
      <c r="G144" s="185"/>
      <c r="H144" s="254"/>
      <c r="I144" s="256"/>
      <c r="J144" s="140"/>
      <c r="K144" s="185"/>
      <c r="L144" s="229" t="str">
        <f t="shared" si="6"/>
        <v/>
      </c>
      <c r="M144" s="230" t="s">
        <v>119</v>
      </c>
      <c r="N144" s="228" t="str">
        <f t="shared" si="7"/>
        <v/>
      </c>
      <c r="O144" s="228">
        <f t="shared" si="8"/>
        <v>0</v>
      </c>
    </row>
    <row r="145" spans="1:15" s="231" customFormat="1" ht="11.25">
      <c r="A145" s="166"/>
      <c r="B145" s="185"/>
      <c r="C145" s="185"/>
      <c r="D145" s="185"/>
      <c r="E145" s="185"/>
      <c r="F145" s="185"/>
      <c r="G145" s="185"/>
      <c r="H145" s="254"/>
      <c r="I145" s="256"/>
      <c r="J145" s="140"/>
      <c r="K145" s="185"/>
      <c r="L145" s="229" t="str">
        <f t="shared" si="6"/>
        <v/>
      </c>
      <c r="M145" s="230" t="s">
        <v>119</v>
      </c>
      <c r="N145" s="228" t="str">
        <f t="shared" si="7"/>
        <v/>
      </c>
      <c r="O145" s="228">
        <f t="shared" si="8"/>
        <v>0</v>
      </c>
    </row>
    <row r="146" spans="1:15" s="231" customFormat="1" ht="11.25">
      <c r="A146" s="166"/>
      <c r="B146" s="185"/>
      <c r="C146" s="185"/>
      <c r="D146" s="185"/>
      <c r="E146" s="185"/>
      <c r="F146" s="185"/>
      <c r="G146" s="185"/>
      <c r="H146" s="254"/>
      <c r="I146" s="256"/>
      <c r="J146" s="140"/>
      <c r="K146" s="185"/>
      <c r="L146" s="229" t="str">
        <f t="shared" si="6"/>
        <v/>
      </c>
      <c r="M146" s="230" t="s">
        <v>119</v>
      </c>
      <c r="N146" s="228" t="str">
        <f t="shared" si="7"/>
        <v/>
      </c>
      <c r="O146" s="228">
        <f t="shared" si="8"/>
        <v>0</v>
      </c>
    </row>
    <row r="147" spans="1:15" s="231" customFormat="1" ht="11.25">
      <c r="A147" s="166"/>
      <c r="B147" s="185"/>
      <c r="C147" s="185"/>
      <c r="D147" s="185"/>
      <c r="E147" s="185"/>
      <c r="F147" s="185"/>
      <c r="G147" s="185"/>
      <c r="H147" s="254"/>
      <c r="I147" s="256"/>
      <c r="J147" s="140"/>
      <c r="K147" s="185"/>
      <c r="L147" s="229" t="str">
        <f t="shared" si="6"/>
        <v/>
      </c>
      <c r="M147" s="230" t="s">
        <v>119</v>
      </c>
      <c r="N147" s="228" t="str">
        <f t="shared" si="7"/>
        <v/>
      </c>
      <c r="O147" s="228">
        <f t="shared" si="8"/>
        <v>0</v>
      </c>
    </row>
    <row r="148" spans="1:15" s="231" customFormat="1" ht="11.25">
      <c r="A148" s="166"/>
      <c r="B148" s="185"/>
      <c r="C148" s="185"/>
      <c r="D148" s="185"/>
      <c r="E148" s="185"/>
      <c r="F148" s="185"/>
      <c r="G148" s="185"/>
      <c r="H148" s="254"/>
      <c r="I148" s="256"/>
      <c r="J148" s="140"/>
      <c r="K148" s="185"/>
      <c r="L148" s="229" t="str">
        <f t="shared" si="6"/>
        <v/>
      </c>
      <c r="M148" s="230" t="s">
        <v>119</v>
      </c>
      <c r="N148" s="228" t="str">
        <f t="shared" si="7"/>
        <v/>
      </c>
      <c r="O148" s="228">
        <f t="shared" si="8"/>
        <v>0</v>
      </c>
    </row>
    <row r="149" spans="1:15" s="231" customFormat="1" ht="11.25">
      <c r="A149" s="166"/>
      <c r="B149" s="185"/>
      <c r="C149" s="185"/>
      <c r="D149" s="185"/>
      <c r="E149" s="185"/>
      <c r="F149" s="185"/>
      <c r="G149" s="185"/>
      <c r="H149" s="254"/>
      <c r="I149" s="256"/>
      <c r="J149" s="140"/>
      <c r="K149" s="185"/>
      <c r="L149" s="229" t="str">
        <f t="shared" si="6"/>
        <v/>
      </c>
      <c r="M149" s="230" t="s">
        <v>119</v>
      </c>
      <c r="N149" s="228" t="str">
        <f t="shared" si="7"/>
        <v/>
      </c>
      <c r="O149" s="228">
        <f t="shared" si="8"/>
        <v>0</v>
      </c>
    </row>
    <row r="150" spans="1:15" s="231" customFormat="1" ht="11.25">
      <c r="A150" s="166"/>
      <c r="B150" s="185"/>
      <c r="C150" s="185"/>
      <c r="D150" s="185"/>
      <c r="E150" s="185"/>
      <c r="F150" s="185"/>
      <c r="G150" s="185"/>
      <c r="H150" s="254"/>
      <c r="I150" s="256"/>
      <c r="J150" s="140"/>
      <c r="K150" s="185"/>
      <c r="L150" s="229" t="str">
        <f t="shared" si="6"/>
        <v/>
      </c>
      <c r="M150" s="230" t="s">
        <v>119</v>
      </c>
      <c r="N150" s="228" t="str">
        <f t="shared" si="7"/>
        <v/>
      </c>
      <c r="O150" s="228">
        <f t="shared" si="8"/>
        <v>0</v>
      </c>
    </row>
    <row r="151" spans="1:15" s="231" customFormat="1" ht="11.25">
      <c r="A151" s="166"/>
      <c r="B151" s="185"/>
      <c r="C151" s="185"/>
      <c r="D151" s="185"/>
      <c r="E151" s="185"/>
      <c r="F151" s="185"/>
      <c r="G151" s="185"/>
      <c r="H151" s="254"/>
      <c r="I151" s="256"/>
      <c r="J151" s="140"/>
      <c r="K151" s="185"/>
      <c r="L151" s="229" t="str">
        <f t="shared" si="6"/>
        <v/>
      </c>
      <c r="M151" s="230" t="s">
        <v>119</v>
      </c>
      <c r="N151" s="228" t="str">
        <f t="shared" si="7"/>
        <v/>
      </c>
      <c r="O151" s="228">
        <f t="shared" si="8"/>
        <v>0</v>
      </c>
    </row>
    <row r="152" spans="1:15" s="231" customFormat="1" ht="11.25">
      <c r="A152" s="166"/>
      <c r="B152" s="185"/>
      <c r="C152" s="185"/>
      <c r="D152" s="185"/>
      <c r="E152" s="185"/>
      <c r="F152" s="185"/>
      <c r="G152" s="185"/>
      <c r="H152" s="254"/>
      <c r="I152" s="256"/>
      <c r="J152" s="140"/>
      <c r="K152" s="185"/>
      <c r="L152" s="229" t="str">
        <f t="shared" si="6"/>
        <v/>
      </c>
      <c r="M152" s="230" t="s">
        <v>119</v>
      </c>
      <c r="N152" s="228" t="str">
        <f t="shared" si="7"/>
        <v/>
      </c>
      <c r="O152" s="228">
        <f t="shared" si="8"/>
        <v>0</v>
      </c>
    </row>
    <row r="153" spans="1:15" s="231" customFormat="1" ht="11.25">
      <c r="A153" s="166"/>
      <c r="B153" s="185"/>
      <c r="C153" s="185"/>
      <c r="D153" s="185"/>
      <c r="E153" s="185"/>
      <c r="F153" s="185"/>
      <c r="G153" s="185"/>
      <c r="H153" s="254"/>
      <c r="I153" s="256"/>
      <c r="J153" s="140"/>
      <c r="K153" s="185"/>
      <c r="L153" s="229" t="str">
        <f t="shared" si="6"/>
        <v/>
      </c>
      <c r="M153" s="230" t="s">
        <v>119</v>
      </c>
      <c r="N153" s="228" t="str">
        <f t="shared" si="7"/>
        <v/>
      </c>
      <c r="O153" s="228">
        <f t="shared" si="8"/>
        <v>0</v>
      </c>
    </row>
    <row r="154" spans="1:15" s="231" customFormat="1" ht="11.25">
      <c r="A154" s="166"/>
      <c r="B154" s="185"/>
      <c r="C154" s="185"/>
      <c r="D154" s="185"/>
      <c r="E154" s="185"/>
      <c r="F154" s="185"/>
      <c r="G154" s="185"/>
      <c r="H154" s="254"/>
      <c r="I154" s="256"/>
      <c r="J154" s="140"/>
      <c r="K154" s="185"/>
      <c r="L154" s="229" t="str">
        <f t="shared" si="6"/>
        <v/>
      </c>
      <c r="M154" s="230" t="s">
        <v>119</v>
      </c>
      <c r="N154" s="228" t="str">
        <f t="shared" si="7"/>
        <v/>
      </c>
      <c r="O154" s="228">
        <f t="shared" si="8"/>
        <v>0</v>
      </c>
    </row>
    <row r="155" spans="1:15" s="231" customFormat="1" ht="11.25">
      <c r="A155" s="166"/>
      <c r="B155" s="185"/>
      <c r="C155" s="185"/>
      <c r="D155" s="185"/>
      <c r="E155" s="185"/>
      <c r="F155" s="185"/>
      <c r="G155" s="185"/>
      <c r="H155" s="254"/>
      <c r="I155" s="256"/>
      <c r="J155" s="140"/>
      <c r="K155" s="185"/>
      <c r="L155" s="229" t="str">
        <f t="shared" si="6"/>
        <v/>
      </c>
      <c r="M155" s="230" t="s">
        <v>119</v>
      </c>
      <c r="N155" s="228" t="str">
        <f t="shared" si="7"/>
        <v/>
      </c>
      <c r="O155" s="228">
        <f t="shared" si="8"/>
        <v>0</v>
      </c>
    </row>
    <row r="156" spans="1:15" s="231" customFormat="1" ht="11.25">
      <c r="A156" s="166"/>
      <c r="B156" s="185"/>
      <c r="C156" s="185"/>
      <c r="D156" s="185"/>
      <c r="E156" s="185"/>
      <c r="F156" s="185"/>
      <c r="G156" s="185"/>
      <c r="H156" s="254"/>
      <c r="I156" s="256"/>
      <c r="J156" s="140"/>
      <c r="K156" s="185"/>
      <c r="L156" s="229" t="str">
        <f t="shared" si="6"/>
        <v/>
      </c>
      <c r="M156" s="230" t="s">
        <v>119</v>
      </c>
      <c r="N156" s="228" t="str">
        <f t="shared" si="7"/>
        <v/>
      </c>
      <c r="O156" s="228">
        <f t="shared" si="8"/>
        <v>0</v>
      </c>
    </row>
    <row r="157" spans="1:15" s="231" customFormat="1" ht="11.25">
      <c r="A157" s="166"/>
      <c r="B157" s="185"/>
      <c r="C157" s="185"/>
      <c r="D157" s="185"/>
      <c r="E157" s="185"/>
      <c r="F157" s="185"/>
      <c r="G157" s="185"/>
      <c r="H157" s="254"/>
      <c r="I157" s="256"/>
      <c r="J157" s="140"/>
      <c r="K157" s="185"/>
      <c r="L157" s="229" t="str">
        <f t="shared" si="6"/>
        <v/>
      </c>
      <c r="M157" s="230" t="s">
        <v>119</v>
      </c>
      <c r="N157" s="228" t="str">
        <f t="shared" si="7"/>
        <v/>
      </c>
      <c r="O157" s="228">
        <f t="shared" si="8"/>
        <v>0</v>
      </c>
    </row>
    <row r="158" spans="1:15" s="231" customFormat="1" ht="11.25">
      <c r="A158" s="166"/>
      <c r="B158" s="185"/>
      <c r="C158" s="185"/>
      <c r="D158" s="185"/>
      <c r="E158" s="185"/>
      <c r="F158" s="185"/>
      <c r="G158" s="185"/>
      <c r="H158" s="254"/>
      <c r="I158" s="256"/>
      <c r="J158" s="140"/>
      <c r="K158" s="185"/>
      <c r="L158" s="229" t="str">
        <f t="shared" si="6"/>
        <v/>
      </c>
      <c r="M158" s="230" t="s">
        <v>119</v>
      </c>
      <c r="N158" s="228" t="str">
        <f t="shared" si="7"/>
        <v/>
      </c>
      <c r="O158" s="228">
        <f t="shared" si="8"/>
        <v>0</v>
      </c>
    </row>
    <row r="159" spans="1:15" s="231" customFormat="1" ht="11.25">
      <c r="A159" s="166"/>
      <c r="B159" s="185"/>
      <c r="C159" s="185"/>
      <c r="D159" s="185"/>
      <c r="E159" s="185"/>
      <c r="F159" s="185"/>
      <c r="G159" s="185"/>
      <c r="H159" s="254"/>
      <c r="I159" s="256"/>
      <c r="J159" s="140"/>
      <c r="K159" s="185"/>
      <c r="L159" s="229" t="str">
        <f t="shared" si="6"/>
        <v/>
      </c>
      <c r="M159" s="230" t="s">
        <v>119</v>
      </c>
      <c r="N159" s="228" t="str">
        <f t="shared" si="7"/>
        <v/>
      </c>
      <c r="O159" s="228">
        <f t="shared" si="8"/>
        <v>0</v>
      </c>
    </row>
    <row r="160" spans="1:15" s="231" customFormat="1" ht="11.25">
      <c r="A160" s="166"/>
      <c r="B160" s="185"/>
      <c r="C160" s="185"/>
      <c r="D160" s="185"/>
      <c r="E160" s="185"/>
      <c r="F160" s="185"/>
      <c r="G160" s="185"/>
      <c r="H160" s="254"/>
      <c r="I160" s="256"/>
      <c r="J160" s="140"/>
      <c r="K160" s="185"/>
      <c r="L160" s="229" t="str">
        <f t="shared" si="6"/>
        <v/>
      </c>
      <c r="M160" s="230" t="s">
        <v>119</v>
      </c>
      <c r="N160" s="228" t="str">
        <f t="shared" si="7"/>
        <v/>
      </c>
      <c r="O160" s="228">
        <f t="shared" si="8"/>
        <v>0</v>
      </c>
    </row>
    <row r="161" spans="1:15" s="231" customFormat="1" ht="11.25">
      <c r="A161" s="166"/>
      <c r="B161" s="185"/>
      <c r="C161" s="185"/>
      <c r="D161" s="185"/>
      <c r="E161" s="185"/>
      <c r="F161" s="185"/>
      <c r="G161" s="185"/>
      <c r="H161" s="254"/>
      <c r="I161" s="256"/>
      <c r="J161" s="140"/>
      <c r="K161" s="185"/>
      <c r="L161" s="229" t="str">
        <f t="shared" si="6"/>
        <v/>
      </c>
      <c r="M161" s="230" t="s">
        <v>119</v>
      </c>
      <c r="N161" s="228" t="str">
        <f t="shared" si="7"/>
        <v/>
      </c>
      <c r="O161" s="228">
        <f t="shared" si="8"/>
        <v>0</v>
      </c>
    </row>
    <row r="162" spans="1:15" s="231" customFormat="1" ht="11.25">
      <c r="A162" s="166"/>
      <c r="B162" s="185"/>
      <c r="C162" s="185"/>
      <c r="D162" s="185"/>
      <c r="E162" s="185"/>
      <c r="F162" s="185"/>
      <c r="G162" s="185"/>
      <c r="H162" s="254"/>
      <c r="I162" s="256"/>
      <c r="J162" s="140"/>
      <c r="K162" s="185"/>
      <c r="L162" s="229" t="str">
        <f t="shared" si="6"/>
        <v/>
      </c>
      <c r="M162" s="230" t="s">
        <v>119</v>
      </c>
      <c r="N162" s="228" t="str">
        <f t="shared" si="7"/>
        <v/>
      </c>
      <c r="O162" s="228">
        <f t="shared" si="8"/>
        <v>0</v>
      </c>
    </row>
    <row r="163" spans="1:15" s="231" customFormat="1" ht="11.25">
      <c r="A163" s="166"/>
      <c r="B163" s="185"/>
      <c r="C163" s="185"/>
      <c r="D163" s="185"/>
      <c r="E163" s="185"/>
      <c r="F163" s="185"/>
      <c r="G163" s="185"/>
      <c r="H163" s="254"/>
      <c r="I163" s="256"/>
      <c r="J163" s="140"/>
      <c r="K163" s="185"/>
      <c r="L163" s="229" t="str">
        <f t="shared" si="6"/>
        <v/>
      </c>
      <c r="M163" s="230" t="s">
        <v>119</v>
      </c>
      <c r="N163" s="228" t="str">
        <f t="shared" si="7"/>
        <v/>
      </c>
      <c r="O163" s="228">
        <f t="shared" si="8"/>
        <v>0</v>
      </c>
    </row>
    <row r="164" spans="1:15" s="231" customFormat="1" ht="11.25">
      <c r="A164" s="166"/>
      <c r="B164" s="185"/>
      <c r="C164" s="185"/>
      <c r="D164" s="185"/>
      <c r="E164" s="185"/>
      <c r="F164" s="185"/>
      <c r="G164" s="185"/>
      <c r="H164" s="254"/>
      <c r="I164" s="256"/>
      <c r="J164" s="140"/>
      <c r="K164" s="185"/>
      <c r="L164" s="229" t="str">
        <f t="shared" si="6"/>
        <v/>
      </c>
      <c r="M164" s="230" t="s">
        <v>119</v>
      </c>
      <c r="N164" s="228" t="str">
        <f t="shared" si="7"/>
        <v/>
      </c>
      <c r="O164" s="228">
        <f t="shared" si="8"/>
        <v>0</v>
      </c>
    </row>
    <row r="165" spans="1:15" s="231" customFormat="1" ht="11.25">
      <c r="A165" s="166"/>
      <c r="B165" s="185"/>
      <c r="C165" s="185"/>
      <c r="D165" s="185"/>
      <c r="E165" s="185"/>
      <c r="F165" s="185"/>
      <c r="G165" s="185"/>
      <c r="H165" s="254"/>
      <c r="I165" s="256"/>
      <c r="J165" s="140"/>
      <c r="K165" s="185"/>
      <c r="L165" s="229" t="str">
        <f t="shared" si="6"/>
        <v/>
      </c>
      <c r="M165" s="230" t="s">
        <v>119</v>
      </c>
      <c r="N165" s="228" t="str">
        <f t="shared" si="7"/>
        <v/>
      </c>
      <c r="O165" s="228">
        <f t="shared" si="8"/>
        <v>0</v>
      </c>
    </row>
    <row r="166" spans="1:15" s="231" customFormat="1" ht="11.25">
      <c r="A166" s="166"/>
      <c r="B166" s="185"/>
      <c r="C166" s="185"/>
      <c r="D166" s="185"/>
      <c r="E166" s="185"/>
      <c r="F166" s="185"/>
      <c r="G166" s="185"/>
      <c r="H166" s="254"/>
      <c r="I166" s="256"/>
      <c r="J166" s="140"/>
      <c r="K166" s="185"/>
      <c r="L166" s="229" t="str">
        <f t="shared" si="6"/>
        <v/>
      </c>
      <c r="M166" s="230" t="s">
        <v>119</v>
      </c>
      <c r="N166" s="228" t="str">
        <f t="shared" si="7"/>
        <v/>
      </c>
      <c r="O166" s="228">
        <f t="shared" si="8"/>
        <v>0</v>
      </c>
    </row>
    <row r="167" spans="1:15" s="231" customFormat="1" ht="11.25">
      <c r="A167" s="166"/>
      <c r="B167" s="185"/>
      <c r="C167" s="185"/>
      <c r="D167" s="185"/>
      <c r="E167" s="185"/>
      <c r="F167" s="185"/>
      <c r="G167" s="185"/>
      <c r="H167" s="254"/>
      <c r="I167" s="256"/>
      <c r="J167" s="140"/>
      <c r="K167" s="185"/>
      <c r="L167" s="229" t="str">
        <f t="shared" si="6"/>
        <v/>
      </c>
      <c r="M167" s="230" t="s">
        <v>119</v>
      </c>
      <c r="N167" s="228" t="str">
        <f t="shared" si="7"/>
        <v/>
      </c>
      <c r="O167" s="228">
        <f t="shared" si="8"/>
        <v>0</v>
      </c>
    </row>
    <row r="168" spans="1:15" s="231" customFormat="1" ht="11.25">
      <c r="A168" s="166"/>
      <c r="B168" s="185"/>
      <c r="C168" s="185"/>
      <c r="D168" s="185"/>
      <c r="E168" s="185"/>
      <c r="F168" s="185"/>
      <c r="G168" s="185"/>
      <c r="H168" s="254"/>
      <c r="I168" s="256"/>
      <c r="J168" s="140"/>
      <c r="K168" s="185"/>
      <c r="L168" s="229" t="str">
        <f t="shared" si="6"/>
        <v/>
      </c>
      <c r="M168" s="230" t="s">
        <v>119</v>
      </c>
      <c r="N168" s="228" t="str">
        <f t="shared" si="7"/>
        <v/>
      </c>
      <c r="O168" s="228">
        <f t="shared" si="8"/>
        <v>0</v>
      </c>
    </row>
    <row r="169" spans="1:15" s="231" customFormat="1" ht="11.25">
      <c r="A169" s="166"/>
      <c r="B169" s="185"/>
      <c r="C169" s="185"/>
      <c r="D169" s="185"/>
      <c r="E169" s="185"/>
      <c r="F169" s="185"/>
      <c r="G169" s="185"/>
      <c r="H169" s="254"/>
      <c r="I169" s="256"/>
      <c r="J169" s="140"/>
      <c r="K169" s="185"/>
      <c r="L169" s="229" t="str">
        <f t="shared" si="6"/>
        <v/>
      </c>
      <c r="M169" s="230" t="s">
        <v>119</v>
      </c>
      <c r="N169" s="228" t="str">
        <f t="shared" si="7"/>
        <v/>
      </c>
      <c r="O169" s="228">
        <f t="shared" si="8"/>
        <v>0</v>
      </c>
    </row>
    <row r="170" spans="1:15" s="231" customFormat="1" ht="11.25">
      <c r="A170" s="166"/>
      <c r="B170" s="185"/>
      <c r="C170" s="185"/>
      <c r="D170" s="185"/>
      <c r="E170" s="185"/>
      <c r="F170" s="185"/>
      <c r="G170" s="185"/>
      <c r="H170" s="254"/>
      <c r="I170" s="256"/>
      <c r="J170" s="140"/>
      <c r="K170" s="185"/>
      <c r="L170" s="229" t="str">
        <f t="shared" si="6"/>
        <v/>
      </c>
      <c r="M170" s="230" t="s">
        <v>119</v>
      </c>
      <c r="N170" s="228" t="str">
        <f t="shared" si="7"/>
        <v/>
      </c>
      <c r="O170" s="228">
        <f t="shared" si="8"/>
        <v>0</v>
      </c>
    </row>
    <row r="171" spans="1:15" s="231" customFormat="1" ht="11.25">
      <c r="A171" s="166"/>
      <c r="B171" s="185"/>
      <c r="C171" s="185"/>
      <c r="D171" s="185"/>
      <c r="E171" s="185"/>
      <c r="F171" s="185"/>
      <c r="G171" s="185"/>
      <c r="H171" s="254"/>
      <c r="I171" s="256"/>
      <c r="J171" s="140"/>
      <c r="K171" s="185"/>
      <c r="L171" s="229" t="str">
        <f t="shared" si="6"/>
        <v/>
      </c>
      <c r="M171" s="230" t="s">
        <v>119</v>
      </c>
      <c r="N171" s="228" t="str">
        <f t="shared" si="7"/>
        <v/>
      </c>
      <c r="O171" s="228">
        <f t="shared" si="8"/>
        <v>0</v>
      </c>
    </row>
    <row r="172" spans="1:15" s="231" customFormat="1" ht="11.25">
      <c r="A172" s="166"/>
      <c r="B172" s="185"/>
      <c r="C172" s="185"/>
      <c r="D172" s="185"/>
      <c r="E172" s="185"/>
      <c r="F172" s="185"/>
      <c r="G172" s="185"/>
      <c r="H172" s="254"/>
      <c r="I172" s="256"/>
      <c r="J172" s="140"/>
      <c r="K172" s="185"/>
      <c r="L172" s="229" t="str">
        <f t="shared" si="6"/>
        <v/>
      </c>
      <c r="M172" s="230" t="s">
        <v>119</v>
      </c>
      <c r="N172" s="228" t="str">
        <f t="shared" si="7"/>
        <v/>
      </c>
      <c r="O172" s="228">
        <f t="shared" si="8"/>
        <v>0</v>
      </c>
    </row>
    <row r="173" spans="1:15" s="231" customFormat="1" ht="11.25">
      <c r="A173" s="166"/>
      <c r="B173" s="185"/>
      <c r="C173" s="185"/>
      <c r="D173" s="185"/>
      <c r="E173" s="185"/>
      <c r="F173" s="185"/>
      <c r="G173" s="185"/>
      <c r="H173" s="254"/>
      <c r="I173" s="256"/>
      <c r="J173" s="140"/>
      <c r="K173" s="185"/>
      <c r="L173" s="229" t="str">
        <f t="shared" si="6"/>
        <v/>
      </c>
      <c r="M173" s="230" t="s">
        <v>119</v>
      </c>
      <c r="N173" s="228" t="str">
        <f t="shared" si="7"/>
        <v/>
      </c>
      <c r="O173" s="228">
        <f t="shared" si="8"/>
        <v>0</v>
      </c>
    </row>
    <row r="174" spans="1:15" s="231" customFormat="1" ht="11.25">
      <c r="A174" s="166"/>
      <c r="B174" s="185"/>
      <c r="C174" s="185"/>
      <c r="D174" s="185"/>
      <c r="E174" s="185"/>
      <c r="F174" s="185"/>
      <c r="G174" s="185"/>
      <c r="H174" s="254"/>
      <c r="I174" s="256"/>
      <c r="J174" s="140"/>
      <c r="K174" s="185"/>
      <c r="L174" s="229" t="str">
        <f t="shared" si="6"/>
        <v/>
      </c>
      <c r="M174" s="230" t="s">
        <v>119</v>
      </c>
      <c r="N174" s="228" t="str">
        <f t="shared" si="7"/>
        <v/>
      </c>
      <c r="O174" s="228">
        <f t="shared" si="8"/>
        <v>0</v>
      </c>
    </row>
    <row r="175" spans="1:15" s="231" customFormat="1" ht="11.25">
      <c r="A175" s="166"/>
      <c r="B175" s="185"/>
      <c r="C175" s="185"/>
      <c r="D175" s="185"/>
      <c r="E175" s="185"/>
      <c r="F175" s="185"/>
      <c r="G175" s="185"/>
      <c r="H175" s="254"/>
      <c r="I175" s="256"/>
      <c r="J175" s="140"/>
      <c r="K175" s="185"/>
      <c r="L175" s="229" t="str">
        <f t="shared" si="6"/>
        <v/>
      </c>
      <c r="M175" s="230" t="s">
        <v>119</v>
      </c>
      <c r="N175" s="228" t="str">
        <f t="shared" si="7"/>
        <v/>
      </c>
      <c r="O175" s="228">
        <f t="shared" si="8"/>
        <v>0</v>
      </c>
    </row>
    <row r="176" spans="1:15" s="231" customFormat="1" ht="11.25">
      <c r="A176" s="166"/>
      <c r="B176" s="185"/>
      <c r="C176" s="185"/>
      <c r="D176" s="185"/>
      <c r="E176" s="185"/>
      <c r="F176" s="185"/>
      <c r="G176" s="185"/>
      <c r="H176" s="254"/>
      <c r="I176" s="256"/>
      <c r="J176" s="140"/>
      <c r="K176" s="185"/>
      <c r="L176" s="229" t="str">
        <f t="shared" si="6"/>
        <v/>
      </c>
      <c r="M176" s="230" t="s">
        <v>119</v>
      </c>
      <c r="N176" s="228" t="str">
        <f t="shared" si="7"/>
        <v/>
      </c>
      <c r="O176" s="228">
        <f t="shared" si="8"/>
        <v>0</v>
      </c>
    </row>
    <row r="177" spans="1:15" s="231" customFormat="1" ht="11.25">
      <c r="A177" s="166"/>
      <c r="B177" s="185"/>
      <c r="C177" s="185"/>
      <c r="D177" s="185"/>
      <c r="E177" s="185"/>
      <c r="F177" s="185"/>
      <c r="G177" s="185"/>
      <c r="H177" s="254"/>
      <c r="I177" s="256"/>
      <c r="J177" s="140"/>
      <c r="K177" s="185"/>
      <c r="L177" s="229" t="str">
        <f t="shared" si="6"/>
        <v/>
      </c>
      <c r="M177" s="230" t="s">
        <v>119</v>
      </c>
      <c r="N177" s="228" t="str">
        <f t="shared" si="7"/>
        <v/>
      </c>
      <c r="O177" s="228">
        <f t="shared" si="8"/>
        <v>0</v>
      </c>
    </row>
    <row r="178" spans="1:15" s="231" customFormat="1" ht="11.25">
      <c r="A178" s="166"/>
      <c r="B178" s="185"/>
      <c r="C178" s="185"/>
      <c r="D178" s="185"/>
      <c r="E178" s="185"/>
      <c r="F178" s="185"/>
      <c r="G178" s="185"/>
      <c r="H178" s="254"/>
      <c r="I178" s="256"/>
      <c r="J178" s="140"/>
      <c r="K178" s="185"/>
      <c r="L178" s="229" t="str">
        <f t="shared" si="6"/>
        <v/>
      </c>
      <c r="M178" s="230" t="s">
        <v>119</v>
      </c>
      <c r="N178" s="228" t="str">
        <f t="shared" si="7"/>
        <v/>
      </c>
      <c r="O178" s="228">
        <f t="shared" si="8"/>
        <v>0</v>
      </c>
    </row>
    <row r="179" spans="1:15" s="231" customFormat="1" ht="11.25">
      <c r="A179" s="166"/>
      <c r="B179" s="185"/>
      <c r="C179" s="185"/>
      <c r="D179" s="185"/>
      <c r="E179" s="185"/>
      <c r="F179" s="185"/>
      <c r="G179" s="185"/>
      <c r="H179" s="254"/>
      <c r="I179" s="256"/>
      <c r="J179" s="140"/>
      <c r="K179" s="185"/>
      <c r="L179" s="229" t="str">
        <f t="shared" si="6"/>
        <v/>
      </c>
      <c r="M179" s="230" t="s">
        <v>119</v>
      </c>
      <c r="N179" s="228" t="str">
        <f t="shared" si="7"/>
        <v/>
      </c>
      <c r="O179" s="228">
        <f t="shared" si="8"/>
        <v>0</v>
      </c>
    </row>
    <row r="180" spans="1:15" s="231" customFormat="1" ht="11.25">
      <c r="A180" s="166"/>
      <c r="B180" s="185"/>
      <c r="C180" s="185"/>
      <c r="D180" s="185"/>
      <c r="E180" s="185"/>
      <c r="F180" s="185"/>
      <c r="G180" s="185"/>
      <c r="H180" s="254"/>
      <c r="I180" s="256"/>
      <c r="J180" s="140"/>
      <c r="K180" s="185"/>
      <c r="L180" s="229" t="str">
        <f t="shared" si="6"/>
        <v/>
      </c>
      <c r="M180" s="230" t="s">
        <v>119</v>
      </c>
      <c r="N180" s="228" t="str">
        <f t="shared" si="7"/>
        <v/>
      </c>
      <c r="O180" s="228">
        <f t="shared" si="8"/>
        <v>0</v>
      </c>
    </row>
    <row r="181" spans="1:15" s="231" customFormat="1" ht="11.25">
      <c r="A181" s="166"/>
      <c r="B181" s="185"/>
      <c r="C181" s="185"/>
      <c r="D181" s="185"/>
      <c r="E181" s="185"/>
      <c r="F181" s="185"/>
      <c r="G181" s="185"/>
      <c r="H181" s="254"/>
      <c r="I181" s="256"/>
      <c r="J181" s="140"/>
      <c r="K181" s="185"/>
      <c r="L181" s="229" t="str">
        <f t="shared" si="6"/>
        <v/>
      </c>
      <c r="M181" s="230" t="s">
        <v>119</v>
      </c>
      <c r="N181" s="228" t="str">
        <f t="shared" si="7"/>
        <v/>
      </c>
      <c r="O181" s="228">
        <f t="shared" si="8"/>
        <v>0</v>
      </c>
    </row>
    <row r="182" spans="1:15" s="231" customFormat="1" ht="11.25">
      <c r="A182" s="166"/>
      <c r="B182" s="185"/>
      <c r="C182" s="185"/>
      <c r="D182" s="185"/>
      <c r="E182" s="185"/>
      <c r="F182" s="185"/>
      <c r="G182" s="185"/>
      <c r="H182" s="254"/>
      <c r="I182" s="256"/>
      <c r="J182" s="140"/>
      <c r="K182" s="185"/>
      <c r="L182" s="229" t="str">
        <f t="shared" si="6"/>
        <v/>
      </c>
      <c r="M182" s="230" t="s">
        <v>119</v>
      </c>
      <c r="N182" s="228" t="str">
        <f t="shared" si="7"/>
        <v/>
      </c>
      <c r="O182" s="228">
        <f t="shared" si="8"/>
        <v>0</v>
      </c>
    </row>
    <row r="183" spans="1:15" s="231" customFormat="1" ht="11.25">
      <c r="A183" s="166"/>
      <c r="B183" s="185"/>
      <c r="C183" s="185"/>
      <c r="D183" s="185"/>
      <c r="E183" s="185"/>
      <c r="F183" s="185"/>
      <c r="G183" s="185"/>
      <c r="H183" s="254"/>
      <c r="I183" s="256"/>
      <c r="J183" s="140"/>
      <c r="K183" s="185"/>
      <c r="L183" s="229" t="str">
        <f t="shared" si="6"/>
        <v/>
      </c>
      <c r="M183" s="230" t="s">
        <v>119</v>
      </c>
      <c r="N183" s="228" t="str">
        <f t="shared" si="7"/>
        <v/>
      </c>
      <c r="O183" s="228">
        <f t="shared" si="8"/>
        <v>0</v>
      </c>
    </row>
    <row r="184" spans="1:15" s="231" customFormat="1" ht="11.25">
      <c r="A184" s="166"/>
      <c r="B184" s="185"/>
      <c r="C184" s="185"/>
      <c r="D184" s="185"/>
      <c r="E184" s="185"/>
      <c r="F184" s="185"/>
      <c r="G184" s="185"/>
      <c r="H184" s="254"/>
      <c r="I184" s="256"/>
      <c r="J184" s="140"/>
      <c r="K184" s="185"/>
      <c r="L184" s="229" t="str">
        <f t="shared" si="6"/>
        <v/>
      </c>
      <c r="M184" s="230" t="s">
        <v>119</v>
      </c>
      <c r="N184" s="228" t="str">
        <f t="shared" si="7"/>
        <v/>
      </c>
      <c r="O184" s="228">
        <f t="shared" si="8"/>
        <v>0</v>
      </c>
    </row>
    <row r="185" spans="1:15" s="231" customFormat="1" ht="11.25">
      <c r="A185" s="166"/>
      <c r="B185" s="185"/>
      <c r="C185" s="185"/>
      <c r="D185" s="185"/>
      <c r="E185" s="185"/>
      <c r="F185" s="185"/>
      <c r="G185" s="185"/>
      <c r="H185" s="254"/>
      <c r="I185" s="256"/>
      <c r="J185" s="140"/>
      <c r="K185" s="185"/>
      <c r="L185" s="229" t="str">
        <f t="shared" si="6"/>
        <v/>
      </c>
      <c r="M185" s="230" t="s">
        <v>119</v>
      </c>
      <c r="N185" s="228" t="str">
        <f t="shared" si="7"/>
        <v/>
      </c>
      <c r="O185" s="228">
        <f t="shared" si="8"/>
        <v>0</v>
      </c>
    </row>
    <row r="186" spans="1:15" s="231" customFormat="1" ht="11.25">
      <c r="A186" s="166"/>
      <c r="B186" s="185"/>
      <c r="C186" s="185"/>
      <c r="D186" s="185"/>
      <c r="E186" s="185"/>
      <c r="F186" s="185"/>
      <c r="G186" s="185"/>
      <c r="H186" s="254"/>
      <c r="I186" s="256"/>
      <c r="J186" s="140"/>
      <c r="K186" s="185"/>
      <c r="L186" s="229" t="str">
        <f t="shared" si="6"/>
        <v/>
      </c>
      <c r="M186" s="230" t="s">
        <v>119</v>
      </c>
      <c r="N186" s="228" t="str">
        <f t="shared" si="7"/>
        <v/>
      </c>
      <c r="O186" s="228">
        <f t="shared" si="8"/>
        <v>0</v>
      </c>
    </row>
    <row r="187" spans="1:15" s="231" customFormat="1" ht="11.25">
      <c r="A187" s="166"/>
      <c r="B187" s="185"/>
      <c r="C187" s="185"/>
      <c r="D187" s="185"/>
      <c r="E187" s="185"/>
      <c r="F187" s="185"/>
      <c r="G187" s="185"/>
      <c r="H187" s="254"/>
      <c r="I187" s="256"/>
      <c r="J187" s="140"/>
      <c r="K187" s="185"/>
      <c r="L187" s="229" t="str">
        <f t="shared" si="6"/>
        <v/>
      </c>
      <c r="M187" s="230" t="s">
        <v>119</v>
      </c>
      <c r="N187" s="228" t="str">
        <f t="shared" si="7"/>
        <v/>
      </c>
      <c r="O187" s="228">
        <f t="shared" si="8"/>
        <v>0</v>
      </c>
    </row>
    <row r="188" spans="1:15" s="231" customFormat="1" ht="11.25">
      <c r="A188" s="166"/>
      <c r="B188" s="185"/>
      <c r="C188" s="185"/>
      <c r="D188" s="185"/>
      <c r="E188" s="185"/>
      <c r="F188" s="185"/>
      <c r="G188" s="185"/>
      <c r="H188" s="254"/>
      <c r="I188" s="256"/>
      <c r="J188" s="140"/>
      <c r="K188" s="185"/>
      <c r="L188" s="229" t="str">
        <f t="shared" si="6"/>
        <v/>
      </c>
      <c r="M188" s="230" t="s">
        <v>119</v>
      </c>
      <c r="N188" s="228" t="str">
        <f t="shared" si="7"/>
        <v/>
      </c>
      <c r="O188" s="228">
        <f t="shared" si="8"/>
        <v>0</v>
      </c>
    </row>
    <row r="189" spans="1:15" s="231" customFormat="1" ht="11.25">
      <c r="A189" s="166"/>
      <c r="B189" s="185"/>
      <c r="C189" s="185"/>
      <c r="D189" s="185"/>
      <c r="E189" s="185"/>
      <c r="F189" s="185"/>
      <c r="G189" s="185"/>
      <c r="H189" s="254"/>
      <c r="I189" s="256"/>
      <c r="J189" s="140"/>
      <c r="K189" s="185"/>
      <c r="L189" s="229" t="str">
        <f t="shared" si="6"/>
        <v/>
      </c>
      <c r="M189" s="230" t="s">
        <v>119</v>
      </c>
      <c r="N189" s="228" t="str">
        <f t="shared" si="7"/>
        <v/>
      </c>
      <c r="O189" s="228">
        <f t="shared" si="8"/>
        <v>0</v>
      </c>
    </row>
    <row r="190" spans="1:15" s="231" customFormat="1" ht="11.25">
      <c r="A190" s="166"/>
      <c r="B190" s="185"/>
      <c r="C190" s="185"/>
      <c r="D190" s="185"/>
      <c r="E190" s="185"/>
      <c r="F190" s="185"/>
      <c r="G190" s="185"/>
      <c r="H190" s="254"/>
      <c r="I190" s="256"/>
      <c r="J190" s="140"/>
      <c r="K190" s="185"/>
      <c r="L190" s="229" t="str">
        <f t="shared" si="6"/>
        <v/>
      </c>
      <c r="M190" s="230" t="s">
        <v>119</v>
      </c>
      <c r="N190" s="228" t="str">
        <f t="shared" si="7"/>
        <v/>
      </c>
      <c r="O190" s="228">
        <f t="shared" si="8"/>
        <v>0</v>
      </c>
    </row>
    <row r="191" spans="1:15" s="231" customFormat="1" ht="11.25">
      <c r="A191" s="166"/>
      <c r="B191" s="185"/>
      <c r="C191" s="185"/>
      <c r="D191" s="185"/>
      <c r="E191" s="185"/>
      <c r="F191" s="185"/>
      <c r="G191" s="185"/>
      <c r="H191" s="254"/>
      <c r="I191" s="256"/>
      <c r="J191" s="140"/>
      <c r="K191" s="185"/>
      <c r="L191" s="229" t="str">
        <f t="shared" si="6"/>
        <v/>
      </c>
      <c r="M191" s="230" t="s">
        <v>119</v>
      </c>
      <c r="N191" s="228" t="str">
        <f t="shared" si="7"/>
        <v/>
      </c>
      <c r="O191" s="228">
        <f t="shared" si="8"/>
        <v>0</v>
      </c>
    </row>
    <row r="192" spans="1:15" s="231" customFormat="1" ht="11.25">
      <c r="A192" s="166"/>
      <c r="B192" s="185"/>
      <c r="C192" s="185"/>
      <c r="D192" s="185"/>
      <c r="E192" s="185"/>
      <c r="F192" s="185"/>
      <c r="G192" s="185"/>
      <c r="H192" s="254"/>
      <c r="I192" s="256"/>
      <c r="J192" s="140"/>
      <c r="K192" s="185"/>
      <c r="L192" s="229" t="str">
        <f t="shared" si="6"/>
        <v/>
      </c>
      <c r="M192" s="230" t="s">
        <v>119</v>
      </c>
      <c r="N192" s="228" t="str">
        <f t="shared" si="7"/>
        <v/>
      </c>
      <c r="O192" s="228">
        <f t="shared" si="8"/>
        <v>0</v>
      </c>
    </row>
    <row r="193" spans="1:15" s="231" customFormat="1" ht="11.25">
      <c r="A193" s="166"/>
      <c r="B193" s="185"/>
      <c r="C193" s="185"/>
      <c r="D193" s="185"/>
      <c r="E193" s="185"/>
      <c r="F193" s="185"/>
      <c r="G193" s="185"/>
      <c r="H193" s="254"/>
      <c r="I193" s="256"/>
      <c r="J193" s="140"/>
      <c r="K193" s="185"/>
      <c r="L193" s="229" t="str">
        <f t="shared" si="6"/>
        <v/>
      </c>
      <c r="M193" s="230" t="s">
        <v>119</v>
      </c>
      <c r="N193" s="228" t="str">
        <f t="shared" si="7"/>
        <v/>
      </c>
      <c r="O193" s="228">
        <f t="shared" si="8"/>
        <v>0</v>
      </c>
    </row>
    <row r="194" spans="1:15" s="231" customFormat="1" ht="11.25">
      <c r="A194" s="166"/>
      <c r="B194" s="185"/>
      <c r="C194" s="185"/>
      <c r="D194" s="185"/>
      <c r="E194" s="185"/>
      <c r="F194" s="185"/>
      <c r="G194" s="185"/>
      <c r="H194" s="254"/>
      <c r="I194" s="256"/>
      <c r="J194" s="140"/>
      <c r="K194" s="185"/>
      <c r="L194" s="229" t="str">
        <f t="shared" si="6"/>
        <v/>
      </c>
      <c r="M194" s="230" t="s">
        <v>119</v>
      </c>
      <c r="N194" s="228" t="str">
        <f t="shared" si="7"/>
        <v/>
      </c>
      <c r="O194" s="228">
        <f t="shared" si="8"/>
        <v>0</v>
      </c>
    </row>
    <row r="195" spans="1:15" s="231" customFormat="1" ht="11.25">
      <c r="A195" s="166"/>
      <c r="B195" s="185"/>
      <c r="C195" s="185"/>
      <c r="D195" s="185"/>
      <c r="E195" s="185"/>
      <c r="F195" s="185"/>
      <c r="G195" s="185"/>
      <c r="H195" s="254"/>
      <c r="I195" s="256"/>
      <c r="J195" s="140"/>
      <c r="K195" s="185"/>
      <c r="L195" s="229" t="str">
        <f t="shared" si="6"/>
        <v/>
      </c>
      <c r="M195" s="230" t="s">
        <v>119</v>
      </c>
      <c r="N195" s="228" t="str">
        <f t="shared" si="7"/>
        <v/>
      </c>
      <c r="O195" s="228">
        <f t="shared" si="8"/>
        <v>0</v>
      </c>
    </row>
    <row r="196" spans="1:15" s="231" customFormat="1" ht="11.25">
      <c r="A196" s="166"/>
      <c r="B196" s="185"/>
      <c r="C196" s="185"/>
      <c r="D196" s="185"/>
      <c r="E196" s="185"/>
      <c r="F196" s="185"/>
      <c r="G196" s="185"/>
      <c r="H196" s="254"/>
      <c r="I196" s="256"/>
      <c r="J196" s="140"/>
      <c r="K196" s="185"/>
      <c r="L196" s="229" t="str">
        <f t="shared" si="6"/>
        <v/>
      </c>
      <c r="M196" s="230" t="s">
        <v>119</v>
      </c>
      <c r="N196" s="228" t="str">
        <f t="shared" si="7"/>
        <v/>
      </c>
      <c r="O196" s="228">
        <f t="shared" si="8"/>
        <v>0</v>
      </c>
    </row>
    <row r="197" spans="1:15" s="231" customFormat="1" ht="11.25">
      <c r="A197" s="166"/>
      <c r="B197" s="185"/>
      <c r="C197" s="185"/>
      <c r="D197" s="185"/>
      <c r="E197" s="185"/>
      <c r="F197" s="185"/>
      <c r="G197" s="185"/>
      <c r="H197" s="254"/>
      <c r="I197" s="256"/>
      <c r="J197" s="140"/>
      <c r="K197" s="185"/>
      <c r="L197" s="229" t="str">
        <f t="shared" si="6"/>
        <v/>
      </c>
      <c r="M197" s="230" t="s">
        <v>119</v>
      </c>
      <c r="N197" s="228" t="str">
        <f t="shared" si="7"/>
        <v/>
      </c>
      <c r="O197" s="228">
        <f t="shared" si="8"/>
        <v>0</v>
      </c>
    </row>
    <row r="198" spans="1:15" s="231" customFormat="1" ht="11.25">
      <c r="A198" s="166"/>
      <c r="B198" s="185"/>
      <c r="C198" s="185"/>
      <c r="D198" s="185"/>
      <c r="E198" s="185"/>
      <c r="F198" s="185"/>
      <c r="G198" s="185"/>
      <c r="H198" s="254"/>
      <c r="I198" s="256"/>
      <c r="J198" s="140"/>
      <c r="K198" s="185"/>
      <c r="L198" s="229" t="str">
        <f t="shared" si="6"/>
        <v/>
      </c>
      <c r="M198" s="230" t="s">
        <v>119</v>
      </c>
      <c r="N198" s="228" t="str">
        <f t="shared" si="7"/>
        <v/>
      </c>
      <c r="O198" s="228">
        <f t="shared" si="8"/>
        <v>0</v>
      </c>
    </row>
    <row r="199" spans="1:15" s="231" customFormat="1" ht="11.25">
      <c r="A199" s="166"/>
      <c r="B199" s="185"/>
      <c r="C199" s="185"/>
      <c r="D199" s="185"/>
      <c r="E199" s="185"/>
      <c r="F199" s="185"/>
      <c r="G199" s="185"/>
      <c r="H199" s="254"/>
      <c r="I199" s="256"/>
      <c r="J199" s="140"/>
      <c r="K199" s="185"/>
      <c r="L199" s="229" t="str">
        <f t="shared" ref="L199:L262" si="9">LEFT(B199,2)</f>
        <v/>
      </c>
      <c r="M199" s="230" t="s">
        <v>119</v>
      </c>
      <c r="N199" s="228" t="str">
        <f t="shared" ref="N199:N262" si="10">RIGHT(F199,3)</f>
        <v/>
      </c>
      <c r="O199" s="228">
        <f t="shared" si="8"/>
        <v>0</v>
      </c>
    </row>
    <row r="200" spans="1:15" s="233" customFormat="1" ht="11.25">
      <c r="A200" s="166"/>
      <c r="B200" s="185"/>
      <c r="C200" s="185"/>
      <c r="D200" s="185"/>
      <c r="E200" s="185"/>
      <c r="F200" s="185"/>
      <c r="G200" s="185"/>
      <c r="H200" s="254"/>
      <c r="I200" s="256"/>
      <c r="J200" s="140"/>
      <c r="K200" s="185"/>
      <c r="L200" s="229" t="str">
        <f t="shared" si="9"/>
        <v/>
      </c>
      <c r="M200" s="232" t="s">
        <v>119</v>
      </c>
      <c r="N200" s="228" t="str">
        <f t="shared" si="10"/>
        <v/>
      </c>
      <c r="O200" s="139">
        <f t="shared" ref="O200:O263" si="11">H200*A200</f>
        <v>0</v>
      </c>
    </row>
    <row r="201" spans="1:15" s="231" customFormat="1" ht="11.25">
      <c r="A201" s="166"/>
      <c r="B201" s="234"/>
      <c r="C201" s="234"/>
      <c r="D201" s="234"/>
      <c r="E201" s="234"/>
      <c r="F201" s="234"/>
      <c r="G201" s="234"/>
      <c r="H201" s="255"/>
      <c r="I201" s="256"/>
      <c r="J201" s="140"/>
      <c r="K201" s="234"/>
      <c r="L201" s="229" t="str">
        <f t="shared" si="9"/>
        <v/>
      </c>
      <c r="M201" s="232" t="s">
        <v>119</v>
      </c>
      <c r="N201" s="228" t="str">
        <f t="shared" si="10"/>
        <v/>
      </c>
      <c r="O201" s="228">
        <f t="shared" si="11"/>
        <v>0</v>
      </c>
    </row>
    <row r="202" spans="1:15" s="231" customFormat="1" ht="11.25">
      <c r="A202" s="166"/>
      <c r="B202" s="234"/>
      <c r="C202" s="234"/>
      <c r="D202" s="234"/>
      <c r="E202" s="234"/>
      <c r="F202" s="234"/>
      <c r="G202" s="234"/>
      <c r="H202" s="255"/>
      <c r="I202" s="256"/>
      <c r="J202" s="140"/>
      <c r="K202" s="234"/>
      <c r="L202" s="229" t="str">
        <f t="shared" si="9"/>
        <v/>
      </c>
      <c r="M202" s="232" t="s">
        <v>119</v>
      </c>
      <c r="N202" s="228" t="str">
        <f t="shared" si="10"/>
        <v/>
      </c>
      <c r="O202" s="228">
        <f t="shared" si="11"/>
        <v>0</v>
      </c>
    </row>
    <row r="203" spans="1:15" s="231" customFormat="1" ht="11.25">
      <c r="A203" s="166"/>
      <c r="B203" s="234"/>
      <c r="C203" s="234"/>
      <c r="D203" s="234"/>
      <c r="E203" s="234"/>
      <c r="F203" s="234"/>
      <c r="G203" s="234"/>
      <c r="H203" s="255"/>
      <c r="I203" s="256"/>
      <c r="J203" s="140"/>
      <c r="K203" s="234"/>
      <c r="L203" s="229" t="str">
        <f t="shared" si="9"/>
        <v/>
      </c>
      <c r="M203" s="232" t="s">
        <v>119</v>
      </c>
      <c r="N203" s="228" t="str">
        <f t="shared" si="10"/>
        <v/>
      </c>
      <c r="O203" s="228">
        <f t="shared" si="11"/>
        <v>0</v>
      </c>
    </row>
    <row r="204" spans="1:15" s="231" customFormat="1" ht="11.25">
      <c r="A204" s="166"/>
      <c r="B204" s="234"/>
      <c r="C204" s="234"/>
      <c r="D204" s="234"/>
      <c r="E204" s="234"/>
      <c r="F204" s="234"/>
      <c r="G204" s="234"/>
      <c r="H204" s="255"/>
      <c r="I204" s="256"/>
      <c r="J204" s="140"/>
      <c r="K204" s="234"/>
      <c r="L204" s="229" t="str">
        <f t="shared" si="9"/>
        <v/>
      </c>
      <c r="M204" s="232" t="s">
        <v>119</v>
      </c>
      <c r="N204" s="228" t="str">
        <f t="shared" si="10"/>
        <v/>
      </c>
      <c r="O204" s="228">
        <f t="shared" si="11"/>
        <v>0</v>
      </c>
    </row>
    <row r="205" spans="1:15" s="231" customFormat="1" ht="11.25">
      <c r="A205" s="166"/>
      <c r="B205" s="234"/>
      <c r="C205" s="234"/>
      <c r="D205" s="234"/>
      <c r="E205" s="234"/>
      <c r="F205" s="234"/>
      <c r="G205" s="234"/>
      <c r="H205" s="255"/>
      <c r="I205" s="256"/>
      <c r="J205" s="140"/>
      <c r="K205" s="234"/>
      <c r="L205" s="229" t="str">
        <f t="shared" si="9"/>
        <v/>
      </c>
      <c r="M205" s="232" t="s">
        <v>119</v>
      </c>
      <c r="N205" s="228" t="str">
        <f t="shared" si="10"/>
        <v/>
      </c>
      <c r="O205" s="228">
        <f t="shared" si="11"/>
        <v>0</v>
      </c>
    </row>
    <row r="206" spans="1:15" s="231" customFormat="1" ht="11.25">
      <c r="A206" s="166"/>
      <c r="B206" s="234"/>
      <c r="C206" s="234"/>
      <c r="D206" s="234"/>
      <c r="E206" s="234"/>
      <c r="F206" s="234"/>
      <c r="G206" s="234"/>
      <c r="H206" s="255"/>
      <c r="I206" s="256"/>
      <c r="J206" s="140"/>
      <c r="K206" s="234"/>
      <c r="L206" s="229" t="str">
        <f t="shared" si="9"/>
        <v/>
      </c>
      <c r="M206" s="232" t="s">
        <v>119</v>
      </c>
      <c r="N206" s="228" t="str">
        <f t="shared" si="10"/>
        <v/>
      </c>
      <c r="O206" s="228">
        <f t="shared" si="11"/>
        <v>0</v>
      </c>
    </row>
    <row r="207" spans="1:15" s="231" customFormat="1" ht="11.25">
      <c r="A207" s="166"/>
      <c r="B207" s="234"/>
      <c r="C207" s="234"/>
      <c r="D207" s="234"/>
      <c r="E207" s="234"/>
      <c r="F207" s="234"/>
      <c r="G207" s="234"/>
      <c r="H207" s="255"/>
      <c r="I207" s="256"/>
      <c r="J207" s="140"/>
      <c r="K207" s="234"/>
      <c r="L207" s="229" t="str">
        <f t="shared" si="9"/>
        <v/>
      </c>
      <c r="M207" s="232" t="s">
        <v>119</v>
      </c>
      <c r="N207" s="228" t="str">
        <f t="shared" si="10"/>
        <v/>
      </c>
      <c r="O207" s="228">
        <f t="shared" si="11"/>
        <v>0</v>
      </c>
    </row>
    <row r="208" spans="1:15" s="231" customFormat="1" ht="11.25">
      <c r="A208" s="166"/>
      <c r="B208" s="234"/>
      <c r="C208" s="234"/>
      <c r="D208" s="234"/>
      <c r="E208" s="234"/>
      <c r="F208" s="234"/>
      <c r="G208" s="234"/>
      <c r="H208" s="255"/>
      <c r="I208" s="256"/>
      <c r="J208" s="140"/>
      <c r="K208" s="234"/>
      <c r="L208" s="229" t="str">
        <f t="shared" si="9"/>
        <v/>
      </c>
      <c r="M208" s="232" t="s">
        <v>119</v>
      </c>
      <c r="N208" s="228" t="str">
        <f t="shared" si="10"/>
        <v/>
      </c>
      <c r="O208" s="228">
        <f t="shared" si="11"/>
        <v>0</v>
      </c>
    </row>
    <row r="209" spans="1:15" s="231" customFormat="1" ht="11.25">
      <c r="A209" s="166"/>
      <c r="B209" s="234"/>
      <c r="C209" s="234"/>
      <c r="D209" s="234"/>
      <c r="E209" s="234"/>
      <c r="F209" s="234"/>
      <c r="G209" s="234"/>
      <c r="H209" s="255"/>
      <c r="I209" s="256"/>
      <c r="J209" s="140"/>
      <c r="K209" s="234"/>
      <c r="L209" s="229" t="str">
        <f t="shared" si="9"/>
        <v/>
      </c>
      <c r="M209" s="232" t="s">
        <v>119</v>
      </c>
      <c r="N209" s="228" t="str">
        <f t="shared" si="10"/>
        <v/>
      </c>
      <c r="O209" s="228">
        <f t="shared" si="11"/>
        <v>0</v>
      </c>
    </row>
    <row r="210" spans="1:15" s="231" customFormat="1" ht="11.25">
      <c r="A210" s="166"/>
      <c r="B210" s="234"/>
      <c r="C210" s="234"/>
      <c r="D210" s="234"/>
      <c r="E210" s="234"/>
      <c r="F210" s="234"/>
      <c r="G210" s="234"/>
      <c r="H210" s="255"/>
      <c r="I210" s="256"/>
      <c r="J210" s="140"/>
      <c r="K210" s="234"/>
      <c r="L210" s="229" t="str">
        <f t="shared" si="9"/>
        <v/>
      </c>
      <c r="M210" s="232" t="s">
        <v>119</v>
      </c>
      <c r="N210" s="228" t="str">
        <f t="shared" si="10"/>
        <v/>
      </c>
      <c r="O210" s="228">
        <f t="shared" si="11"/>
        <v>0</v>
      </c>
    </row>
    <row r="211" spans="1:15" s="231" customFormat="1" ht="11.25">
      <c r="A211" s="166"/>
      <c r="B211" s="234"/>
      <c r="C211" s="234"/>
      <c r="D211" s="234"/>
      <c r="E211" s="234"/>
      <c r="F211" s="234"/>
      <c r="G211" s="234"/>
      <c r="H211" s="255"/>
      <c r="I211" s="256"/>
      <c r="J211" s="140"/>
      <c r="K211" s="234"/>
      <c r="L211" s="229" t="str">
        <f t="shared" si="9"/>
        <v/>
      </c>
      <c r="M211" s="232" t="s">
        <v>119</v>
      </c>
      <c r="N211" s="228" t="str">
        <f t="shared" si="10"/>
        <v/>
      </c>
      <c r="O211" s="228">
        <f t="shared" si="11"/>
        <v>0</v>
      </c>
    </row>
    <row r="212" spans="1:15" s="231" customFormat="1" ht="11.25">
      <c r="A212" s="166"/>
      <c r="B212" s="234"/>
      <c r="C212" s="234"/>
      <c r="D212" s="234"/>
      <c r="E212" s="234"/>
      <c r="F212" s="234"/>
      <c r="G212" s="234"/>
      <c r="H212" s="255"/>
      <c r="I212" s="256"/>
      <c r="J212" s="140"/>
      <c r="K212" s="234"/>
      <c r="L212" s="229" t="str">
        <f t="shared" si="9"/>
        <v/>
      </c>
      <c r="M212" s="232" t="s">
        <v>119</v>
      </c>
      <c r="N212" s="228" t="str">
        <f t="shared" si="10"/>
        <v/>
      </c>
      <c r="O212" s="228">
        <f t="shared" si="11"/>
        <v>0</v>
      </c>
    </row>
    <row r="213" spans="1:15" s="231" customFormat="1" ht="11.25">
      <c r="A213" s="166"/>
      <c r="B213" s="234"/>
      <c r="C213" s="234"/>
      <c r="D213" s="234"/>
      <c r="E213" s="234"/>
      <c r="F213" s="234"/>
      <c r="G213" s="234"/>
      <c r="H213" s="255"/>
      <c r="I213" s="256"/>
      <c r="J213" s="140"/>
      <c r="K213" s="234"/>
      <c r="L213" s="229" t="str">
        <f t="shared" si="9"/>
        <v/>
      </c>
      <c r="M213" s="232" t="s">
        <v>119</v>
      </c>
      <c r="N213" s="228" t="str">
        <f t="shared" si="10"/>
        <v/>
      </c>
      <c r="O213" s="228">
        <f t="shared" si="11"/>
        <v>0</v>
      </c>
    </row>
    <row r="214" spans="1:15" s="231" customFormat="1" ht="11.25">
      <c r="A214" s="166"/>
      <c r="B214" s="234"/>
      <c r="C214" s="234"/>
      <c r="D214" s="234"/>
      <c r="E214" s="234"/>
      <c r="F214" s="234"/>
      <c r="G214" s="234"/>
      <c r="H214" s="255"/>
      <c r="I214" s="256"/>
      <c r="J214" s="140"/>
      <c r="K214" s="234"/>
      <c r="L214" s="229" t="str">
        <f t="shared" si="9"/>
        <v/>
      </c>
      <c r="M214" s="232" t="s">
        <v>119</v>
      </c>
      <c r="N214" s="228" t="str">
        <f t="shared" si="10"/>
        <v/>
      </c>
      <c r="O214" s="228">
        <f t="shared" si="11"/>
        <v>0</v>
      </c>
    </row>
    <row r="215" spans="1:15" s="231" customFormat="1" ht="11.25">
      <c r="A215" s="166"/>
      <c r="B215" s="234"/>
      <c r="C215" s="234"/>
      <c r="D215" s="234"/>
      <c r="E215" s="234"/>
      <c r="F215" s="234"/>
      <c r="G215" s="234"/>
      <c r="H215" s="255"/>
      <c r="I215" s="256"/>
      <c r="J215" s="140"/>
      <c r="K215" s="234"/>
      <c r="L215" s="229" t="str">
        <f t="shared" si="9"/>
        <v/>
      </c>
      <c r="M215" s="232" t="s">
        <v>119</v>
      </c>
      <c r="N215" s="228" t="str">
        <f t="shared" si="10"/>
        <v/>
      </c>
      <c r="O215" s="228">
        <f t="shared" si="11"/>
        <v>0</v>
      </c>
    </row>
    <row r="216" spans="1:15" s="231" customFormat="1" ht="11.25">
      <c r="A216" s="166"/>
      <c r="B216" s="234"/>
      <c r="C216" s="234"/>
      <c r="D216" s="234"/>
      <c r="E216" s="234"/>
      <c r="F216" s="234"/>
      <c r="G216" s="234"/>
      <c r="H216" s="255"/>
      <c r="I216" s="256"/>
      <c r="J216" s="140"/>
      <c r="K216" s="234"/>
      <c r="L216" s="229" t="str">
        <f t="shared" si="9"/>
        <v/>
      </c>
      <c r="M216" s="232" t="s">
        <v>119</v>
      </c>
      <c r="N216" s="228" t="str">
        <f t="shared" si="10"/>
        <v/>
      </c>
      <c r="O216" s="228">
        <f t="shared" si="11"/>
        <v>0</v>
      </c>
    </row>
    <row r="217" spans="1:15" s="231" customFormat="1" ht="11.25">
      <c r="A217" s="166"/>
      <c r="B217" s="234"/>
      <c r="C217" s="234"/>
      <c r="D217" s="234"/>
      <c r="E217" s="234"/>
      <c r="F217" s="234"/>
      <c r="G217" s="234"/>
      <c r="H217" s="255"/>
      <c r="I217" s="256"/>
      <c r="J217" s="140"/>
      <c r="K217" s="234"/>
      <c r="L217" s="229" t="str">
        <f t="shared" si="9"/>
        <v/>
      </c>
      <c r="M217" s="232" t="s">
        <v>119</v>
      </c>
      <c r="N217" s="228" t="str">
        <f t="shared" si="10"/>
        <v/>
      </c>
      <c r="O217" s="228">
        <f t="shared" si="11"/>
        <v>0</v>
      </c>
    </row>
    <row r="218" spans="1:15" s="231" customFormat="1" ht="11.25">
      <c r="A218" s="166"/>
      <c r="B218" s="234"/>
      <c r="C218" s="234"/>
      <c r="D218" s="234"/>
      <c r="E218" s="234"/>
      <c r="F218" s="234"/>
      <c r="G218" s="234"/>
      <c r="H218" s="255"/>
      <c r="I218" s="256"/>
      <c r="J218" s="140"/>
      <c r="K218" s="234"/>
      <c r="L218" s="229" t="str">
        <f t="shared" si="9"/>
        <v/>
      </c>
      <c r="M218" s="232" t="s">
        <v>119</v>
      </c>
      <c r="N218" s="228" t="str">
        <f t="shared" si="10"/>
        <v/>
      </c>
      <c r="O218" s="228">
        <f t="shared" si="11"/>
        <v>0</v>
      </c>
    </row>
    <row r="219" spans="1:15" s="231" customFormat="1" ht="11.25">
      <c r="A219" s="166"/>
      <c r="B219" s="234"/>
      <c r="C219" s="234"/>
      <c r="D219" s="234"/>
      <c r="E219" s="234"/>
      <c r="F219" s="234"/>
      <c r="G219" s="234"/>
      <c r="H219" s="255"/>
      <c r="I219" s="256"/>
      <c r="J219" s="140"/>
      <c r="K219" s="234"/>
      <c r="L219" s="229" t="str">
        <f t="shared" si="9"/>
        <v/>
      </c>
      <c r="M219" s="232" t="s">
        <v>119</v>
      </c>
      <c r="N219" s="228" t="str">
        <f t="shared" si="10"/>
        <v/>
      </c>
      <c r="O219" s="228">
        <f t="shared" si="11"/>
        <v>0</v>
      </c>
    </row>
    <row r="220" spans="1:15" s="231" customFormat="1" ht="11.25">
      <c r="A220" s="166"/>
      <c r="B220" s="234"/>
      <c r="C220" s="234"/>
      <c r="D220" s="234"/>
      <c r="E220" s="234"/>
      <c r="F220" s="234"/>
      <c r="G220" s="234"/>
      <c r="H220" s="255"/>
      <c r="I220" s="256"/>
      <c r="J220" s="140"/>
      <c r="K220" s="234"/>
      <c r="L220" s="229" t="str">
        <f t="shared" si="9"/>
        <v/>
      </c>
      <c r="M220" s="232" t="s">
        <v>119</v>
      </c>
      <c r="N220" s="228" t="str">
        <f t="shared" si="10"/>
        <v/>
      </c>
      <c r="O220" s="228">
        <f t="shared" si="11"/>
        <v>0</v>
      </c>
    </row>
    <row r="221" spans="1:15" s="231" customFormat="1" ht="11.25">
      <c r="A221" s="166"/>
      <c r="B221" s="234"/>
      <c r="C221" s="234"/>
      <c r="D221" s="234"/>
      <c r="E221" s="234"/>
      <c r="F221" s="234"/>
      <c r="G221" s="234"/>
      <c r="H221" s="255"/>
      <c r="I221" s="256"/>
      <c r="J221" s="140"/>
      <c r="K221" s="234"/>
      <c r="L221" s="229" t="str">
        <f t="shared" si="9"/>
        <v/>
      </c>
      <c r="M221" s="232" t="s">
        <v>119</v>
      </c>
      <c r="N221" s="228" t="str">
        <f t="shared" si="10"/>
        <v/>
      </c>
      <c r="O221" s="228">
        <f t="shared" si="11"/>
        <v>0</v>
      </c>
    </row>
    <row r="222" spans="1:15" s="231" customFormat="1" ht="11.25">
      <c r="A222" s="166"/>
      <c r="B222" s="234"/>
      <c r="C222" s="234"/>
      <c r="D222" s="234"/>
      <c r="E222" s="234"/>
      <c r="F222" s="234"/>
      <c r="G222" s="234"/>
      <c r="H222" s="255"/>
      <c r="I222" s="256"/>
      <c r="J222" s="140"/>
      <c r="K222" s="234"/>
      <c r="L222" s="229" t="str">
        <f t="shared" si="9"/>
        <v/>
      </c>
      <c r="M222" s="232" t="s">
        <v>119</v>
      </c>
      <c r="N222" s="228" t="str">
        <f t="shared" si="10"/>
        <v/>
      </c>
      <c r="O222" s="228">
        <f t="shared" si="11"/>
        <v>0</v>
      </c>
    </row>
    <row r="223" spans="1:15" s="231" customFormat="1" ht="11.25">
      <c r="A223" s="166"/>
      <c r="B223" s="234"/>
      <c r="C223" s="234"/>
      <c r="D223" s="234"/>
      <c r="E223" s="234"/>
      <c r="F223" s="234"/>
      <c r="G223" s="234"/>
      <c r="H223" s="255"/>
      <c r="I223" s="256"/>
      <c r="J223" s="140"/>
      <c r="K223" s="234"/>
      <c r="L223" s="229" t="str">
        <f t="shared" si="9"/>
        <v/>
      </c>
      <c r="M223" s="232" t="s">
        <v>119</v>
      </c>
      <c r="N223" s="228" t="str">
        <f t="shared" si="10"/>
        <v/>
      </c>
      <c r="O223" s="228">
        <f t="shared" si="11"/>
        <v>0</v>
      </c>
    </row>
    <row r="224" spans="1:15" s="231" customFormat="1" ht="11.25">
      <c r="A224" s="166"/>
      <c r="B224" s="234"/>
      <c r="C224" s="234"/>
      <c r="D224" s="234"/>
      <c r="E224" s="234"/>
      <c r="F224" s="234"/>
      <c r="G224" s="234"/>
      <c r="H224" s="255"/>
      <c r="I224" s="256"/>
      <c r="J224" s="140"/>
      <c r="K224" s="234"/>
      <c r="L224" s="229" t="str">
        <f t="shared" si="9"/>
        <v/>
      </c>
      <c r="M224" s="232" t="s">
        <v>119</v>
      </c>
      <c r="N224" s="228" t="str">
        <f t="shared" si="10"/>
        <v/>
      </c>
      <c r="O224" s="228">
        <f t="shared" si="11"/>
        <v>0</v>
      </c>
    </row>
    <row r="225" spans="1:15" s="231" customFormat="1" ht="11.25">
      <c r="A225" s="166"/>
      <c r="B225" s="234"/>
      <c r="C225" s="234"/>
      <c r="D225" s="234"/>
      <c r="E225" s="234"/>
      <c r="F225" s="234"/>
      <c r="G225" s="234"/>
      <c r="H225" s="255"/>
      <c r="I225" s="256"/>
      <c r="J225" s="140"/>
      <c r="K225" s="234"/>
      <c r="L225" s="229" t="str">
        <f t="shared" si="9"/>
        <v/>
      </c>
      <c r="M225" s="232" t="s">
        <v>119</v>
      </c>
      <c r="N225" s="228" t="str">
        <f t="shared" si="10"/>
        <v/>
      </c>
      <c r="O225" s="228">
        <f t="shared" si="11"/>
        <v>0</v>
      </c>
    </row>
    <row r="226" spans="1:15" s="231" customFormat="1" ht="11.25">
      <c r="A226" s="166"/>
      <c r="B226" s="234"/>
      <c r="C226" s="234"/>
      <c r="D226" s="234"/>
      <c r="E226" s="234"/>
      <c r="F226" s="234"/>
      <c r="G226" s="234"/>
      <c r="H226" s="255"/>
      <c r="I226" s="256"/>
      <c r="J226" s="140"/>
      <c r="K226" s="234"/>
      <c r="L226" s="229" t="str">
        <f t="shared" si="9"/>
        <v/>
      </c>
      <c r="M226" s="232" t="s">
        <v>119</v>
      </c>
      <c r="N226" s="228" t="str">
        <f t="shared" si="10"/>
        <v/>
      </c>
      <c r="O226" s="228">
        <f t="shared" si="11"/>
        <v>0</v>
      </c>
    </row>
    <row r="227" spans="1:15" s="231" customFormat="1" ht="11.25">
      <c r="A227" s="166"/>
      <c r="B227" s="234"/>
      <c r="C227" s="234"/>
      <c r="D227" s="234"/>
      <c r="E227" s="234"/>
      <c r="F227" s="234"/>
      <c r="G227" s="234"/>
      <c r="H227" s="255"/>
      <c r="I227" s="256"/>
      <c r="J227" s="140"/>
      <c r="K227" s="234"/>
      <c r="L227" s="229" t="str">
        <f t="shared" si="9"/>
        <v/>
      </c>
      <c r="M227" s="232" t="s">
        <v>119</v>
      </c>
      <c r="N227" s="228" t="str">
        <f t="shared" si="10"/>
        <v/>
      </c>
      <c r="O227" s="228">
        <f t="shared" si="11"/>
        <v>0</v>
      </c>
    </row>
    <row r="228" spans="1:15" s="231" customFormat="1" ht="11.25">
      <c r="A228" s="166"/>
      <c r="B228" s="234"/>
      <c r="C228" s="234"/>
      <c r="D228" s="234"/>
      <c r="E228" s="234"/>
      <c r="F228" s="234"/>
      <c r="G228" s="234"/>
      <c r="H228" s="255"/>
      <c r="I228" s="256"/>
      <c r="J228" s="140"/>
      <c r="K228" s="234"/>
      <c r="L228" s="229" t="str">
        <f t="shared" si="9"/>
        <v/>
      </c>
      <c r="M228" s="232" t="s">
        <v>119</v>
      </c>
      <c r="N228" s="228" t="str">
        <f t="shared" si="10"/>
        <v/>
      </c>
      <c r="O228" s="228">
        <f t="shared" si="11"/>
        <v>0</v>
      </c>
    </row>
    <row r="229" spans="1:15" s="231" customFormat="1" ht="11.25">
      <c r="A229" s="166"/>
      <c r="B229" s="234"/>
      <c r="C229" s="234"/>
      <c r="D229" s="234"/>
      <c r="E229" s="234"/>
      <c r="F229" s="234"/>
      <c r="G229" s="234"/>
      <c r="H229" s="255"/>
      <c r="I229" s="256"/>
      <c r="J229" s="140"/>
      <c r="K229" s="234"/>
      <c r="L229" s="229" t="str">
        <f t="shared" si="9"/>
        <v/>
      </c>
      <c r="M229" s="232" t="s">
        <v>119</v>
      </c>
      <c r="N229" s="228" t="str">
        <f t="shared" si="10"/>
        <v/>
      </c>
      <c r="O229" s="228">
        <f t="shared" si="11"/>
        <v>0</v>
      </c>
    </row>
    <row r="230" spans="1:15" s="231" customFormat="1" ht="11.25">
      <c r="A230" s="166"/>
      <c r="B230" s="234"/>
      <c r="C230" s="234"/>
      <c r="D230" s="234"/>
      <c r="E230" s="234"/>
      <c r="F230" s="234"/>
      <c r="G230" s="234"/>
      <c r="H230" s="255"/>
      <c r="I230" s="256"/>
      <c r="J230" s="140"/>
      <c r="K230" s="234"/>
      <c r="L230" s="229" t="str">
        <f t="shared" si="9"/>
        <v/>
      </c>
      <c r="M230" s="232" t="s">
        <v>119</v>
      </c>
      <c r="N230" s="228" t="str">
        <f t="shared" si="10"/>
        <v/>
      </c>
      <c r="O230" s="228">
        <f t="shared" si="11"/>
        <v>0</v>
      </c>
    </row>
    <row r="231" spans="1:15" s="231" customFormat="1" ht="11.25">
      <c r="A231" s="166"/>
      <c r="B231" s="234"/>
      <c r="C231" s="234"/>
      <c r="D231" s="234"/>
      <c r="E231" s="234"/>
      <c r="F231" s="234"/>
      <c r="G231" s="234"/>
      <c r="H231" s="255"/>
      <c r="I231" s="256"/>
      <c r="J231" s="140"/>
      <c r="K231" s="234"/>
      <c r="L231" s="229" t="str">
        <f t="shared" si="9"/>
        <v/>
      </c>
      <c r="M231" s="232" t="s">
        <v>119</v>
      </c>
      <c r="N231" s="228" t="str">
        <f t="shared" si="10"/>
        <v/>
      </c>
      <c r="O231" s="228">
        <f t="shared" si="11"/>
        <v>0</v>
      </c>
    </row>
    <row r="232" spans="1:15" s="231" customFormat="1" ht="11.25">
      <c r="A232" s="166"/>
      <c r="B232" s="234"/>
      <c r="C232" s="234"/>
      <c r="D232" s="234"/>
      <c r="E232" s="234"/>
      <c r="F232" s="234"/>
      <c r="G232" s="234"/>
      <c r="H232" s="255"/>
      <c r="I232" s="256"/>
      <c r="J232" s="140"/>
      <c r="K232" s="234"/>
      <c r="L232" s="229" t="str">
        <f t="shared" si="9"/>
        <v/>
      </c>
      <c r="M232" s="232" t="s">
        <v>119</v>
      </c>
      <c r="N232" s="228" t="str">
        <f t="shared" si="10"/>
        <v/>
      </c>
      <c r="O232" s="228">
        <f t="shared" si="11"/>
        <v>0</v>
      </c>
    </row>
    <row r="233" spans="1:15" s="231" customFormat="1" ht="11.25">
      <c r="A233" s="166"/>
      <c r="B233" s="234"/>
      <c r="C233" s="234"/>
      <c r="D233" s="234"/>
      <c r="E233" s="234"/>
      <c r="F233" s="234"/>
      <c r="G233" s="234"/>
      <c r="H233" s="255"/>
      <c r="I233" s="256"/>
      <c r="J233" s="140"/>
      <c r="K233" s="234"/>
      <c r="L233" s="229" t="str">
        <f t="shared" si="9"/>
        <v/>
      </c>
      <c r="M233" s="232" t="s">
        <v>119</v>
      </c>
      <c r="N233" s="228" t="str">
        <f t="shared" si="10"/>
        <v/>
      </c>
      <c r="O233" s="228">
        <f t="shared" si="11"/>
        <v>0</v>
      </c>
    </row>
    <row r="234" spans="1:15" s="231" customFormat="1" ht="11.25">
      <c r="A234" s="166"/>
      <c r="B234" s="234"/>
      <c r="C234" s="234"/>
      <c r="D234" s="234"/>
      <c r="E234" s="234"/>
      <c r="F234" s="234"/>
      <c r="G234" s="234"/>
      <c r="H234" s="255"/>
      <c r="I234" s="256"/>
      <c r="J234" s="140"/>
      <c r="K234" s="234"/>
      <c r="L234" s="229" t="str">
        <f t="shared" si="9"/>
        <v/>
      </c>
      <c r="M234" s="232" t="s">
        <v>119</v>
      </c>
      <c r="N234" s="228" t="str">
        <f t="shared" si="10"/>
        <v/>
      </c>
      <c r="O234" s="228">
        <f t="shared" si="11"/>
        <v>0</v>
      </c>
    </row>
    <row r="235" spans="1:15" s="231" customFormat="1" ht="11.25">
      <c r="A235" s="166"/>
      <c r="B235" s="234"/>
      <c r="C235" s="234"/>
      <c r="D235" s="234"/>
      <c r="E235" s="234"/>
      <c r="F235" s="234"/>
      <c r="G235" s="234"/>
      <c r="H235" s="255"/>
      <c r="I235" s="256"/>
      <c r="J235" s="140"/>
      <c r="K235" s="234"/>
      <c r="L235" s="229" t="str">
        <f t="shared" si="9"/>
        <v/>
      </c>
      <c r="M235" s="232" t="s">
        <v>119</v>
      </c>
      <c r="N235" s="228" t="str">
        <f t="shared" si="10"/>
        <v/>
      </c>
      <c r="O235" s="228">
        <f t="shared" si="11"/>
        <v>0</v>
      </c>
    </row>
    <row r="236" spans="1:15" s="231" customFormat="1" ht="11.25">
      <c r="A236" s="166"/>
      <c r="B236" s="234"/>
      <c r="C236" s="234"/>
      <c r="D236" s="234"/>
      <c r="E236" s="234"/>
      <c r="F236" s="234"/>
      <c r="G236" s="234"/>
      <c r="H236" s="255"/>
      <c r="I236" s="256"/>
      <c r="J236" s="140"/>
      <c r="K236" s="234"/>
      <c r="L236" s="229" t="str">
        <f t="shared" si="9"/>
        <v/>
      </c>
      <c r="M236" s="232" t="s">
        <v>119</v>
      </c>
      <c r="N236" s="228" t="str">
        <f t="shared" si="10"/>
        <v/>
      </c>
      <c r="O236" s="228">
        <f t="shared" si="11"/>
        <v>0</v>
      </c>
    </row>
    <row r="237" spans="1:15" s="231" customFormat="1" ht="11.25">
      <c r="A237" s="166"/>
      <c r="B237" s="234"/>
      <c r="C237" s="234"/>
      <c r="D237" s="234"/>
      <c r="E237" s="234"/>
      <c r="F237" s="234"/>
      <c r="G237" s="234"/>
      <c r="H237" s="255"/>
      <c r="I237" s="256"/>
      <c r="J237" s="140"/>
      <c r="K237" s="234"/>
      <c r="L237" s="229" t="str">
        <f t="shared" si="9"/>
        <v/>
      </c>
      <c r="M237" s="232" t="s">
        <v>119</v>
      </c>
      <c r="N237" s="228" t="str">
        <f t="shared" si="10"/>
        <v/>
      </c>
      <c r="O237" s="228">
        <f t="shared" si="11"/>
        <v>0</v>
      </c>
    </row>
    <row r="238" spans="1:15" s="231" customFormat="1" ht="11.25">
      <c r="A238" s="166"/>
      <c r="B238" s="234"/>
      <c r="C238" s="234"/>
      <c r="D238" s="234"/>
      <c r="E238" s="234"/>
      <c r="F238" s="234"/>
      <c r="G238" s="234"/>
      <c r="H238" s="255"/>
      <c r="I238" s="256"/>
      <c r="J238" s="140"/>
      <c r="K238" s="234"/>
      <c r="L238" s="229" t="str">
        <f t="shared" si="9"/>
        <v/>
      </c>
      <c r="M238" s="232" t="s">
        <v>119</v>
      </c>
      <c r="N238" s="228" t="str">
        <f t="shared" si="10"/>
        <v/>
      </c>
      <c r="O238" s="228">
        <f t="shared" si="11"/>
        <v>0</v>
      </c>
    </row>
    <row r="239" spans="1:15" s="231" customFormat="1" ht="11.25">
      <c r="A239" s="166"/>
      <c r="B239" s="234"/>
      <c r="C239" s="234"/>
      <c r="D239" s="234"/>
      <c r="E239" s="234"/>
      <c r="F239" s="234"/>
      <c r="G239" s="234"/>
      <c r="H239" s="255"/>
      <c r="I239" s="256"/>
      <c r="J239" s="140"/>
      <c r="K239" s="234"/>
      <c r="L239" s="229" t="str">
        <f t="shared" si="9"/>
        <v/>
      </c>
      <c r="M239" s="232" t="s">
        <v>119</v>
      </c>
      <c r="N239" s="228" t="str">
        <f t="shared" si="10"/>
        <v/>
      </c>
      <c r="O239" s="228">
        <f t="shared" si="11"/>
        <v>0</v>
      </c>
    </row>
    <row r="240" spans="1:15" s="231" customFormat="1" ht="11.25">
      <c r="A240" s="166"/>
      <c r="B240" s="234"/>
      <c r="C240" s="234"/>
      <c r="D240" s="234"/>
      <c r="E240" s="234"/>
      <c r="F240" s="234"/>
      <c r="G240" s="234"/>
      <c r="H240" s="255"/>
      <c r="I240" s="256"/>
      <c r="J240" s="140"/>
      <c r="K240" s="234"/>
      <c r="L240" s="229" t="str">
        <f t="shared" si="9"/>
        <v/>
      </c>
      <c r="M240" s="232" t="s">
        <v>119</v>
      </c>
      <c r="N240" s="228" t="str">
        <f t="shared" si="10"/>
        <v/>
      </c>
      <c r="O240" s="228">
        <f t="shared" si="11"/>
        <v>0</v>
      </c>
    </row>
    <row r="241" spans="1:15" s="231" customFormat="1" ht="11.25">
      <c r="A241" s="166"/>
      <c r="B241" s="234"/>
      <c r="C241" s="234"/>
      <c r="D241" s="234"/>
      <c r="E241" s="234"/>
      <c r="F241" s="234"/>
      <c r="G241" s="234"/>
      <c r="H241" s="255"/>
      <c r="I241" s="256"/>
      <c r="J241" s="140"/>
      <c r="K241" s="234"/>
      <c r="L241" s="229" t="str">
        <f t="shared" si="9"/>
        <v/>
      </c>
      <c r="M241" s="232" t="s">
        <v>119</v>
      </c>
      <c r="N241" s="228" t="str">
        <f t="shared" si="10"/>
        <v/>
      </c>
      <c r="O241" s="228">
        <f t="shared" si="11"/>
        <v>0</v>
      </c>
    </row>
    <row r="242" spans="1:15" s="231" customFormat="1" ht="11.25">
      <c r="A242" s="166"/>
      <c r="B242" s="234"/>
      <c r="C242" s="234"/>
      <c r="D242" s="234"/>
      <c r="E242" s="234"/>
      <c r="F242" s="234"/>
      <c r="G242" s="234"/>
      <c r="H242" s="255"/>
      <c r="I242" s="256"/>
      <c r="J242" s="140"/>
      <c r="K242" s="234"/>
      <c r="L242" s="229" t="str">
        <f t="shared" si="9"/>
        <v/>
      </c>
      <c r="M242" s="232" t="s">
        <v>119</v>
      </c>
      <c r="N242" s="228" t="str">
        <f t="shared" si="10"/>
        <v/>
      </c>
      <c r="O242" s="228">
        <f t="shared" si="11"/>
        <v>0</v>
      </c>
    </row>
    <row r="243" spans="1:15" s="231" customFormat="1" ht="11.25">
      <c r="A243" s="166"/>
      <c r="B243" s="234"/>
      <c r="C243" s="234"/>
      <c r="D243" s="234"/>
      <c r="E243" s="234"/>
      <c r="F243" s="234"/>
      <c r="G243" s="234"/>
      <c r="H243" s="255"/>
      <c r="I243" s="256"/>
      <c r="J243" s="140"/>
      <c r="K243" s="234"/>
      <c r="L243" s="229" t="str">
        <f t="shared" si="9"/>
        <v/>
      </c>
      <c r="M243" s="232" t="s">
        <v>119</v>
      </c>
      <c r="N243" s="228" t="str">
        <f t="shared" si="10"/>
        <v/>
      </c>
      <c r="O243" s="228">
        <f t="shared" si="11"/>
        <v>0</v>
      </c>
    </row>
    <row r="244" spans="1:15" s="231" customFormat="1" ht="11.25">
      <c r="A244" s="166"/>
      <c r="B244" s="234"/>
      <c r="C244" s="234"/>
      <c r="D244" s="234"/>
      <c r="E244" s="234"/>
      <c r="F244" s="234"/>
      <c r="G244" s="234"/>
      <c r="H244" s="255"/>
      <c r="I244" s="256"/>
      <c r="J244" s="140"/>
      <c r="K244" s="234"/>
      <c r="L244" s="229" t="str">
        <f t="shared" si="9"/>
        <v/>
      </c>
      <c r="M244" s="232" t="s">
        <v>119</v>
      </c>
      <c r="N244" s="228" t="str">
        <f t="shared" si="10"/>
        <v/>
      </c>
      <c r="O244" s="228">
        <f t="shared" si="11"/>
        <v>0</v>
      </c>
    </row>
    <row r="245" spans="1:15" s="231" customFormat="1" ht="11.25">
      <c r="A245" s="166"/>
      <c r="B245" s="234"/>
      <c r="C245" s="234"/>
      <c r="D245" s="234"/>
      <c r="E245" s="234"/>
      <c r="F245" s="234"/>
      <c r="G245" s="234"/>
      <c r="H245" s="255"/>
      <c r="I245" s="256"/>
      <c r="J245" s="140"/>
      <c r="K245" s="234"/>
      <c r="L245" s="229" t="str">
        <f t="shared" si="9"/>
        <v/>
      </c>
      <c r="M245" s="232" t="s">
        <v>119</v>
      </c>
      <c r="N245" s="228" t="str">
        <f t="shared" si="10"/>
        <v/>
      </c>
      <c r="O245" s="228">
        <f t="shared" si="11"/>
        <v>0</v>
      </c>
    </row>
    <row r="246" spans="1:15" s="231" customFormat="1" ht="11.25">
      <c r="A246" s="166"/>
      <c r="B246" s="234"/>
      <c r="C246" s="234"/>
      <c r="D246" s="234"/>
      <c r="E246" s="234"/>
      <c r="F246" s="234"/>
      <c r="G246" s="234"/>
      <c r="H246" s="255"/>
      <c r="I246" s="256"/>
      <c r="J246" s="140"/>
      <c r="K246" s="234"/>
      <c r="L246" s="229" t="str">
        <f t="shared" si="9"/>
        <v/>
      </c>
      <c r="M246" s="232" t="s">
        <v>119</v>
      </c>
      <c r="N246" s="228" t="str">
        <f t="shared" si="10"/>
        <v/>
      </c>
      <c r="O246" s="228">
        <f t="shared" si="11"/>
        <v>0</v>
      </c>
    </row>
    <row r="247" spans="1:15" s="231" customFormat="1" ht="11.25">
      <c r="A247" s="166"/>
      <c r="B247" s="234"/>
      <c r="C247" s="234"/>
      <c r="D247" s="234"/>
      <c r="E247" s="234"/>
      <c r="F247" s="234"/>
      <c r="G247" s="234"/>
      <c r="H247" s="255"/>
      <c r="I247" s="256"/>
      <c r="J247" s="140"/>
      <c r="K247" s="234"/>
      <c r="L247" s="229" t="str">
        <f t="shared" si="9"/>
        <v/>
      </c>
      <c r="M247" s="232" t="s">
        <v>119</v>
      </c>
      <c r="N247" s="228" t="str">
        <f t="shared" si="10"/>
        <v/>
      </c>
      <c r="O247" s="228">
        <f t="shared" si="11"/>
        <v>0</v>
      </c>
    </row>
    <row r="248" spans="1:15" s="231" customFormat="1" ht="11.25">
      <c r="A248" s="166"/>
      <c r="B248" s="234"/>
      <c r="C248" s="234"/>
      <c r="D248" s="234"/>
      <c r="E248" s="234"/>
      <c r="F248" s="234"/>
      <c r="G248" s="234"/>
      <c r="H248" s="255"/>
      <c r="I248" s="256"/>
      <c r="J248" s="140"/>
      <c r="K248" s="234"/>
      <c r="L248" s="229" t="str">
        <f t="shared" si="9"/>
        <v/>
      </c>
      <c r="M248" s="232" t="s">
        <v>119</v>
      </c>
      <c r="N248" s="228" t="str">
        <f t="shared" si="10"/>
        <v/>
      </c>
      <c r="O248" s="228">
        <f t="shared" si="11"/>
        <v>0</v>
      </c>
    </row>
    <row r="249" spans="1:15" s="231" customFormat="1" ht="11.25">
      <c r="A249" s="166"/>
      <c r="B249" s="234"/>
      <c r="C249" s="234"/>
      <c r="D249" s="234"/>
      <c r="E249" s="234"/>
      <c r="F249" s="234"/>
      <c r="G249" s="234"/>
      <c r="H249" s="255"/>
      <c r="I249" s="256"/>
      <c r="J249" s="140"/>
      <c r="K249" s="234"/>
      <c r="L249" s="229" t="str">
        <f t="shared" si="9"/>
        <v/>
      </c>
      <c r="M249" s="232" t="s">
        <v>119</v>
      </c>
      <c r="N249" s="228" t="str">
        <f t="shared" si="10"/>
        <v/>
      </c>
      <c r="O249" s="228">
        <f t="shared" si="11"/>
        <v>0</v>
      </c>
    </row>
    <row r="250" spans="1:15" s="231" customFormat="1" ht="11.25">
      <c r="A250" s="166"/>
      <c r="B250" s="234"/>
      <c r="C250" s="234"/>
      <c r="D250" s="234"/>
      <c r="E250" s="234"/>
      <c r="F250" s="234"/>
      <c r="G250" s="234"/>
      <c r="H250" s="255"/>
      <c r="I250" s="256"/>
      <c r="J250" s="140"/>
      <c r="K250" s="234"/>
      <c r="L250" s="229" t="str">
        <f t="shared" si="9"/>
        <v/>
      </c>
      <c r="M250" s="232" t="s">
        <v>119</v>
      </c>
      <c r="N250" s="228" t="str">
        <f t="shared" si="10"/>
        <v/>
      </c>
      <c r="O250" s="228">
        <f t="shared" si="11"/>
        <v>0</v>
      </c>
    </row>
    <row r="251" spans="1:15" s="231" customFormat="1" ht="11.25">
      <c r="A251" s="166"/>
      <c r="B251" s="234"/>
      <c r="C251" s="234"/>
      <c r="D251" s="234"/>
      <c r="E251" s="234"/>
      <c r="F251" s="234"/>
      <c r="G251" s="234"/>
      <c r="H251" s="255"/>
      <c r="I251" s="256"/>
      <c r="J251" s="140"/>
      <c r="K251" s="234"/>
      <c r="L251" s="229" t="str">
        <f t="shared" si="9"/>
        <v/>
      </c>
      <c r="M251" s="232" t="s">
        <v>119</v>
      </c>
      <c r="N251" s="228" t="str">
        <f t="shared" si="10"/>
        <v/>
      </c>
      <c r="O251" s="228">
        <f t="shared" si="11"/>
        <v>0</v>
      </c>
    </row>
    <row r="252" spans="1:15" s="231" customFormat="1" ht="11.25">
      <c r="A252" s="166"/>
      <c r="B252" s="234"/>
      <c r="C252" s="234"/>
      <c r="D252" s="234"/>
      <c r="E252" s="234"/>
      <c r="F252" s="234"/>
      <c r="G252" s="234"/>
      <c r="H252" s="255"/>
      <c r="I252" s="256"/>
      <c r="J252" s="140"/>
      <c r="K252" s="234"/>
      <c r="L252" s="229" t="str">
        <f t="shared" si="9"/>
        <v/>
      </c>
      <c r="M252" s="232" t="s">
        <v>119</v>
      </c>
      <c r="N252" s="228" t="str">
        <f t="shared" si="10"/>
        <v/>
      </c>
      <c r="O252" s="228">
        <f t="shared" si="11"/>
        <v>0</v>
      </c>
    </row>
    <row r="253" spans="1:15" s="231" customFormat="1" ht="11.25">
      <c r="A253" s="166"/>
      <c r="B253" s="234"/>
      <c r="C253" s="234"/>
      <c r="D253" s="234"/>
      <c r="E253" s="234"/>
      <c r="F253" s="234"/>
      <c r="G253" s="234"/>
      <c r="H253" s="255"/>
      <c r="I253" s="256"/>
      <c r="J253" s="140"/>
      <c r="K253" s="234"/>
      <c r="L253" s="229" t="str">
        <f t="shared" si="9"/>
        <v/>
      </c>
      <c r="M253" s="232" t="s">
        <v>119</v>
      </c>
      <c r="N253" s="228" t="str">
        <f t="shared" si="10"/>
        <v/>
      </c>
      <c r="O253" s="228">
        <f t="shared" si="11"/>
        <v>0</v>
      </c>
    </row>
    <row r="254" spans="1:15" s="231" customFormat="1" ht="11.25">
      <c r="A254" s="166"/>
      <c r="B254" s="234"/>
      <c r="C254" s="234"/>
      <c r="D254" s="234"/>
      <c r="E254" s="234"/>
      <c r="F254" s="234"/>
      <c r="G254" s="234"/>
      <c r="H254" s="255"/>
      <c r="I254" s="256"/>
      <c r="J254" s="140"/>
      <c r="K254" s="234"/>
      <c r="L254" s="229" t="str">
        <f t="shared" si="9"/>
        <v/>
      </c>
      <c r="M254" s="232" t="s">
        <v>119</v>
      </c>
      <c r="N254" s="228" t="str">
        <f t="shared" si="10"/>
        <v/>
      </c>
      <c r="O254" s="228">
        <f t="shared" si="11"/>
        <v>0</v>
      </c>
    </row>
    <row r="255" spans="1:15" s="231" customFormat="1" ht="11.25">
      <c r="A255" s="166"/>
      <c r="B255" s="234"/>
      <c r="C255" s="234"/>
      <c r="D255" s="234"/>
      <c r="E255" s="234"/>
      <c r="F255" s="234"/>
      <c r="G255" s="234"/>
      <c r="H255" s="255"/>
      <c r="I255" s="256"/>
      <c r="J255" s="140"/>
      <c r="K255" s="234"/>
      <c r="L255" s="229" t="str">
        <f t="shared" si="9"/>
        <v/>
      </c>
      <c r="M255" s="232" t="s">
        <v>119</v>
      </c>
      <c r="N255" s="228" t="str">
        <f t="shared" si="10"/>
        <v/>
      </c>
      <c r="O255" s="228">
        <f t="shared" si="11"/>
        <v>0</v>
      </c>
    </row>
    <row r="256" spans="1:15" s="231" customFormat="1" ht="11.25">
      <c r="A256" s="166"/>
      <c r="B256" s="234"/>
      <c r="C256" s="234"/>
      <c r="D256" s="234"/>
      <c r="E256" s="234"/>
      <c r="F256" s="234"/>
      <c r="G256" s="234"/>
      <c r="H256" s="255"/>
      <c r="I256" s="256"/>
      <c r="J256" s="140"/>
      <c r="K256" s="234"/>
      <c r="L256" s="229" t="str">
        <f t="shared" si="9"/>
        <v/>
      </c>
      <c r="M256" s="232" t="s">
        <v>119</v>
      </c>
      <c r="N256" s="228" t="str">
        <f t="shared" si="10"/>
        <v/>
      </c>
      <c r="O256" s="228">
        <f t="shared" si="11"/>
        <v>0</v>
      </c>
    </row>
    <row r="257" spans="1:15" s="231" customFormat="1" ht="11.25">
      <c r="A257" s="166"/>
      <c r="B257" s="234"/>
      <c r="C257" s="234"/>
      <c r="D257" s="234"/>
      <c r="E257" s="234"/>
      <c r="F257" s="234"/>
      <c r="G257" s="234"/>
      <c r="H257" s="255"/>
      <c r="I257" s="256"/>
      <c r="J257" s="140"/>
      <c r="K257" s="234"/>
      <c r="L257" s="229" t="str">
        <f t="shared" si="9"/>
        <v/>
      </c>
      <c r="M257" s="232" t="s">
        <v>119</v>
      </c>
      <c r="N257" s="228" t="str">
        <f t="shared" si="10"/>
        <v/>
      </c>
      <c r="O257" s="228">
        <f t="shared" si="11"/>
        <v>0</v>
      </c>
    </row>
    <row r="258" spans="1:15" s="231" customFormat="1" ht="11.25">
      <c r="A258" s="166"/>
      <c r="B258" s="234"/>
      <c r="C258" s="234"/>
      <c r="D258" s="234"/>
      <c r="E258" s="234"/>
      <c r="F258" s="234"/>
      <c r="G258" s="234"/>
      <c r="H258" s="255"/>
      <c r="I258" s="256"/>
      <c r="J258" s="140"/>
      <c r="K258" s="234"/>
      <c r="L258" s="229" t="str">
        <f t="shared" si="9"/>
        <v/>
      </c>
      <c r="M258" s="232" t="s">
        <v>119</v>
      </c>
      <c r="N258" s="228" t="str">
        <f t="shared" si="10"/>
        <v/>
      </c>
      <c r="O258" s="228">
        <f t="shared" si="11"/>
        <v>0</v>
      </c>
    </row>
    <row r="259" spans="1:15" s="231" customFormat="1" ht="11.25">
      <c r="A259" s="166"/>
      <c r="B259" s="234"/>
      <c r="C259" s="234"/>
      <c r="D259" s="234"/>
      <c r="E259" s="234"/>
      <c r="F259" s="234"/>
      <c r="G259" s="234"/>
      <c r="H259" s="255"/>
      <c r="I259" s="256"/>
      <c r="J259" s="140"/>
      <c r="K259" s="234"/>
      <c r="L259" s="229" t="str">
        <f t="shared" si="9"/>
        <v/>
      </c>
      <c r="M259" s="232" t="s">
        <v>119</v>
      </c>
      <c r="N259" s="228" t="str">
        <f t="shared" si="10"/>
        <v/>
      </c>
      <c r="O259" s="228">
        <f t="shared" si="11"/>
        <v>0</v>
      </c>
    </row>
    <row r="260" spans="1:15" s="231" customFormat="1" ht="11.25">
      <c r="A260" s="166"/>
      <c r="B260" s="234"/>
      <c r="C260" s="234"/>
      <c r="D260" s="234"/>
      <c r="E260" s="234"/>
      <c r="F260" s="234"/>
      <c r="G260" s="234"/>
      <c r="H260" s="255"/>
      <c r="I260" s="256"/>
      <c r="J260" s="140"/>
      <c r="K260" s="234"/>
      <c r="L260" s="229" t="str">
        <f t="shared" si="9"/>
        <v/>
      </c>
      <c r="M260" s="232" t="s">
        <v>119</v>
      </c>
      <c r="N260" s="228" t="str">
        <f t="shared" si="10"/>
        <v/>
      </c>
      <c r="O260" s="228">
        <f t="shared" si="11"/>
        <v>0</v>
      </c>
    </row>
    <row r="261" spans="1:15" s="231" customFormat="1" ht="11.25">
      <c r="A261" s="166"/>
      <c r="B261" s="234"/>
      <c r="C261" s="234"/>
      <c r="D261" s="234"/>
      <c r="E261" s="234"/>
      <c r="F261" s="234"/>
      <c r="G261" s="234"/>
      <c r="H261" s="255"/>
      <c r="I261" s="256"/>
      <c r="J261" s="140"/>
      <c r="K261" s="234"/>
      <c r="L261" s="229" t="str">
        <f t="shared" si="9"/>
        <v/>
      </c>
      <c r="M261" s="232" t="s">
        <v>119</v>
      </c>
      <c r="N261" s="228" t="str">
        <f t="shared" si="10"/>
        <v/>
      </c>
      <c r="O261" s="228">
        <f t="shared" si="11"/>
        <v>0</v>
      </c>
    </row>
    <row r="262" spans="1:15" s="231" customFormat="1" ht="11.25">
      <c r="A262" s="166"/>
      <c r="B262" s="234"/>
      <c r="C262" s="234"/>
      <c r="D262" s="234"/>
      <c r="E262" s="234"/>
      <c r="F262" s="234"/>
      <c r="G262" s="234"/>
      <c r="H262" s="255"/>
      <c r="I262" s="256"/>
      <c r="J262" s="140"/>
      <c r="K262" s="234"/>
      <c r="L262" s="229" t="str">
        <f t="shared" si="9"/>
        <v/>
      </c>
      <c r="M262" s="232" t="s">
        <v>119</v>
      </c>
      <c r="N262" s="228" t="str">
        <f t="shared" si="10"/>
        <v/>
      </c>
      <c r="O262" s="228">
        <f t="shared" si="11"/>
        <v>0</v>
      </c>
    </row>
    <row r="263" spans="1:15" s="231" customFormat="1" ht="11.25">
      <c r="A263" s="166"/>
      <c r="B263" s="234"/>
      <c r="C263" s="234"/>
      <c r="D263" s="234"/>
      <c r="E263" s="234"/>
      <c r="F263" s="234"/>
      <c r="G263" s="234"/>
      <c r="H263" s="255"/>
      <c r="I263" s="256"/>
      <c r="J263" s="140"/>
      <c r="K263" s="234"/>
      <c r="L263" s="229" t="str">
        <f t="shared" ref="L263:L326" si="12">LEFT(B263,2)</f>
        <v/>
      </c>
      <c r="M263" s="232" t="s">
        <v>119</v>
      </c>
      <c r="N263" s="228" t="str">
        <f t="shared" ref="N263:N326" si="13">RIGHT(F263,3)</f>
        <v/>
      </c>
      <c r="O263" s="228">
        <f t="shared" si="11"/>
        <v>0</v>
      </c>
    </row>
    <row r="264" spans="1:15" s="231" customFormat="1" ht="11.25">
      <c r="A264" s="166"/>
      <c r="B264" s="234"/>
      <c r="C264" s="234"/>
      <c r="D264" s="234"/>
      <c r="E264" s="234"/>
      <c r="F264" s="234"/>
      <c r="G264" s="234"/>
      <c r="H264" s="255"/>
      <c r="I264" s="256"/>
      <c r="J264" s="140"/>
      <c r="K264" s="234"/>
      <c r="L264" s="229" t="str">
        <f t="shared" si="12"/>
        <v/>
      </c>
      <c r="M264" s="232" t="s">
        <v>119</v>
      </c>
      <c r="N264" s="228" t="str">
        <f t="shared" si="13"/>
        <v/>
      </c>
      <c r="O264" s="228">
        <f t="shared" ref="O264:O327" si="14">H264*A264</f>
        <v>0</v>
      </c>
    </row>
    <row r="265" spans="1:15" s="231" customFormat="1" ht="11.25">
      <c r="A265" s="166"/>
      <c r="B265" s="234"/>
      <c r="C265" s="234"/>
      <c r="D265" s="234"/>
      <c r="E265" s="234"/>
      <c r="F265" s="234"/>
      <c r="G265" s="234"/>
      <c r="H265" s="255"/>
      <c r="I265" s="256"/>
      <c r="J265" s="140"/>
      <c r="K265" s="234"/>
      <c r="L265" s="229" t="str">
        <f t="shared" si="12"/>
        <v/>
      </c>
      <c r="M265" s="232" t="s">
        <v>119</v>
      </c>
      <c r="N265" s="228" t="str">
        <f t="shared" si="13"/>
        <v/>
      </c>
      <c r="O265" s="228">
        <f t="shared" si="14"/>
        <v>0</v>
      </c>
    </row>
    <row r="266" spans="1:15" s="231" customFormat="1" ht="11.25">
      <c r="A266" s="166"/>
      <c r="B266" s="234"/>
      <c r="C266" s="234"/>
      <c r="D266" s="234"/>
      <c r="E266" s="234"/>
      <c r="F266" s="234"/>
      <c r="G266" s="234"/>
      <c r="H266" s="255"/>
      <c r="I266" s="256"/>
      <c r="J266" s="140"/>
      <c r="K266" s="234"/>
      <c r="L266" s="229" t="str">
        <f t="shared" si="12"/>
        <v/>
      </c>
      <c r="M266" s="232" t="s">
        <v>119</v>
      </c>
      <c r="N266" s="228" t="str">
        <f t="shared" si="13"/>
        <v/>
      </c>
      <c r="O266" s="228">
        <f t="shared" si="14"/>
        <v>0</v>
      </c>
    </row>
    <row r="267" spans="1:15" s="231" customFormat="1" ht="11.25">
      <c r="A267" s="166"/>
      <c r="B267" s="234"/>
      <c r="C267" s="234"/>
      <c r="D267" s="234"/>
      <c r="E267" s="234"/>
      <c r="F267" s="234"/>
      <c r="G267" s="234"/>
      <c r="H267" s="255"/>
      <c r="I267" s="256"/>
      <c r="J267" s="140"/>
      <c r="K267" s="234"/>
      <c r="L267" s="229" t="str">
        <f t="shared" si="12"/>
        <v/>
      </c>
      <c r="M267" s="232" t="s">
        <v>119</v>
      </c>
      <c r="N267" s="228" t="str">
        <f t="shared" si="13"/>
        <v/>
      </c>
      <c r="O267" s="228">
        <f t="shared" si="14"/>
        <v>0</v>
      </c>
    </row>
    <row r="268" spans="1:15" s="231" customFormat="1" ht="11.25">
      <c r="A268" s="166"/>
      <c r="B268" s="234"/>
      <c r="C268" s="234"/>
      <c r="D268" s="234"/>
      <c r="E268" s="234"/>
      <c r="F268" s="234"/>
      <c r="G268" s="234"/>
      <c r="H268" s="255"/>
      <c r="I268" s="256"/>
      <c r="J268" s="140"/>
      <c r="K268" s="234"/>
      <c r="L268" s="229" t="str">
        <f t="shared" si="12"/>
        <v/>
      </c>
      <c r="M268" s="232" t="s">
        <v>119</v>
      </c>
      <c r="N268" s="228" t="str">
        <f t="shared" si="13"/>
        <v/>
      </c>
      <c r="O268" s="228">
        <f t="shared" si="14"/>
        <v>0</v>
      </c>
    </row>
    <row r="269" spans="1:15" s="231" customFormat="1" ht="11.25">
      <c r="A269" s="166"/>
      <c r="B269" s="234"/>
      <c r="C269" s="234"/>
      <c r="D269" s="234"/>
      <c r="E269" s="234"/>
      <c r="F269" s="234"/>
      <c r="G269" s="234"/>
      <c r="H269" s="255"/>
      <c r="I269" s="256"/>
      <c r="J269" s="140"/>
      <c r="K269" s="234"/>
      <c r="L269" s="229" t="str">
        <f t="shared" si="12"/>
        <v/>
      </c>
      <c r="M269" s="232" t="s">
        <v>119</v>
      </c>
      <c r="N269" s="228" t="str">
        <f t="shared" si="13"/>
        <v/>
      </c>
      <c r="O269" s="228">
        <f t="shared" si="14"/>
        <v>0</v>
      </c>
    </row>
    <row r="270" spans="1:15" s="231" customFormat="1" ht="11.25">
      <c r="A270" s="166"/>
      <c r="B270" s="234"/>
      <c r="C270" s="234"/>
      <c r="D270" s="234"/>
      <c r="E270" s="234"/>
      <c r="F270" s="234"/>
      <c r="G270" s="234"/>
      <c r="H270" s="255"/>
      <c r="I270" s="256"/>
      <c r="J270" s="140"/>
      <c r="K270" s="234"/>
      <c r="L270" s="229" t="str">
        <f t="shared" si="12"/>
        <v/>
      </c>
      <c r="M270" s="232" t="s">
        <v>119</v>
      </c>
      <c r="N270" s="228" t="str">
        <f t="shared" si="13"/>
        <v/>
      </c>
      <c r="O270" s="228">
        <f t="shared" si="14"/>
        <v>0</v>
      </c>
    </row>
    <row r="271" spans="1:15" s="231" customFormat="1" ht="11.25">
      <c r="A271" s="166"/>
      <c r="B271" s="234"/>
      <c r="C271" s="234"/>
      <c r="D271" s="234"/>
      <c r="E271" s="234"/>
      <c r="F271" s="234"/>
      <c r="G271" s="234"/>
      <c r="H271" s="255"/>
      <c r="I271" s="256"/>
      <c r="J271" s="140"/>
      <c r="K271" s="234"/>
      <c r="L271" s="229" t="str">
        <f t="shared" si="12"/>
        <v/>
      </c>
      <c r="M271" s="232" t="s">
        <v>119</v>
      </c>
      <c r="N271" s="228" t="str">
        <f t="shared" si="13"/>
        <v/>
      </c>
      <c r="O271" s="228">
        <f t="shared" si="14"/>
        <v>0</v>
      </c>
    </row>
    <row r="272" spans="1:15" s="231" customFormat="1" ht="11.25">
      <c r="A272" s="166"/>
      <c r="B272" s="234"/>
      <c r="C272" s="234"/>
      <c r="D272" s="234"/>
      <c r="E272" s="234"/>
      <c r="F272" s="234"/>
      <c r="G272" s="234"/>
      <c r="H272" s="255"/>
      <c r="I272" s="256"/>
      <c r="J272" s="140"/>
      <c r="K272" s="234"/>
      <c r="L272" s="229" t="str">
        <f t="shared" si="12"/>
        <v/>
      </c>
      <c r="M272" s="232" t="s">
        <v>119</v>
      </c>
      <c r="N272" s="228" t="str">
        <f t="shared" si="13"/>
        <v/>
      </c>
      <c r="O272" s="228">
        <f t="shared" si="14"/>
        <v>0</v>
      </c>
    </row>
    <row r="273" spans="1:15" s="231" customFormat="1" ht="11.25">
      <c r="A273" s="166"/>
      <c r="B273" s="234"/>
      <c r="C273" s="234"/>
      <c r="D273" s="234"/>
      <c r="E273" s="234"/>
      <c r="F273" s="234"/>
      <c r="G273" s="234"/>
      <c r="H273" s="255"/>
      <c r="I273" s="256"/>
      <c r="J273" s="140"/>
      <c r="K273" s="234"/>
      <c r="L273" s="229" t="str">
        <f t="shared" si="12"/>
        <v/>
      </c>
      <c r="M273" s="232" t="s">
        <v>119</v>
      </c>
      <c r="N273" s="228" t="str">
        <f t="shared" si="13"/>
        <v/>
      </c>
      <c r="O273" s="228">
        <f t="shared" si="14"/>
        <v>0</v>
      </c>
    </row>
    <row r="274" spans="1:15" s="231" customFormat="1" ht="11.25">
      <c r="A274" s="166"/>
      <c r="B274" s="234"/>
      <c r="C274" s="234"/>
      <c r="D274" s="234"/>
      <c r="E274" s="234"/>
      <c r="F274" s="234"/>
      <c r="G274" s="234"/>
      <c r="H274" s="255"/>
      <c r="I274" s="256"/>
      <c r="J274" s="140"/>
      <c r="K274" s="234"/>
      <c r="L274" s="229" t="str">
        <f t="shared" si="12"/>
        <v/>
      </c>
      <c r="M274" s="232" t="s">
        <v>119</v>
      </c>
      <c r="N274" s="228" t="str">
        <f t="shared" si="13"/>
        <v/>
      </c>
      <c r="O274" s="228">
        <f t="shared" si="14"/>
        <v>0</v>
      </c>
    </row>
    <row r="275" spans="1:15" s="231" customFormat="1" ht="11.25">
      <c r="A275" s="166"/>
      <c r="B275" s="234"/>
      <c r="C275" s="234"/>
      <c r="D275" s="234"/>
      <c r="E275" s="234"/>
      <c r="F275" s="234"/>
      <c r="G275" s="234"/>
      <c r="H275" s="255"/>
      <c r="I275" s="256"/>
      <c r="J275" s="140"/>
      <c r="K275" s="234"/>
      <c r="L275" s="229" t="str">
        <f t="shared" si="12"/>
        <v/>
      </c>
      <c r="M275" s="232" t="s">
        <v>119</v>
      </c>
      <c r="N275" s="228" t="str">
        <f t="shared" si="13"/>
        <v/>
      </c>
      <c r="O275" s="228">
        <f t="shared" si="14"/>
        <v>0</v>
      </c>
    </row>
    <row r="276" spans="1:15" s="231" customFormat="1" ht="11.25">
      <c r="A276" s="166"/>
      <c r="B276" s="234"/>
      <c r="C276" s="234"/>
      <c r="D276" s="234"/>
      <c r="E276" s="234"/>
      <c r="F276" s="234"/>
      <c r="G276" s="234"/>
      <c r="H276" s="255"/>
      <c r="I276" s="256"/>
      <c r="J276" s="140"/>
      <c r="K276" s="234"/>
      <c r="L276" s="229" t="str">
        <f t="shared" si="12"/>
        <v/>
      </c>
      <c r="M276" s="232" t="s">
        <v>119</v>
      </c>
      <c r="N276" s="228" t="str">
        <f t="shared" si="13"/>
        <v/>
      </c>
      <c r="O276" s="228">
        <f t="shared" si="14"/>
        <v>0</v>
      </c>
    </row>
    <row r="277" spans="1:15" s="231" customFormat="1" ht="11.25">
      <c r="A277" s="166"/>
      <c r="B277" s="234"/>
      <c r="C277" s="234"/>
      <c r="D277" s="234"/>
      <c r="E277" s="234"/>
      <c r="F277" s="234"/>
      <c r="G277" s="234"/>
      <c r="H277" s="255"/>
      <c r="I277" s="256"/>
      <c r="J277" s="140"/>
      <c r="K277" s="234"/>
      <c r="L277" s="229" t="str">
        <f t="shared" si="12"/>
        <v/>
      </c>
      <c r="M277" s="232" t="s">
        <v>119</v>
      </c>
      <c r="N277" s="228" t="str">
        <f t="shared" si="13"/>
        <v/>
      </c>
      <c r="O277" s="228">
        <f t="shared" si="14"/>
        <v>0</v>
      </c>
    </row>
    <row r="278" spans="1:15" s="231" customFormat="1" ht="11.25">
      <c r="A278" s="166"/>
      <c r="B278" s="234"/>
      <c r="C278" s="234"/>
      <c r="D278" s="234"/>
      <c r="E278" s="234"/>
      <c r="F278" s="234"/>
      <c r="G278" s="234"/>
      <c r="H278" s="255"/>
      <c r="I278" s="256"/>
      <c r="J278" s="140"/>
      <c r="K278" s="234"/>
      <c r="L278" s="229" t="str">
        <f t="shared" si="12"/>
        <v/>
      </c>
      <c r="M278" s="232" t="s">
        <v>119</v>
      </c>
      <c r="N278" s="228" t="str">
        <f t="shared" si="13"/>
        <v/>
      </c>
      <c r="O278" s="228">
        <f t="shared" si="14"/>
        <v>0</v>
      </c>
    </row>
    <row r="279" spans="1:15" s="231" customFormat="1" ht="11.25">
      <c r="A279" s="166"/>
      <c r="B279" s="234"/>
      <c r="C279" s="234"/>
      <c r="D279" s="234"/>
      <c r="E279" s="234"/>
      <c r="F279" s="234"/>
      <c r="G279" s="234"/>
      <c r="H279" s="255"/>
      <c r="I279" s="256"/>
      <c r="J279" s="140"/>
      <c r="K279" s="234"/>
      <c r="L279" s="229" t="str">
        <f t="shared" si="12"/>
        <v/>
      </c>
      <c r="M279" s="232" t="s">
        <v>119</v>
      </c>
      <c r="N279" s="228" t="str">
        <f t="shared" si="13"/>
        <v/>
      </c>
      <c r="O279" s="228">
        <f t="shared" si="14"/>
        <v>0</v>
      </c>
    </row>
    <row r="280" spans="1:15" s="231" customFormat="1" ht="11.25">
      <c r="A280" s="166"/>
      <c r="B280" s="234"/>
      <c r="C280" s="234"/>
      <c r="D280" s="234"/>
      <c r="E280" s="234"/>
      <c r="F280" s="234"/>
      <c r="G280" s="234"/>
      <c r="H280" s="255"/>
      <c r="I280" s="256"/>
      <c r="J280" s="140"/>
      <c r="K280" s="234"/>
      <c r="L280" s="229" t="str">
        <f t="shared" si="12"/>
        <v/>
      </c>
      <c r="M280" s="232" t="s">
        <v>119</v>
      </c>
      <c r="N280" s="228" t="str">
        <f t="shared" si="13"/>
        <v/>
      </c>
      <c r="O280" s="228">
        <f t="shared" si="14"/>
        <v>0</v>
      </c>
    </row>
    <row r="281" spans="1:15" s="231" customFormat="1" ht="11.25">
      <c r="A281" s="166"/>
      <c r="B281" s="234"/>
      <c r="C281" s="234"/>
      <c r="D281" s="234"/>
      <c r="E281" s="234"/>
      <c r="F281" s="234"/>
      <c r="G281" s="234"/>
      <c r="H281" s="255"/>
      <c r="I281" s="256"/>
      <c r="J281" s="140"/>
      <c r="K281" s="234"/>
      <c r="L281" s="229" t="str">
        <f t="shared" si="12"/>
        <v/>
      </c>
      <c r="M281" s="232" t="s">
        <v>119</v>
      </c>
      <c r="N281" s="228" t="str">
        <f t="shared" si="13"/>
        <v/>
      </c>
      <c r="O281" s="228">
        <f t="shared" si="14"/>
        <v>0</v>
      </c>
    </row>
    <row r="282" spans="1:15" s="231" customFormat="1" ht="11.25">
      <c r="A282" s="166"/>
      <c r="B282" s="234"/>
      <c r="C282" s="234"/>
      <c r="D282" s="234"/>
      <c r="E282" s="234"/>
      <c r="F282" s="234"/>
      <c r="G282" s="234"/>
      <c r="H282" s="255"/>
      <c r="I282" s="256"/>
      <c r="J282" s="140"/>
      <c r="K282" s="234"/>
      <c r="L282" s="229" t="str">
        <f t="shared" si="12"/>
        <v/>
      </c>
      <c r="M282" s="232" t="s">
        <v>119</v>
      </c>
      <c r="N282" s="228" t="str">
        <f t="shared" si="13"/>
        <v/>
      </c>
      <c r="O282" s="228">
        <f t="shared" si="14"/>
        <v>0</v>
      </c>
    </row>
    <row r="283" spans="1:15" s="231" customFormat="1" ht="11.25">
      <c r="A283" s="166"/>
      <c r="B283" s="234"/>
      <c r="C283" s="234"/>
      <c r="D283" s="234"/>
      <c r="E283" s="234"/>
      <c r="F283" s="234"/>
      <c r="G283" s="234"/>
      <c r="H283" s="255"/>
      <c r="I283" s="256"/>
      <c r="J283" s="140"/>
      <c r="K283" s="234"/>
      <c r="L283" s="229" t="str">
        <f t="shared" si="12"/>
        <v/>
      </c>
      <c r="M283" s="232" t="s">
        <v>119</v>
      </c>
      <c r="N283" s="228" t="str">
        <f t="shared" si="13"/>
        <v/>
      </c>
      <c r="O283" s="228">
        <f t="shared" si="14"/>
        <v>0</v>
      </c>
    </row>
    <row r="284" spans="1:15" s="231" customFormat="1" ht="11.25">
      <c r="A284" s="166"/>
      <c r="B284" s="234"/>
      <c r="C284" s="234"/>
      <c r="D284" s="234"/>
      <c r="E284" s="234"/>
      <c r="F284" s="234"/>
      <c r="G284" s="234"/>
      <c r="H284" s="255"/>
      <c r="I284" s="256"/>
      <c r="J284" s="140"/>
      <c r="K284" s="234"/>
      <c r="L284" s="229" t="str">
        <f t="shared" si="12"/>
        <v/>
      </c>
      <c r="M284" s="232" t="s">
        <v>119</v>
      </c>
      <c r="N284" s="228" t="str">
        <f t="shared" si="13"/>
        <v/>
      </c>
      <c r="O284" s="228">
        <f t="shared" si="14"/>
        <v>0</v>
      </c>
    </row>
    <row r="285" spans="1:15" s="231" customFormat="1" ht="11.25">
      <c r="A285" s="166"/>
      <c r="B285" s="234"/>
      <c r="C285" s="234"/>
      <c r="D285" s="234"/>
      <c r="E285" s="234"/>
      <c r="F285" s="234"/>
      <c r="G285" s="234"/>
      <c r="H285" s="255"/>
      <c r="I285" s="256"/>
      <c r="J285" s="140"/>
      <c r="K285" s="234"/>
      <c r="L285" s="229" t="str">
        <f t="shared" si="12"/>
        <v/>
      </c>
      <c r="M285" s="232" t="s">
        <v>119</v>
      </c>
      <c r="N285" s="228" t="str">
        <f t="shared" si="13"/>
        <v/>
      </c>
      <c r="O285" s="228">
        <f t="shared" si="14"/>
        <v>0</v>
      </c>
    </row>
    <row r="286" spans="1:15" s="231" customFormat="1" ht="11.25">
      <c r="A286" s="166"/>
      <c r="B286" s="234"/>
      <c r="C286" s="234"/>
      <c r="D286" s="234"/>
      <c r="E286" s="234"/>
      <c r="F286" s="234"/>
      <c r="G286" s="234"/>
      <c r="H286" s="255"/>
      <c r="I286" s="256"/>
      <c r="J286" s="140"/>
      <c r="K286" s="234"/>
      <c r="L286" s="229" t="str">
        <f t="shared" si="12"/>
        <v/>
      </c>
      <c r="M286" s="232" t="s">
        <v>119</v>
      </c>
      <c r="N286" s="228" t="str">
        <f t="shared" si="13"/>
        <v/>
      </c>
      <c r="O286" s="228">
        <f t="shared" si="14"/>
        <v>0</v>
      </c>
    </row>
    <row r="287" spans="1:15" s="231" customFormat="1" ht="11.25">
      <c r="A287" s="166"/>
      <c r="B287" s="234"/>
      <c r="C287" s="234"/>
      <c r="D287" s="234"/>
      <c r="E287" s="234"/>
      <c r="F287" s="234"/>
      <c r="G287" s="234"/>
      <c r="H287" s="255"/>
      <c r="I287" s="256"/>
      <c r="J287" s="140"/>
      <c r="K287" s="234"/>
      <c r="L287" s="229" t="str">
        <f t="shared" si="12"/>
        <v/>
      </c>
      <c r="M287" s="232" t="s">
        <v>119</v>
      </c>
      <c r="N287" s="228" t="str">
        <f t="shared" si="13"/>
        <v/>
      </c>
      <c r="O287" s="228">
        <f t="shared" si="14"/>
        <v>0</v>
      </c>
    </row>
    <row r="288" spans="1:15" s="231" customFormat="1" ht="11.25">
      <c r="A288" s="166"/>
      <c r="B288" s="234"/>
      <c r="C288" s="234"/>
      <c r="D288" s="234"/>
      <c r="E288" s="234"/>
      <c r="F288" s="234"/>
      <c r="G288" s="234"/>
      <c r="H288" s="255"/>
      <c r="I288" s="256"/>
      <c r="J288" s="140"/>
      <c r="K288" s="234"/>
      <c r="L288" s="229" t="str">
        <f t="shared" si="12"/>
        <v/>
      </c>
      <c r="M288" s="232" t="s">
        <v>119</v>
      </c>
      <c r="N288" s="228" t="str">
        <f t="shared" si="13"/>
        <v/>
      </c>
      <c r="O288" s="228">
        <f t="shared" si="14"/>
        <v>0</v>
      </c>
    </row>
    <row r="289" spans="1:15" s="231" customFormat="1" ht="11.25">
      <c r="A289" s="166"/>
      <c r="B289" s="234"/>
      <c r="C289" s="234"/>
      <c r="D289" s="234"/>
      <c r="E289" s="234"/>
      <c r="F289" s="234"/>
      <c r="G289" s="234"/>
      <c r="H289" s="255"/>
      <c r="I289" s="256"/>
      <c r="J289" s="140"/>
      <c r="K289" s="234"/>
      <c r="L289" s="229" t="str">
        <f t="shared" si="12"/>
        <v/>
      </c>
      <c r="M289" s="232" t="s">
        <v>119</v>
      </c>
      <c r="N289" s="228" t="str">
        <f t="shared" si="13"/>
        <v/>
      </c>
      <c r="O289" s="228">
        <f t="shared" si="14"/>
        <v>0</v>
      </c>
    </row>
    <row r="290" spans="1:15" s="231" customFormat="1" ht="11.25">
      <c r="A290" s="166"/>
      <c r="B290" s="234"/>
      <c r="C290" s="234"/>
      <c r="D290" s="234"/>
      <c r="E290" s="234"/>
      <c r="F290" s="234"/>
      <c r="G290" s="234"/>
      <c r="H290" s="255"/>
      <c r="I290" s="256"/>
      <c r="J290" s="140"/>
      <c r="K290" s="234"/>
      <c r="L290" s="229" t="str">
        <f t="shared" si="12"/>
        <v/>
      </c>
      <c r="M290" s="232" t="s">
        <v>119</v>
      </c>
      <c r="N290" s="228" t="str">
        <f t="shared" si="13"/>
        <v/>
      </c>
      <c r="O290" s="228">
        <f t="shared" si="14"/>
        <v>0</v>
      </c>
    </row>
    <row r="291" spans="1:15" s="231" customFormat="1" ht="11.25">
      <c r="A291" s="166"/>
      <c r="B291" s="234"/>
      <c r="C291" s="234"/>
      <c r="D291" s="234"/>
      <c r="E291" s="234"/>
      <c r="F291" s="234"/>
      <c r="G291" s="234"/>
      <c r="H291" s="255"/>
      <c r="I291" s="256"/>
      <c r="J291" s="140"/>
      <c r="K291" s="234"/>
      <c r="L291" s="229" t="str">
        <f t="shared" si="12"/>
        <v/>
      </c>
      <c r="M291" s="232" t="s">
        <v>119</v>
      </c>
      <c r="N291" s="228" t="str">
        <f t="shared" si="13"/>
        <v/>
      </c>
      <c r="O291" s="228">
        <f t="shared" si="14"/>
        <v>0</v>
      </c>
    </row>
    <row r="292" spans="1:15" s="231" customFormat="1" ht="11.25">
      <c r="A292" s="166"/>
      <c r="B292" s="234"/>
      <c r="C292" s="234"/>
      <c r="D292" s="234"/>
      <c r="E292" s="234"/>
      <c r="F292" s="234"/>
      <c r="G292" s="234"/>
      <c r="H292" s="255"/>
      <c r="I292" s="256"/>
      <c r="J292" s="140"/>
      <c r="K292" s="234"/>
      <c r="L292" s="229" t="str">
        <f t="shared" si="12"/>
        <v/>
      </c>
      <c r="M292" s="232" t="s">
        <v>119</v>
      </c>
      <c r="N292" s="228" t="str">
        <f t="shared" si="13"/>
        <v/>
      </c>
      <c r="O292" s="228">
        <f t="shared" si="14"/>
        <v>0</v>
      </c>
    </row>
    <row r="293" spans="1:15" s="231" customFormat="1" ht="11.25">
      <c r="A293" s="166"/>
      <c r="B293" s="234"/>
      <c r="C293" s="234"/>
      <c r="D293" s="234"/>
      <c r="E293" s="234"/>
      <c r="F293" s="234"/>
      <c r="G293" s="234"/>
      <c r="H293" s="255"/>
      <c r="I293" s="256"/>
      <c r="J293" s="140"/>
      <c r="K293" s="234"/>
      <c r="L293" s="229" t="str">
        <f t="shared" si="12"/>
        <v/>
      </c>
      <c r="M293" s="232" t="s">
        <v>119</v>
      </c>
      <c r="N293" s="228" t="str">
        <f t="shared" si="13"/>
        <v/>
      </c>
      <c r="O293" s="228">
        <f t="shared" si="14"/>
        <v>0</v>
      </c>
    </row>
    <row r="294" spans="1:15" s="231" customFormat="1" ht="11.25">
      <c r="A294" s="166"/>
      <c r="B294" s="234"/>
      <c r="C294" s="234"/>
      <c r="D294" s="234"/>
      <c r="E294" s="234"/>
      <c r="F294" s="234"/>
      <c r="G294" s="234"/>
      <c r="H294" s="255"/>
      <c r="I294" s="256"/>
      <c r="J294" s="140"/>
      <c r="K294" s="234"/>
      <c r="L294" s="229" t="str">
        <f t="shared" si="12"/>
        <v/>
      </c>
      <c r="M294" s="232" t="s">
        <v>119</v>
      </c>
      <c r="N294" s="228" t="str">
        <f t="shared" si="13"/>
        <v/>
      </c>
      <c r="O294" s="228">
        <f t="shared" si="14"/>
        <v>0</v>
      </c>
    </row>
    <row r="295" spans="1:15" s="231" customFormat="1" ht="11.25">
      <c r="A295" s="166"/>
      <c r="B295" s="234"/>
      <c r="C295" s="234"/>
      <c r="D295" s="234"/>
      <c r="E295" s="234"/>
      <c r="F295" s="234"/>
      <c r="G295" s="234"/>
      <c r="H295" s="255"/>
      <c r="I295" s="256"/>
      <c r="J295" s="140"/>
      <c r="K295" s="234"/>
      <c r="L295" s="229" t="str">
        <f t="shared" si="12"/>
        <v/>
      </c>
      <c r="M295" s="232" t="s">
        <v>119</v>
      </c>
      <c r="N295" s="228" t="str">
        <f t="shared" si="13"/>
        <v/>
      </c>
      <c r="O295" s="228">
        <f t="shared" si="14"/>
        <v>0</v>
      </c>
    </row>
    <row r="296" spans="1:15" s="231" customFormat="1" ht="11.25">
      <c r="A296" s="166"/>
      <c r="B296" s="234"/>
      <c r="C296" s="234"/>
      <c r="D296" s="234"/>
      <c r="E296" s="234"/>
      <c r="F296" s="234"/>
      <c r="G296" s="234"/>
      <c r="H296" s="255"/>
      <c r="I296" s="256"/>
      <c r="J296" s="140"/>
      <c r="K296" s="234"/>
      <c r="L296" s="229" t="str">
        <f t="shared" si="12"/>
        <v/>
      </c>
      <c r="M296" s="232" t="s">
        <v>119</v>
      </c>
      <c r="N296" s="228" t="str">
        <f t="shared" si="13"/>
        <v/>
      </c>
      <c r="O296" s="228">
        <f t="shared" si="14"/>
        <v>0</v>
      </c>
    </row>
    <row r="297" spans="1:15" s="231" customFormat="1" ht="11.25">
      <c r="A297" s="166"/>
      <c r="B297" s="234"/>
      <c r="C297" s="234"/>
      <c r="D297" s="234"/>
      <c r="E297" s="234"/>
      <c r="F297" s="234"/>
      <c r="G297" s="234"/>
      <c r="H297" s="255"/>
      <c r="I297" s="256"/>
      <c r="J297" s="140"/>
      <c r="K297" s="234"/>
      <c r="L297" s="229" t="str">
        <f t="shared" si="12"/>
        <v/>
      </c>
      <c r="M297" s="232" t="s">
        <v>119</v>
      </c>
      <c r="N297" s="228" t="str">
        <f t="shared" si="13"/>
        <v/>
      </c>
      <c r="O297" s="228">
        <f t="shared" si="14"/>
        <v>0</v>
      </c>
    </row>
    <row r="298" spans="1:15" s="231" customFormat="1" ht="11.25">
      <c r="A298" s="166"/>
      <c r="B298" s="234"/>
      <c r="C298" s="234"/>
      <c r="D298" s="234"/>
      <c r="E298" s="234"/>
      <c r="F298" s="234"/>
      <c r="G298" s="234"/>
      <c r="H298" s="255"/>
      <c r="I298" s="256"/>
      <c r="J298" s="140"/>
      <c r="K298" s="234"/>
      <c r="L298" s="229" t="str">
        <f t="shared" si="12"/>
        <v/>
      </c>
      <c r="M298" s="232" t="s">
        <v>119</v>
      </c>
      <c r="N298" s="228" t="str">
        <f t="shared" si="13"/>
        <v/>
      </c>
      <c r="O298" s="228">
        <f t="shared" si="14"/>
        <v>0</v>
      </c>
    </row>
    <row r="299" spans="1:15" s="231" customFormat="1" ht="11.25">
      <c r="A299" s="166"/>
      <c r="B299" s="234"/>
      <c r="C299" s="234"/>
      <c r="D299" s="234"/>
      <c r="E299" s="234"/>
      <c r="F299" s="234"/>
      <c r="G299" s="234"/>
      <c r="H299" s="255"/>
      <c r="I299" s="256"/>
      <c r="J299" s="140"/>
      <c r="K299" s="234"/>
      <c r="L299" s="229" t="str">
        <f t="shared" si="12"/>
        <v/>
      </c>
      <c r="M299" s="232" t="s">
        <v>119</v>
      </c>
      <c r="N299" s="228" t="str">
        <f t="shared" si="13"/>
        <v/>
      </c>
      <c r="O299" s="228">
        <f t="shared" si="14"/>
        <v>0</v>
      </c>
    </row>
    <row r="300" spans="1:15" s="231" customFormat="1" ht="11.25">
      <c r="A300" s="166"/>
      <c r="B300" s="234"/>
      <c r="C300" s="234"/>
      <c r="D300" s="234"/>
      <c r="E300" s="234"/>
      <c r="F300" s="234"/>
      <c r="G300" s="234"/>
      <c r="H300" s="255"/>
      <c r="I300" s="256"/>
      <c r="J300" s="140"/>
      <c r="K300" s="234"/>
      <c r="L300" s="229" t="str">
        <f t="shared" si="12"/>
        <v/>
      </c>
      <c r="M300" s="232" t="s">
        <v>119</v>
      </c>
      <c r="N300" s="228" t="str">
        <f t="shared" si="13"/>
        <v/>
      </c>
      <c r="O300" s="228">
        <f t="shared" si="14"/>
        <v>0</v>
      </c>
    </row>
    <row r="301" spans="1:15" s="231" customFormat="1" ht="11.25">
      <c r="A301" s="166"/>
      <c r="B301" s="234"/>
      <c r="C301" s="234"/>
      <c r="D301" s="234"/>
      <c r="E301" s="234"/>
      <c r="F301" s="234"/>
      <c r="G301" s="234"/>
      <c r="H301" s="255"/>
      <c r="I301" s="256"/>
      <c r="J301" s="140"/>
      <c r="K301" s="234"/>
      <c r="L301" s="229" t="str">
        <f t="shared" si="12"/>
        <v/>
      </c>
      <c r="M301" s="232" t="s">
        <v>119</v>
      </c>
      <c r="N301" s="228" t="str">
        <f t="shared" si="13"/>
        <v/>
      </c>
      <c r="O301" s="228">
        <f t="shared" si="14"/>
        <v>0</v>
      </c>
    </row>
    <row r="302" spans="1:15" s="231" customFormat="1" ht="11.25">
      <c r="A302" s="166"/>
      <c r="B302" s="234"/>
      <c r="C302" s="234"/>
      <c r="D302" s="234"/>
      <c r="E302" s="234"/>
      <c r="F302" s="234"/>
      <c r="G302" s="234"/>
      <c r="H302" s="255"/>
      <c r="I302" s="256"/>
      <c r="J302" s="140"/>
      <c r="K302" s="234"/>
      <c r="L302" s="229" t="str">
        <f t="shared" si="12"/>
        <v/>
      </c>
      <c r="M302" s="232" t="s">
        <v>119</v>
      </c>
      <c r="N302" s="228" t="str">
        <f t="shared" si="13"/>
        <v/>
      </c>
      <c r="O302" s="228">
        <f t="shared" si="14"/>
        <v>0</v>
      </c>
    </row>
    <row r="303" spans="1:15" s="231" customFormat="1" ht="11.25">
      <c r="A303" s="166"/>
      <c r="B303" s="234"/>
      <c r="C303" s="234"/>
      <c r="D303" s="234"/>
      <c r="E303" s="234"/>
      <c r="F303" s="234"/>
      <c r="G303" s="234"/>
      <c r="H303" s="255"/>
      <c r="I303" s="256"/>
      <c r="J303" s="140"/>
      <c r="K303" s="234"/>
      <c r="L303" s="229" t="str">
        <f t="shared" si="12"/>
        <v/>
      </c>
      <c r="M303" s="232" t="s">
        <v>119</v>
      </c>
      <c r="N303" s="228" t="str">
        <f t="shared" si="13"/>
        <v/>
      </c>
      <c r="O303" s="228">
        <f t="shared" si="14"/>
        <v>0</v>
      </c>
    </row>
    <row r="304" spans="1:15" s="231" customFormat="1" ht="11.25">
      <c r="A304" s="166"/>
      <c r="B304" s="234"/>
      <c r="C304" s="234"/>
      <c r="D304" s="234"/>
      <c r="E304" s="234"/>
      <c r="F304" s="234"/>
      <c r="G304" s="234"/>
      <c r="H304" s="255"/>
      <c r="I304" s="256"/>
      <c r="J304" s="140"/>
      <c r="K304" s="234"/>
      <c r="L304" s="229" t="str">
        <f t="shared" si="12"/>
        <v/>
      </c>
      <c r="M304" s="232" t="s">
        <v>119</v>
      </c>
      <c r="N304" s="228" t="str">
        <f t="shared" si="13"/>
        <v/>
      </c>
      <c r="O304" s="228">
        <f t="shared" si="14"/>
        <v>0</v>
      </c>
    </row>
    <row r="305" spans="1:15" s="231" customFormat="1" ht="11.25">
      <c r="A305" s="166"/>
      <c r="B305" s="234"/>
      <c r="C305" s="234"/>
      <c r="D305" s="234"/>
      <c r="E305" s="234"/>
      <c r="F305" s="234"/>
      <c r="G305" s="234"/>
      <c r="H305" s="255"/>
      <c r="I305" s="256"/>
      <c r="J305" s="140"/>
      <c r="K305" s="234"/>
      <c r="L305" s="229" t="str">
        <f t="shared" si="12"/>
        <v/>
      </c>
      <c r="M305" s="232" t="s">
        <v>119</v>
      </c>
      <c r="N305" s="228" t="str">
        <f t="shared" si="13"/>
        <v/>
      </c>
      <c r="O305" s="228">
        <f t="shared" si="14"/>
        <v>0</v>
      </c>
    </row>
    <row r="306" spans="1:15" s="231" customFormat="1" ht="11.25">
      <c r="A306" s="166"/>
      <c r="B306" s="234"/>
      <c r="C306" s="234"/>
      <c r="D306" s="234"/>
      <c r="E306" s="234"/>
      <c r="F306" s="234"/>
      <c r="G306" s="234"/>
      <c r="H306" s="255"/>
      <c r="I306" s="256"/>
      <c r="J306" s="140"/>
      <c r="K306" s="234"/>
      <c r="L306" s="229" t="str">
        <f t="shared" si="12"/>
        <v/>
      </c>
      <c r="M306" s="232" t="s">
        <v>119</v>
      </c>
      <c r="N306" s="228" t="str">
        <f t="shared" si="13"/>
        <v/>
      </c>
      <c r="O306" s="228">
        <f t="shared" si="14"/>
        <v>0</v>
      </c>
    </row>
    <row r="307" spans="1:15" s="231" customFormat="1" ht="11.25">
      <c r="A307" s="166"/>
      <c r="B307" s="234"/>
      <c r="C307" s="234"/>
      <c r="D307" s="234"/>
      <c r="E307" s="234"/>
      <c r="F307" s="234"/>
      <c r="G307" s="234"/>
      <c r="H307" s="255"/>
      <c r="I307" s="256"/>
      <c r="J307" s="140"/>
      <c r="K307" s="234"/>
      <c r="L307" s="229" t="str">
        <f t="shared" si="12"/>
        <v/>
      </c>
      <c r="M307" s="232" t="s">
        <v>119</v>
      </c>
      <c r="N307" s="228" t="str">
        <f t="shared" si="13"/>
        <v/>
      </c>
      <c r="O307" s="228">
        <f t="shared" si="14"/>
        <v>0</v>
      </c>
    </row>
    <row r="308" spans="1:15" s="231" customFormat="1" ht="11.25">
      <c r="A308" s="166"/>
      <c r="B308" s="234"/>
      <c r="C308" s="234"/>
      <c r="D308" s="234"/>
      <c r="E308" s="234"/>
      <c r="F308" s="234"/>
      <c r="G308" s="234"/>
      <c r="H308" s="255"/>
      <c r="I308" s="256"/>
      <c r="J308" s="140"/>
      <c r="K308" s="234"/>
      <c r="L308" s="229" t="str">
        <f t="shared" si="12"/>
        <v/>
      </c>
      <c r="M308" s="232" t="s">
        <v>119</v>
      </c>
      <c r="N308" s="228" t="str">
        <f t="shared" si="13"/>
        <v/>
      </c>
      <c r="O308" s="228">
        <f t="shared" si="14"/>
        <v>0</v>
      </c>
    </row>
    <row r="309" spans="1:15" s="231" customFormat="1" ht="11.25">
      <c r="A309" s="166"/>
      <c r="B309" s="234"/>
      <c r="C309" s="234"/>
      <c r="D309" s="234"/>
      <c r="E309" s="234"/>
      <c r="F309" s="234"/>
      <c r="G309" s="234"/>
      <c r="H309" s="255"/>
      <c r="I309" s="256"/>
      <c r="J309" s="140"/>
      <c r="K309" s="234"/>
      <c r="L309" s="229" t="str">
        <f t="shared" si="12"/>
        <v/>
      </c>
      <c r="M309" s="232" t="s">
        <v>119</v>
      </c>
      <c r="N309" s="228" t="str">
        <f t="shared" si="13"/>
        <v/>
      </c>
      <c r="O309" s="228">
        <f t="shared" si="14"/>
        <v>0</v>
      </c>
    </row>
    <row r="310" spans="1:15" s="231" customFormat="1" ht="11.25">
      <c r="A310" s="166"/>
      <c r="B310" s="234"/>
      <c r="C310" s="234"/>
      <c r="D310" s="234"/>
      <c r="E310" s="234"/>
      <c r="F310" s="234"/>
      <c r="G310" s="234"/>
      <c r="H310" s="255"/>
      <c r="I310" s="256"/>
      <c r="J310" s="140"/>
      <c r="K310" s="234"/>
      <c r="L310" s="229" t="str">
        <f t="shared" si="12"/>
        <v/>
      </c>
      <c r="M310" s="232" t="s">
        <v>119</v>
      </c>
      <c r="N310" s="228" t="str">
        <f t="shared" si="13"/>
        <v/>
      </c>
      <c r="O310" s="228">
        <f t="shared" si="14"/>
        <v>0</v>
      </c>
    </row>
    <row r="311" spans="1:15" s="231" customFormat="1" ht="11.25">
      <c r="A311" s="166"/>
      <c r="B311" s="234"/>
      <c r="C311" s="234"/>
      <c r="D311" s="234"/>
      <c r="E311" s="234"/>
      <c r="F311" s="234"/>
      <c r="G311" s="234"/>
      <c r="H311" s="255"/>
      <c r="I311" s="256"/>
      <c r="J311" s="140"/>
      <c r="K311" s="234"/>
      <c r="L311" s="229" t="str">
        <f t="shared" si="12"/>
        <v/>
      </c>
      <c r="M311" s="232" t="s">
        <v>119</v>
      </c>
      <c r="N311" s="228" t="str">
        <f t="shared" si="13"/>
        <v/>
      </c>
      <c r="O311" s="228">
        <f t="shared" si="14"/>
        <v>0</v>
      </c>
    </row>
    <row r="312" spans="1:15" s="231" customFormat="1" ht="11.25">
      <c r="A312" s="166"/>
      <c r="B312" s="234"/>
      <c r="C312" s="234"/>
      <c r="D312" s="234"/>
      <c r="E312" s="234"/>
      <c r="F312" s="234"/>
      <c r="G312" s="234"/>
      <c r="H312" s="255"/>
      <c r="I312" s="256"/>
      <c r="J312" s="140"/>
      <c r="K312" s="234"/>
      <c r="L312" s="229" t="str">
        <f t="shared" si="12"/>
        <v/>
      </c>
      <c r="M312" s="232" t="s">
        <v>119</v>
      </c>
      <c r="N312" s="228" t="str">
        <f t="shared" si="13"/>
        <v/>
      </c>
      <c r="O312" s="228">
        <f t="shared" si="14"/>
        <v>0</v>
      </c>
    </row>
    <row r="313" spans="1:15" s="231" customFormat="1" ht="11.25">
      <c r="A313" s="166"/>
      <c r="B313" s="234"/>
      <c r="C313" s="234"/>
      <c r="D313" s="234"/>
      <c r="E313" s="234"/>
      <c r="F313" s="234"/>
      <c r="G313" s="234"/>
      <c r="H313" s="255"/>
      <c r="I313" s="256"/>
      <c r="J313" s="140"/>
      <c r="K313" s="234"/>
      <c r="L313" s="229" t="str">
        <f t="shared" si="12"/>
        <v/>
      </c>
      <c r="M313" s="232" t="s">
        <v>119</v>
      </c>
      <c r="N313" s="228" t="str">
        <f t="shared" si="13"/>
        <v/>
      </c>
      <c r="O313" s="228">
        <f t="shared" si="14"/>
        <v>0</v>
      </c>
    </row>
    <row r="314" spans="1:15" s="231" customFormat="1" ht="11.25">
      <c r="A314" s="166"/>
      <c r="B314" s="234"/>
      <c r="C314" s="234"/>
      <c r="D314" s="234"/>
      <c r="E314" s="234"/>
      <c r="F314" s="234"/>
      <c r="G314" s="234"/>
      <c r="H314" s="255"/>
      <c r="I314" s="256"/>
      <c r="J314" s="140"/>
      <c r="K314" s="234"/>
      <c r="L314" s="229" t="str">
        <f t="shared" si="12"/>
        <v/>
      </c>
      <c r="M314" s="232" t="s">
        <v>119</v>
      </c>
      <c r="N314" s="228" t="str">
        <f t="shared" si="13"/>
        <v/>
      </c>
      <c r="O314" s="228">
        <f t="shared" si="14"/>
        <v>0</v>
      </c>
    </row>
    <row r="315" spans="1:15" s="231" customFormat="1" ht="11.25">
      <c r="A315" s="166"/>
      <c r="B315" s="234"/>
      <c r="C315" s="234"/>
      <c r="D315" s="234"/>
      <c r="E315" s="234"/>
      <c r="F315" s="234"/>
      <c r="G315" s="234"/>
      <c r="H315" s="255"/>
      <c r="I315" s="256"/>
      <c r="J315" s="140"/>
      <c r="K315" s="234"/>
      <c r="L315" s="229" t="str">
        <f t="shared" si="12"/>
        <v/>
      </c>
      <c r="M315" s="232" t="s">
        <v>119</v>
      </c>
      <c r="N315" s="228" t="str">
        <f t="shared" si="13"/>
        <v/>
      </c>
      <c r="O315" s="228">
        <f t="shared" si="14"/>
        <v>0</v>
      </c>
    </row>
    <row r="316" spans="1:15" s="231" customFormat="1" ht="11.25">
      <c r="A316" s="166"/>
      <c r="B316" s="234"/>
      <c r="C316" s="234"/>
      <c r="D316" s="234"/>
      <c r="E316" s="234"/>
      <c r="F316" s="234"/>
      <c r="G316" s="234"/>
      <c r="H316" s="255"/>
      <c r="I316" s="256"/>
      <c r="J316" s="140"/>
      <c r="K316" s="234"/>
      <c r="L316" s="229" t="str">
        <f t="shared" si="12"/>
        <v/>
      </c>
      <c r="M316" s="232" t="s">
        <v>119</v>
      </c>
      <c r="N316" s="228" t="str">
        <f t="shared" si="13"/>
        <v/>
      </c>
      <c r="O316" s="228">
        <f t="shared" si="14"/>
        <v>0</v>
      </c>
    </row>
    <row r="317" spans="1:15" s="231" customFormat="1" ht="11.25">
      <c r="A317" s="166"/>
      <c r="B317" s="234"/>
      <c r="C317" s="234"/>
      <c r="D317" s="234"/>
      <c r="E317" s="234"/>
      <c r="F317" s="234"/>
      <c r="G317" s="234"/>
      <c r="H317" s="255"/>
      <c r="I317" s="256"/>
      <c r="J317" s="140"/>
      <c r="K317" s="234"/>
      <c r="L317" s="229" t="str">
        <f t="shared" si="12"/>
        <v/>
      </c>
      <c r="M317" s="232" t="s">
        <v>119</v>
      </c>
      <c r="N317" s="228" t="str">
        <f t="shared" si="13"/>
        <v/>
      </c>
      <c r="O317" s="228">
        <f t="shared" si="14"/>
        <v>0</v>
      </c>
    </row>
    <row r="318" spans="1:15" s="231" customFormat="1" ht="11.25">
      <c r="A318" s="166"/>
      <c r="B318" s="234"/>
      <c r="C318" s="234"/>
      <c r="D318" s="234"/>
      <c r="E318" s="234"/>
      <c r="F318" s="234"/>
      <c r="G318" s="234"/>
      <c r="H318" s="255"/>
      <c r="I318" s="256"/>
      <c r="J318" s="140"/>
      <c r="K318" s="234"/>
      <c r="L318" s="229" t="str">
        <f t="shared" si="12"/>
        <v/>
      </c>
      <c r="M318" s="232" t="s">
        <v>119</v>
      </c>
      <c r="N318" s="228" t="str">
        <f t="shared" si="13"/>
        <v/>
      </c>
      <c r="O318" s="228">
        <f t="shared" si="14"/>
        <v>0</v>
      </c>
    </row>
    <row r="319" spans="1:15" s="231" customFormat="1" ht="11.25">
      <c r="A319" s="166"/>
      <c r="B319" s="234"/>
      <c r="C319" s="234"/>
      <c r="D319" s="234"/>
      <c r="E319" s="234"/>
      <c r="F319" s="234"/>
      <c r="G319" s="234"/>
      <c r="H319" s="255"/>
      <c r="I319" s="256"/>
      <c r="J319" s="140"/>
      <c r="K319" s="234"/>
      <c r="L319" s="229" t="str">
        <f t="shared" si="12"/>
        <v/>
      </c>
      <c r="M319" s="232" t="s">
        <v>119</v>
      </c>
      <c r="N319" s="228" t="str">
        <f t="shared" si="13"/>
        <v/>
      </c>
      <c r="O319" s="228">
        <f t="shared" si="14"/>
        <v>0</v>
      </c>
    </row>
    <row r="320" spans="1:15" s="231" customFormat="1" ht="11.25">
      <c r="A320" s="166"/>
      <c r="B320" s="234"/>
      <c r="C320" s="234"/>
      <c r="D320" s="234"/>
      <c r="E320" s="234"/>
      <c r="F320" s="234"/>
      <c r="G320" s="234"/>
      <c r="H320" s="255"/>
      <c r="I320" s="256"/>
      <c r="J320" s="140"/>
      <c r="K320" s="234"/>
      <c r="L320" s="229" t="str">
        <f t="shared" si="12"/>
        <v/>
      </c>
      <c r="M320" s="232" t="s">
        <v>119</v>
      </c>
      <c r="N320" s="228" t="str">
        <f t="shared" si="13"/>
        <v/>
      </c>
      <c r="O320" s="228">
        <f t="shared" si="14"/>
        <v>0</v>
      </c>
    </row>
    <row r="321" spans="1:15" s="231" customFormat="1" ht="11.25">
      <c r="A321" s="166"/>
      <c r="B321" s="234"/>
      <c r="C321" s="234"/>
      <c r="D321" s="234"/>
      <c r="E321" s="234"/>
      <c r="F321" s="234"/>
      <c r="G321" s="234"/>
      <c r="H321" s="255"/>
      <c r="I321" s="256"/>
      <c r="J321" s="140"/>
      <c r="K321" s="234"/>
      <c r="L321" s="229" t="str">
        <f t="shared" si="12"/>
        <v/>
      </c>
      <c r="M321" s="232" t="s">
        <v>119</v>
      </c>
      <c r="N321" s="228" t="str">
        <f t="shared" si="13"/>
        <v/>
      </c>
      <c r="O321" s="228">
        <f t="shared" si="14"/>
        <v>0</v>
      </c>
    </row>
    <row r="322" spans="1:15" s="231" customFormat="1" ht="11.25">
      <c r="A322" s="166"/>
      <c r="B322" s="234"/>
      <c r="C322" s="234"/>
      <c r="D322" s="234"/>
      <c r="E322" s="234"/>
      <c r="F322" s="234"/>
      <c r="G322" s="234"/>
      <c r="H322" s="255"/>
      <c r="I322" s="256"/>
      <c r="J322" s="140"/>
      <c r="K322" s="234"/>
      <c r="L322" s="229" t="str">
        <f t="shared" si="12"/>
        <v/>
      </c>
      <c r="M322" s="232" t="s">
        <v>119</v>
      </c>
      <c r="N322" s="228" t="str">
        <f t="shared" si="13"/>
        <v/>
      </c>
      <c r="O322" s="228">
        <f t="shared" si="14"/>
        <v>0</v>
      </c>
    </row>
    <row r="323" spans="1:15" s="231" customFormat="1" ht="11.25">
      <c r="A323" s="166"/>
      <c r="B323" s="234"/>
      <c r="C323" s="234"/>
      <c r="D323" s="234"/>
      <c r="E323" s="234"/>
      <c r="F323" s="234"/>
      <c r="G323" s="234"/>
      <c r="H323" s="255"/>
      <c r="I323" s="256"/>
      <c r="J323" s="140"/>
      <c r="K323" s="234"/>
      <c r="L323" s="229" t="str">
        <f t="shared" si="12"/>
        <v/>
      </c>
      <c r="M323" s="232" t="s">
        <v>119</v>
      </c>
      <c r="N323" s="228" t="str">
        <f t="shared" si="13"/>
        <v/>
      </c>
      <c r="O323" s="228">
        <f t="shared" si="14"/>
        <v>0</v>
      </c>
    </row>
    <row r="324" spans="1:15" s="231" customFormat="1" ht="11.25">
      <c r="A324" s="166"/>
      <c r="B324" s="234"/>
      <c r="C324" s="234"/>
      <c r="D324" s="234"/>
      <c r="E324" s="234"/>
      <c r="F324" s="234"/>
      <c r="G324" s="234"/>
      <c r="H324" s="255"/>
      <c r="I324" s="256"/>
      <c r="J324" s="140"/>
      <c r="K324" s="234"/>
      <c r="L324" s="229" t="str">
        <f t="shared" si="12"/>
        <v/>
      </c>
      <c r="M324" s="232" t="s">
        <v>119</v>
      </c>
      <c r="N324" s="228" t="str">
        <f t="shared" si="13"/>
        <v/>
      </c>
      <c r="O324" s="228">
        <f t="shared" si="14"/>
        <v>0</v>
      </c>
    </row>
    <row r="325" spans="1:15" s="231" customFormat="1" ht="11.25">
      <c r="A325" s="166"/>
      <c r="B325" s="234"/>
      <c r="C325" s="234"/>
      <c r="D325" s="234"/>
      <c r="E325" s="234"/>
      <c r="F325" s="234"/>
      <c r="G325" s="234"/>
      <c r="H325" s="255"/>
      <c r="I325" s="256"/>
      <c r="J325" s="140"/>
      <c r="K325" s="234"/>
      <c r="L325" s="229" t="str">
        <f t="shared" si="12"/>
        <v/>
      </c>
      <c r="M325" s="232" t="s">
        <v>119</v>
      </c>
      <c r="N325" s="228" t="str">
        <f t="shared" si="13"/>
        <v/>
      </c>
      <c r="O325" s="228">
        <f t="shared" si="14"/>
        <v>0</v>
      </c>
    </row>
    <row r="326" spans="1:15" s="231" customFormat="1" ht="11.25">
      <c r="A326" s="166"/>
      <c r="B326" s="234"/>
      <c r="C326" s="234"/>
      <c r="D326" s="234"/>
      <c r="E326" s="234"/>
      <c r="F326" s="234"/>
      <c r="G326" s="234"/>
      <c r="H326" s="255"/>
      <c r="I326" s="256"/>
      <c r="J326" s="140"/>
      <c r="K326" s="234"/>
      <c r="L326" s="229" t="str">
        <f t="shared" si="12"/>
        <v/>
      </c>
      <c r="M326" s="232" t="s">
        <v>119</v>
      </c>
      <c r="N326" s="228" t="str">
        <f t="shared" si="13"/>
        <v/>
      </c>
      <c r="O326" s="228">
        <f t="shared" si="14"/>
        <v>0</v>
      </c>
    </row>
    <row r="327" spans="1:15" s="231" customFormat="1" ht="11.25">
      <c r="A327" s="166"/>
      <c r="B327" s="234"/>
      <c r="C327" s="234"/>
      <c r="D327" s="234"/>
      <c r="E327" s="234"/>
      <c r="F327" s="234"/>
      <c r="G327" s="234"/>
      <c r="H327" s="255"/>
      <c r="I327" s="256"/>
      <c r="J327" s="140"/>
      <c r="K327" s="234"/>
      <c r="L327" s="229" t="str">
        <f t="shared" ref="L327:L390" si="15">LEFT(B327,2)</f>
        <v/>
      </c>
      <c r="M327" s="232" t="s">
        <v>119</v>
      </c>
      <c r="N327" s="228" t="str">
        <f t="shared" ref="N327:N390" si="16">RIGHT(F327,3)</f>
        <v/>
      </c>
      <c r="O327" s="228">
        <f t="shared" si="14"/>
        <v>0</v>
      </c>
    </row>
    <row r="328" spans="1:15" s="231" customFormat="1" ht="11.25">
      <c r="A328" s="166"/>
      <c r="B328" s="234"/>
      <c r="C328" s="234"/>
      <c r="D328" s="234"/>
      <c r="E328" s="234"/>
      <c r="F328" s="234"/>
      <c r="G328" s="234"/>
      <c r="H328" s="255"/>
      <c r="I328" s="256"/>
      <c r="J328" s="140"/>
      <c r="K328" s="234"/>
      <c r="L328" s="229" t="str">
        <f t="shared" si="15"/>
        <v/>
      </c>
      <c r="M328" s="232" t="s">
        <v>119</v>
      </c>
      <c r="N328" s="228" t="str">
        <f t="shared" si="16"/>
        <v/>
      </c>
      <c r="O328" s="228">
        <f t="shared" ref="O328:O391" si="17">H328*A328</f>
        <v>0</v>
      </c>
    </row>
    <row r="329" spans="1:15" s="231" customFormat="1" ht="11.25">
      <c r="A329" s="166"/>
      <c r="B329" s="234"/>
      <c r="C329" s="234"/>
      <c r="D329" s="234"/>
      <c r="E329" s="234"/>
      <c r="F329" s="234"/>
      <c r="G329" s="234"/>
      <c r="H329" s="255"/>
      <c r="I329" s="256"/>
      <c r="J329" s="140"/>
      <c r="K329" s="234"/>
      <c r="L329" s="229" t="str">
        <f t="shared" si="15"/>
        <v/>
      </c>
      <c r="M329" s="232" t="s">
        <v>119</v>
      </c>
      <c r="N329" s="228" t="str">
        <f t="shared" si="16"/>
        <v/>
      </c>
      <c r="O329" s="228">
        <f t="shared" si="17"/>
        <v>0</v>
      </c>
    </row>
    <row r="330" spans="1:15" s="231" customFormat="1" ht="11.25">
      <c r="A330" s="166"/>
      <c r="B330" s="234"/>
      <c r="C330" s="234"/>
      <c r="D330" s="234"/>
      <c r="E330" s="234"/>
      <c r="F330" s="234"/>
      <c r="G330" s="234"/>
      <c r="H330" s="255"/>
      <c r="I330" s="256"/>
      <c r="J330" s="140"/>
      <c r="K330" s="234"/>
      <c r="L330" s="229" t="str">
        <f t="shared" si="15"/>
        <v/>
      </c>
      <c r="M330" s="232" t="s">
        <v>119</v>
      </c>
      <c r="N330" s="228" t="str">
        <f t="shared" si="16"/>
        <v/>
      </c>
      <c r="O330" s="228">
        <f t="shared" si="17"/>
        <v>0</v>
      </c>
    </row>
    <row r="331" spans="1:15" s="231" customFormat="1" ht="11.25">
      <c r="A331" s="166"/>
      <c r="B331" s="234"/>
      <c r="C331" s="234"/>
      <c r="D331" s="234"/>
      <c r="E331" s="234"/>
      <c r="F331" s="234"/>
      <c r="G331" s="234"/>
      <c r="H331" s="255"/>
      <c r="I331" s="256"/>
      <c r="J331" s="140"/>
      <c r="K331" s="234"/>
      <c r="L331" s="229" t="str">
        <f t="shared" si="15"/>
        <v/>
      </c>
      <c r="M331" s="232" t="s">
        <v>119</v>
      </c>
      <c r="N331" s="228" t="str">
        <f t="shared" si="16"/>
        <v/>
      </c>
      <c r="O331" s="228">
        <f t="shared" si="17"/>
        <v>0</v>
      </c>
    </row>
    <row r="332" spans="1:15" s="231" customFormat="1" ht="11.25">
      <c r="A332" s="166"/>
      <c r="B332" s="234"/>
      <c r="C332" s="234"/>
      <c r="D332" s="234"/>
      <c r="E332" s="234"/>
      <c r="F332" s="234"/>
      <c r="G332" s="234"/>
      <c r="H332" s="255"/>
      <c r="I332" s="256"/>
      <c r="J332" s="140"/>
      <c r="K332" s="234"/>
      <c r="L332" s="229" t="str">
        <f t="shared" si="15"/>
        <v/>
      </c>
      <c r="M332" s="232" t="s">
        <v>119</v>
      </c>
      <c r="N332" s="228" t="str">
        <f t="shared" si="16"/>
        <v/>
      </c>
      <c r="O332" s="228">
        <f t="shared" si="17"/>
        <v>0</v>
      </c>
    </row>
    <row r="333" spans="1:15" s="231" customFormat="1" ht="11.25">
      <c r="A333" s="166"/>
      <c r="B333" s="234"/>
      <c r="C333" s="234"/>
      <c r="D333" s="234"/>
      <c r="E333" s="234"/>
      <c r="F333" s="234"/>
      <c r="G333" s="234"/>
      <c r="H333" s="255"/>
      <c r="I333" s="256"/>
      <c r="J333" s="140"/>
      <c r="K333" s="234"/>
      <c r="L333" s="229" t="str">
        <f t="shared" si="15"/>
        <v/>
      </c>
      <c r="M333" s="232" t="s">
        <v>119</v>
      </c>
      <c r="N333" s="228" t="str">
        <f t="shared" si="16"/>
        <v/>
      </c>
      <c r="O333" s="228">
        <f t="shared" si="17"/>
        <v>0</v>
      </c>
    </row>
    <row r="334" spans="1:15" s="231" customFormat="1" ht="11.25">
      <c r="A334" s="166"/>
      <c r="B334" s="234"/>
      <c r="C334" s="234"/>
      <c r="D334" s="234"/>
      <c r="E334" s="234"/>
      <c r="F334" s="234"/>
      <c r="G334" s="234"/>
      <c r="H334" s="255"/>
      <c r="I334" s="256"/>
      <c r="J334" s="140"/>
      <c r="K334" s="234"/>
      <c r="L334" s="229" t="str">
        <f t="shared" si="15"/>
        <v/>
      </c>
      <c r="M334" s="232" t="s">
        <v>119</v>
      </c>
      <c r="N334" s="228" t="str">
        <f t="shared" si="16"/>
        <v/>
      </c>
      <c r="O334" s="228">
        <f t="shared" si="17"/>
        <v>0</v>
      </c>
    </row>
    <row r="335" spans="1:15" s="231" customFormat="1" ht="11.25">
      <c r="A335" s="166"/>
      <c r="B335" s="234"/>
      <c r="C335" s="234"/>
      <c r="D335" s="234"/>
      <c r="E335" s="234"/>
      <c r="F335" s="234"/>
      <c r="G335" s="234"/>
      <c r="H335" s="255"/>
      <c r="I335" s="256"/>
      <c r="J335" s="140"/>
      <c r="K335" s="234"/>
      <c r="L335" s="229" t="str">
        <f t="shared" si="15"/>
        <v/>
      </c>
      <c r="M335" s="232" t="s">
        <v>119</v>
      </c>
      <c r="N335" s="228" t="str">
        <f t="shared" si="16"/>
        <v/>
      </c>
      <c r="O335" s="228">
        <f t="shared" si="17"/>
        <v>0</v>
      </c>
    </row>
    <row r="336" spans="1:15" s="231" customFormat="1" ht="11.25">
      <c r="A336" s="166"/>
      <c r="B336" s="234"/>
      <c r="C336" s="234"/>
      <c r="D336" s="234"/>
      <c r="E336" s="234"/>
      <c r="F336" s="234"/>
      <c r="G336" s="234"/>
      <c r="H336" s="255"/>
      <c r="I336" s="256"/>
      <c r="J336" s="140"/>
      <c r="K336" s="234"/>
      <c r="L336" s="229" t="str">
        <f t="shared" si="15"/>
        <v/>
      </c>
      <c r="M336" s="232" t="s">
        <v>119</v>
      </c>
      <c r="N336" s="228" t="str">
        <f t="shared" si="16"/>
        <v/>
      </c>
      <c r="O336" s="228">
        <f t="shared" si="17"/>
        <v>0</v>
      </c>
    </row>
    <row r="337" spans="1:15" s="231" customFormat="1" ht="11.25">
      <c r="A337" s="166"/>
      <c r="B337" s="234"/>
      <c r="C337" s="234"/>
      <c r="D337" s="234"/>
      <c r="E337" s="234"/>
      <c r="F337" s="234"/>
      <c r="G337" s="234"/>
      <c r="H337" s="255"/>
      <c r="I337" s="256"/>
      <c r="J337" s="140"/>
      <c r="K337" s="234"/>
      <c r="L337" s="229" t="str">
        <f t="shared" si="15"/>
        <v/>
      </c>
      <c r="M337" s="232" t="s">
        <v>119</v>
      </c>
      <c r="N337" s="228" t="str">
        <f t="shared" si="16"/>
        <v/>
      </c>
      <c r="O337" s="228">
        <f t="shared" si="17"/>
        <v>0</v>
      </c>
    </row>
    <row r="338" spans="1:15" s="231" customFormat="1" ht="11.25">
      <c r="A338" s="166"/>
      <c r="B338" s="234"/>
      <c r="C338" s="234"/>
      <c r="D338" s="234"/>
      <c r="E338" s="234"/>
      <c r="F338" s="234"/>
      <c r="G338" s="234"/>
      <c r="H338" s="255"/>
      <c r="I338" s="256"/>
      <c r="J338" s="140"/>
      <c r="K338" s="234"/>
      <c r="L338" s="229" t="str">
        <f t="shared" si="15"/>
        <v/>
      </c>
      <c r="M338" s="232" t="s">
        <v>119</v>
      </c>
      <c r="N338" s="228" t="str">
        <f t="shared" si="16"/>
        <v/>
      </c>
      <c r="O338" s="228">
        <f t="shared" si="17"/>
        <v>0</v>
      </c>
    </row>
    <row r="339" spans="1:15" s="231" customFormat="1" ht="11.25">
      <c r="A339" s="166"/>
      <c r="B339" s="234"/>
      <c r="C339" s="234"/>
      <c r="D339" s="234"/>
      <c r="E339" s="234"/>
      <c r="F339" s="234"/>
      <c r="G339" s="234"/>
      <c r="H339" s="255"/>
      <c r="I339" s="256"/>
      <c r="J339" s="140"/>
      <c r="K339" s="234"/>
      <c r="L339" s="229" t="str">
        <f t="shared" si="15"/>
        <v/>
      </c>
      <c r="M339" s="232" t="s">
        <v>119</v>
      </c>
      <c r="N339" s="228" t="str">
        <f t="shared" si="16"/>
        <v/>
      </c>
      <c r="O339" s="228">
        <f t="shared" si="17"/>
        <v>0</v>
      </c>
    </row>
    <row r="340" spans="1:15" s="231" customFormat="1" ht="11.25">
      <c r="A340" s="166"/>
      <c r="B340" s="234"/>
      <c r="C340" s="234"/>
      <c r="D340" s="234"/>
      <c r="E340" s="234"/>
      <c r="F340" s="234"/>
      <c r="G340" s="234"/>
      <c r="H340" s="255"/>
      <c r="I340" s="256"/>
      <c r="J340" s="140"/>
      <c r="K340" s="234"/>
      <c r="L340" s="229" t="str">
        <f t="shared" si="15"/>
        <v/>
      </c>
      <c r="M340" s="232" t="s">
        <v>119</v>
      </c>
      <c r="N340" s="228" t="str">
        <f t="shared" si="16"/>
        <v/>
      </c>
      <c r="O340" s="228">
        <f t="shared" si="17"/>
        <v>0</v>
      </c>
    </row>
    <row r="341" spans="1:15" s="231" customFormat="1" ht="11.25">
      <c r="A341" s="166"/>
      <c r="B341" s="234"/>
      <c r="C341" s="234"/>
      <c r="D341" s="234"/>
      <c r="E341" s="234"/>
      <c r="F341" s="234"/>
      <c r="G341" s="234"/>
      <c r="H341" s="255"/>
      <c r="I341" s="256"/>
      <c r="J341" s="140"/>
      <c r="K341" s="234"/>
      <c r="L341" s="229" t="str">
        <f t="shared" si="15"/>
        <v/>
      </c>
      <c r="M341" s="232" t="s">
        <v>119</v>
      </c>
      <c r="N341" s="228" t="str">
        <f t="shared" si="16"/>
        <v/>
      </c>
      <c r="O341" s="228">
        <f t="shared" si="17"/>
        <v>0</v>
      </c>
    </row>
    <row r="342" spans="1:15" s="231" customFormat="1" ht="11.25">
      <c r="A342" s="166"/>
      <c r="B342" s="234"/>
      <c r="C342" s="234"/>
      <c r="D342" s="234"/>
      <c r="E342" s="234"/>
      <c r="F342" s="234"/>
      <c r="G342" s="234"/>
      <c r="H342" s="255"/>
      <c r="I342" s="256"/>
      <c r="J342" s="140"/>
      <c r="K342" s="234"/>
      <c r="L342" s="229" t="str">
        <f t="shared" si="15"/>
        <v/>
      </c>
      <c r="M342" s="232" t="s">
        <v>119</v>
      </c>
      <c r="N342" s="228" t="str">
        <f t="shared" si="16"/>
        <v/>
      </c>
      <c r="O342" s="228">
        <f t="shared" si="17"/>
        <v>0</v>
      </c>
    </row>
    <row r="343" spans="1:15" s="231" customFormat="1" ht="11.25">
      <c r="A343" s="166"/>
      <c r="B343" s="234"/>
      <c r="C343" s="234"/>
      <c r="D343" s="234"/>
      <c r="E343" s="234"/>
      <c r="F343" s="234"/>
      <c r="G343" s="234"/>
      <c r="H343" s="255"/>
      <c r="I343" s="256"/>
      <c r="J343" s="140"/>
      <c r="K343" s="234"/>
      <c r="L343" s="229" t="str">
        <f t="shared" si="15"/>
        <v/>
      </c>
      <c r="M343" s="232" t="s">
        <v>119</v>
      </c>
      <c r="N343" s="228" t="str">
        <f t="shared" si="16"/>
        <v/>
      </c>
      <c r="O343" s="228">
        <f t="shared" si="17"/>
        <v>0</v>
      </c>
    </row>
    <row r="344" spans="1:15" s="231" customFormat="1" ht="11.25">
      <c r="A344" s="166"/>
      <c r="B344" s="234"/>
      <c r="C344" s="234"/>
      <c r="D344" s="234"/>
      <c r="E344" s="234"/>
      <c r="F344" s="234"/>
      <c r="G344" s="234"/>
      <c r="H344" s="255"/>
      <c r="I344" s="256"/>
      <c r="J344" s="140"/>
      <c r="K344" s="234"/>
      <c r="L344" s="229" t="str">
        <f t="shared" si="15"/>
        <v/>
      </c>
      <c r="M344" s="232" t="s">
        <v>119</v>
      </c>
      <c r="N344" s="228" t="str">
        <f t="shared" si="16"/>
        <v/>
      </c>
      <c r="O344" s="228">
        <f t="shared" si="17"/>
        <v>0</v>
      </c>
    </row>
    <row r="345" spans="1:15" s="231" customFormat="1" ht="11.25">
      <c r="A345" s="166"/>
      <c r="B345" s="234"/>
      <c r="C345" s="234"/>
      <c r="D345" s="234"/>
      <c r="E345" s="234"/>
      <c r="F345" s="234"/>
      <c r="G345" s="234"/>
      <c r="H345" s="255"/>
      <c r="I345" s="256"/>
      <c r="J345" s="140"/>
      <c r="K345" s="234"/>
      <c r="L345" s="229" t="str">
        <f t="shared" si="15"/>
        <v/>
      </c>
      <c r="M345" s="232" t="s">
        <v>119</v>
      </c>
      <c r="N345" s="228" t="str">
        <f t="shared" si="16"/>
        <v/>
      </c>
      <c r="O345" s="228">
        <f t="shared" si="17"/>
        <v>0</v>
      </c>
    </row>
    <row r="346" spans="1:15" s="231" customFormat="1" ht="11.25">
      <c r="A346" s="166"/>
      <c r="B346" s="234"/>
      <c r="C346" s="234"/>
      <c r="D346" s="234"/>
      <c r="E346" s="234"/>
      <c r="F346" s="234"/>
      <c r="G346" s="234"/>
      <c r="H346" s="255"/>
      <c r="I346" s="256"/>
      <c r="J346" s="140"/>
      <c r="K346" s="234"/>
      <c r="L346" s="229" t="str">
        <f t="shared" si="15"/>
        <v/>
      </c>
      <c r="M346" s="232" t="s">
        <v>119</v>
      </c>
      <c r="N346" s="228" t="str">
        <f t="shared" si="16"/>
        <v/>
      </c>
      <c r="O346" s="228">
        <f t="shared" si="17"/>
        <v>0</v>
      </c>
    </row>
    <row r="347" spans="1:15" s="231" customFormat="1" ht="11.25">
      <c r="A347" s="166"/>
      <c r="B347" s="234"/>
      <c r="C347" s="234"/>
      <c r="D347" s="234"/>
      <c r="E347" s="234"/>
      <c r="F347" s="234"/>
      <c r="G347" s="234"/>
      <c r="H347" s="255"/>
      <c r="I347" s="256"/>
      <c r="J347" s="140"/>
      <c r="K347" s="234"/>
      <c r="L347" s="229" t="str">
        <f t="shared" si="15"/>
        <v/>
      </c>
      <c r="M347" s="232" t="s">
        <v>119</v>
      </c>
      <c r="N347" s="228" t="str">
        <f t="shared" si="16"/>
        <v/>
      </c>
      <c r="O347" s="228">
        <f t="shared" si="17"/>
        <v>0</v>
      </c>
    </row>
    <row r="348" spans="1:15" s="231" customFormat="1" ht="11.25">
      <c r="A348" s="166"/>
      <c r="B348" s="234"/>
      <c r="C348" s="234"/>
      <c r="D348" s="234"/>
      <c r="E348" s="234"/>
      <c r="F348" s="234"/>
      <c r="G348" s="234"/>
      <c r="H348" s="255"/>
      <c r="I348" s="256"/>
      <c r="J348" s="140"/>
      <c r="K348" s="234"/>
      <c r="L348" s="229" t="str">
        <f t="shared" si="15"/>
        <v/>
      </c>
      <c r="M348" s="232" t="s">
        <v>119</v>
      </c>
      <c r="N348" s="228" t="str">
        <f t="shared" si="16"/>
        <v/>
      </c>
      <c r="O348" s="228">
        <f t="shared" si="17"/>
        <v>0</v>
      </c>
    </row>
    <row r="349" spans="1:15" s="231" customFormat="1" ht="11.25">
      <c r="A349" s="166"/>
      <c r="B349" s="234"/>
      <c r="C349" s="234"/>
      <c r="D349" s="234"/>
      <c r="E349" s="234"/>
      <c r="F349" s="234"/>
      <c r="G349" s="234"/>
      <c r="H349" s="255"/>
      <c r="I349" s="256"/>
      <c r="J349" s="140"/>
      <c r="K349" s="234"/>
      <c r="L349" s="229" t="str">
        <f t="shared" si="15"/>
        <v/>
      </c>
      <c r="M349" s="232" t="s">
        <v>119</v>
      </c>
      <c r="N349" s="228" t="str">
        <f t="shared" si="16"/>
        <v/>
      </c>
      <c r="O349" s="228">
        <f t="shared" si="17"/>
        <v>0</v>
      </c>
    </row>
    <row r="350" spans="1:15" s="231" customFormat="1" ht="11.25">
      <c r="A350" s="166"/>
      <c r="B350" s="234"/>
      <c r="C350" s="234"/>
      <c r="D350" s="234"/>
      <c r="E350" s="234"/>
      <c r="F350" s="234"/>
      <c r="G350" s="234"/>
      <c r="H350" s="255"/>
      <c r="I350" s="256"/>
      <c r="J350" s="140"/>
      <c r="K350" s="234"/>
      <c r="L350" s="229" t="str">
        <f t="shared" si="15"/>
        <v/>
      </c>
      <c r="M350" s="232" t="s">
        <v>119</v>
      </c>
      <c r="N350" s="228" t="str">
        <f t="shared" si="16"/>
        <v/>
      </c>
      <c r="O350" s="228">
        <f t="shared" si="17"/>
        <v>0</v>
      </c>
    </row>
    <row r="351" spans="1:15" s="231" customFormat="1" ht="11.25">
      <c r="A351" s="166"/>
      <c r="B351" s="234"/>
      <c r="C351" s="234"/>
      <c r="D351" s="234"/>
      <c r="E351" s="234"/>
      <c r="F351" s="234"/>
      <c r="G351" s="234"/>
      <c r="H351" s="255"/>
      <c r="I351" s="256"/>
      <c r="J351" s="140"/>
      <c r="K351" s="234"/>
      <c r="L351" s="229" t="str">
        <f t="shared" si="15"/>
        <v/>
      </c>
      <c r="M351" s="232" t="s">
        <v>119</v>
      </c>
      <c r="N351" s="228" t="str">
        <f t="shared" si="16"/>
        <v/>
      </c>
      <c r="O351" s="228">
        <f t="shared" si="17"/>
        <v>0</v>
      </c>
    </row>
    <row r="352" spans="1:15" s="231" customFormat="1" ht="11.25">
      <c r="A352" s="166"/>
      <c r="B352" s="234"/>
      <c r="C352" s="234"/>
      <c r="D352" s="234"/>
      <c r="E352" s="234"/>
      <c r="F352" s="234"/>
      <c r="G352" s="234"/>
      <c r="H352" s="255"/>
      <c r="I352" s="256"/>
      <c r="J352" s="140"/>
      <c r="K352" s="234"/>
      <c r="L352" s="229" t="str">
        <f t="shared" si="15"/>
        <v/>
      </c>
      <c r="M352" s="232" t="s">
        <v>119</v>
      </c>
      <c r="N352" s="228" t="str">
        <f t="shared" si="16"/>
        <v/>
      </c>
      <c r="O352" s="228">
        <f t="shared" si="17"/>
        <v>0</v>
      </c>
    </row>
    <row r="353" spans="1:15" s="231" customFormat="1" ht="11.25">
      <c r="A353" s="166"/>
      <c r="B353" s="234"/>
      <c r="C353" s="234"/>
      <c r="D353" s="234"/>
      <c r="E353" s="234"/>
      <c r="F353" s="234"/>
      <c r="G353" s="234"/>
      <c r="H353" s="255"/>
      <c r="I353" s="256"/>
      <c r="J353" s="140"/>
      <c r="K353" s="234"/>
      <c r="L353" s="229" t="str">
        <f t="shared" si="15"/>
        <v/>
      </c>
      <c r="M353" s="232" t="s">
        <v>119</v>
      </c>
      <c r="N353" s="228" t="str">
        <f t="shared" si="16"/>
        <v/>
      </c>
      <c r="O353" s="228">
        <f t="shared" si="17"/>
        <v>0</v>
      </c>
    </row>
    <row r="354" spans="1:15" s="231" customFormat="1" ht="11.25">
      <c r="A354" s="166"/>
      <c r="B354" s="234"/>
      <c r="C354" s="234"/>
      <c r="D354" s="234"/>
      <c r="E354" s="234"/>
      <c r="F354" s="234"/>
      <c r="G354" s="234"/>
      <c r="H354" s="255"/>
      <c r="I354" s="256"/>
      <c r="J354" s="140"/>
      <c r="K354" s="234"/>
      <c r="L354" s="229" t="str">
        <f t="shared" si="15"/>
        <v/>
      </c>
      <c r="M354" s="232" t="s">
        <v>119</v>
      </c>
      <c r="N354" s="228" t="str">
        <f t="shared" si="16"/>
        <v/>
      </c>
      <c r="O354" s="228">
        <f t="shared" si="17"/>
        <v>0</v>
      </c>
    </row>
    <row r="355" spans="1:15" s="231" customFormat="1" ht="11.25">
      <c r="A355" s="166"/>
      <c r="B355" s="234"/>
      <c r="C355" s="234"/>
      <c r="D355" s="234"/>
      <c r="E355" s="234"/>
      <c r="F355" s="234"/>
      <c r="G355" s="234"/>
      <c r="H355" s="255"/>
      <c r="I355" s="256"/>
      <c r="J355" s="140"/>
      <c r="K355" s="234"/>
      <c r="L355" s="229" t="str">
        <f t="shared" si="15"/>
        <v/>
      </c>
      <c r="M355" s="232" t="s">
        <v>119</v>
      </c>
      <c r="N355" s="228" t="str">
        <f t="shared" si="16"/>
        <v/>
      </c>
      <c r="O355" s="228">
        <f t="shared" si="17"/>
        <v>0</v>
      </c>
    </row>
    <row r="356" spans="1:15" s="231" customFormat="1" ht="11.25">
      <c r="A356" s="166"/>
      <c r="B356" s="234"/>
      <c r="C356" s="234"/>
      <c r="D356" s="234"/>
      <c r="E356" s="234"/>
      <c r="F356" s="234"/>
      <c r="G356" s="234"/>
      <c r="H356" s="255"/>
      <c r="I356" s="256"/>
      <c r="J356" s="140"/>
      <c r="K356" s="234"/>
      <c r="L356" s="229" t="str">
        <f t="shared" si="15"/>
        <v/>
      </c>
      <c r="M356" s="232" t="s">
        <v>119</v>
      </c>
      <c r="N356" s="228" t="str">
        <f t="shared" si="16"/>
        <v/>
      </c>
      <c r="O356" s="228">
        <f t="shared" si="17"/>
        <v>0</v>
      </c>
    </row>
    <row r="357" spans="1:15" s="231" customFormat="1" ht="11.25">
      <c r="A357" s="166"/>
      <c r="B357" s="234"/>
      <c r="C357" s="234"/>
      <c r="D357" s="234"/>
      <c r="E357" s="234"/>
      <c r="F357" s="234"/>
      <c r="G357" s="234"/>
      <c r="H357" s="255"/>
      <c r="I357" s="256"/>
      <c r="J357" s="140"/>
      <c r="K357" s="234"/>
      <c r="L357" s="229" t="str">
        <f t="shared" si="15"/>
        <v/>
      </c>
      <c r="M357" s="232" t="s">
        <v>119</v>
      </c>
      <c r="N357" s="228" t="str">
        <f t="shared" si="16"/>
        <v/>
      </c>
      <c r="O357" s="228">
        <f t="shared" si="17"/>
        <v>0</v>
      </c>
    </row>
    <row r="358" spans="1:15" s="231" customFormat="1" ht="11.25">
      <c r="A358" s="166"/>
      <c r="B358" s="234"/>
      <c r="C358" s="234"/>
      <c r="D358" s="234"/>
      <c r="E358" s="234"/>
      <c r="F358" s="234"/>
      <c r="G358" s="234"/>
      <c r="H358" s="255"/>
      <c r="I358" s="256"/>
      <c r="J358" s="140"/>
      <c r="K358" s="234"/>
      <c r="L358" s="229" t="str">
        <f t="shared" si="15"/>
        <v/>
      </c>
      <c r="M358" s="232" t="s">
        <v>119</v>
      </c>
      <c r="N358" s="228" t="str">
        <f t="shared" si="16"/>
        <v/>
      </c>
      <c r="O358" s="228">
        <f t="shared" si="17"/>
        <v>0</v>
      </c>
    </row>
    <row r="359" spans="1:15" s="231" customFormat="1" ht="11.25">
      <c r="A359" s="166"/>
      <c r="B359" s="234"/>
      <c r="C359" s="234"/>
      <c r="D359" s="234"/>
      <c r="E359" s="234"/>
      <c r="F359" s="234"/>
      <c r="G359" s="234"/>
      <c r="H359" s="255"/>
      <c r="I359" s="256"/>
      <c r="J359" s="140"/>
      <c r="K359" s="234"/>
      <c r="L359" s="229" t="str">
        <f t="shared" si="15"/>
        <v/>
      </c>
      <c r="M359" s="232" t="s">
        <v>119</v>
      </c>
      <c r="N359" s="228" t="str">
        <f t="shared" si="16"/>
        <v/>
      </c>
      <c r="O359" s="228">
        <f t="shared" si="17"/>
        <v>0</v>
      </c>
    </row>
    <row r="360" spans="1:15" s="231" customFormat="1" ht="11.25">
      <c r="A360" s="166"/>
      <c r="B360" s="234"/>
      <c r="C360" s="234"/>
      <c r="D360" s="234"/>
      <c r="E360" s="234"/>
      <c r="F360" s="234"/>
      <c r="G360" s="234"/>
      <c r="H360" s="255"/>
      <c r="I360" s="256"/>
      <c r="J360" s="140"/>
      <c r="K360" s="234"/>
      <c r="L360" s="229" t="str">
        <f t="shared" si="15"/>
        <v/>
      </c>
      <c r="M360" s="232" t="s">
        <v>119</v>
      </c>
      <c r="N360" s="228" t="str">
        <f t="shared" si="16"/>
        <v/>
      </c>
      <c r="O360" s="228">
        <f t="shared" si="17"/>
        <v>0</v>
      </c>
    </row>
    <row r="361" spans="1:15" s="231" customFormat="1" ht="11.25">
      <c r="A361" s="166"/>
      <c r="B361" s="234"/>
      <c r="C361" s="234"/>
      <c r="D361" s="234"/>
      <c r="E361" s="234"/>
      <c r="F361" s="234"/>
      <c r="G361" s="234"/>
      <c r="H361" s="255"/>
      <c r="I361" s="256"/>
      <c r="J361" s="140"/>
      <c r="K361" s="234"/>
      <c r="L361" s="229" t="str">
        <f t="shared" si="15"/>
        <v/>
      </c>
      <c r="M361" s="232" t="s">
        <v>119</v>
      </c>
      <c r="N361" s="228" t="str">
        <f t="shared" si="16"/>
        <v/>
      </c>
      <c r="O361" s="228">
        <f t="shared" si="17"/>
        <v>0</v>
      </c>
    </row>
    <row r="362" spans="1:15" s="231" customFormat="1" ht="11.25">
      <c r="A362" s="166"/>
      <c r="B362" s="234"/>
      <c r="C362" s="234"/>
      <c r="D362" s="234"/>
      <c r="E362" s="234"/>
      <c r="F362" s="234"/>
      <c r="G362" s="234"/>
      <c r="H362" s="255"/>
      <c r="I362" s="256"/>
      <c r="J362" s="140"/>
      <c r="K362" s="234"/>
      <c r="L362" s="229" t="str">
        <f t="shared" si="15"/>
        <v/>
      </c>
      <c r="M362" s="232" t="s">
        <v>119</v>
      </c>
      <c r="N362" s="228" t="str">
        <f t="shared" si="16"/>
        <v/>
      </c>
      <c r="O362" s="228">
        <f t="shared" si="17"/>
        <v>0</v>
      </c>
    </row>
    <row r="363" spans="1:15" s="231" customFormat="1" ht="11.25">
      <c r="A363" s="166"/>
      <c r="B363" s="234"/>
      <c r="C363" s="234"/>
      <c r="D363" s="234"/>
      <c r="E363" s="234"/>
      <c r="F363" s="234"/>
      <c r="G363" s="234"/>
      <c r="H363" s="255"/>
      <c r="I363" s="256"/>
      <c r="J363" s="140"/>
      <c r="K363" s="234"/>
      <c r="L363" s="229" t="str">
        <f t="shared" si="15"/>
        <v/>
      </c>
      <c r="M363" s="232" t="s">
        <v>119</v>
      </c>
      <c r="N363" s="228" t="str">
        <f t="shared" si="16"/>
        <v/>
      </c>
      <c r="O363" s="228">
        <f t="shared" si="17"/>
        <v>0</v>
      </c>
    </row>
    <row r="364" spans="1:15" s="231" customFormat="1" ht="11.25">
      <c r="A364" s="166"/>
      <c r="B364" s="234"/>
      <c r="C364" s="234"/>
      <c r="D364" s="234"/>
      <c r="E364" s="234"/>
      <c r="F364" s="234"/>
      <c r="G364" s="234"/>
      <c r="H364" s="255"/>
      <c r="I364" s="256"/>
      <c r="J364" s="140"/>
      <c r="K364" s="234"/>
      <c r="L364" s="229" t="str">
        <f t="shared" si="15"/>
        <v/>
      </c>
      <c r="M364" s="232" t="s">
        <v>119</v>
      </c>
      <c r="N364" s="228" t="str">
        <f t="shared" si="16"/>
        <v/>
      </c>
      <c r="O364" s="228">
        <f t="shared" si="17"/>
        <v>0</v>
      </c>
    </row>
    <row r="365" spans="1:15" s="231" customFormat="1" ht="11.25">
      <c r="A365" s="166"/>
      <c r="B365" s="234"/>
      <c r="C365" s="234"/>
      <c r="D365" s="234"/>
      <c r="E365" s="234"/>
      <c r="F365" s="234"/>
      <c r="G365" s="234"/>
      <c r="H365" s="255"/>
      <c r="I365" s="256"/>
      <c r="J365" s="140"/>
      <c r="K365" s="234"/>
      <c r="L365" s="229" t="str">
        <f t="shared" si="15"/>
        <v/>
      </c>
      <c r="M365" s="232" t="s">
        <v>119</v>
      </c>
      <c r="N365" s="228" t="str">
        <f t="shared" si="16"/>
        <v/>
      </c>
      <c r="O365" s="228">
        <f t="shared" si="17"/>
        <v>0</v>
      </c>
    </row>
    <row r="366" spans="1:15" s="231" customFormat="1" ht="11.25">
      <c r="A366" s="166"/>
      <c r="B366" s="234"/>
      <c r="C366" s="234"/>
      <c r="D366" s="234"/>
      <c r="E366" s="234"/>
      <c r="F366" s="234"/>
      <c r="G366" s="234"/>
      <c r="H366" s="255"/>
      <c r="I366" s="256"/>
      <c r="J366" s="140"/>
      <c r="K366" s="234"/>
      <c r="L366" s="229" t="str">
        <f t="shared" si="15"/>
        <v/>
      </c>
      <c r="M366" s="232" t="s">
        <v>119</v>
      </c>
      <c r="N366" s="228" t="str">
        <f t="shared" si="16"/>
        <v/>
      </c>
      <c r="O366" s="228">
        <f t="shared" si="17"/>
        <v>0</v>
      </c>
    </row>
    <row r="367" spans="1:15" s="231" customFormat="1" ht="11.25">
      <c r="A367" s="166"/>
      <c r="B367" s="234"/>
      <c r="C367" s="234"/>
      <c r="D367" s="234"/>
      <c r="E367" s="234"/>
      <c r="F367" s="234"/>
      <c r="G367" s="234"/>
      <c r="H367" s="255"/>
      <c r="I367" s="256"/>
      <c r="J367" s="140"/>
      <c r="K367" s="234"/>
      <c r="L367" s="229" t="str">
        <f t="shared" si="15"/>
        <v/>
      </c>
      <c r="M367" s="232" t="s">
        <v>119</v>
      </c>
      <c r="N367" s="228" t="str">
        <f t="shared" si="16"/>
        <v/>
      </c>
      <c r="O367" s="228">
        <f t="shared" si="17"/>
        <v>0</v>
      </c>
    </row>
    <row r="368" spans="1:15" s="231" customFormat="1" ht="11.25">
      <c r="A368" s="166"/>
      <c r="B368" s="234"/>
      <c r="C368" s="234"/>
      <c r="D368" s="234"/>
      <c r="E368" s="234"/>
      <c r="F368" s="234"/>
      <c r="G368" s="234"/>
      <c r="H368" s="255"/>
      <c r="I368" s="256"/>
      <c r="J368" s="140"/>
      <c r="K368" s="234"/>
      <c r="L368" s="229" t="str">
        <f t="shared" si="15"/>
        <v/>
      </c>
      <c r="M368" s="232" t="s">
        <v>119</v>
      </c>
      <c r="N368" s="228" t="str">
        <f t="shared" si="16"/>
        <v/>
      </c>
      <c r="O368" s="228">
        <f t="shared" si="17"/>
        <v>0</v>
      </c>
    </row>
    <row r="369" spans="1:15" s="231" customFormat="1" ht="11.25">
      <c r="A369" s="166"/>
      <c r="B369" s="234"/>
      <c r="C369" s="234"/>
      <c r="D369" s="234"/>
      <c r="E369" s="234"/>
      <c r="F369" s="234"/>
      <c r="G369" s="234"/>
      <c r="H369" s="255"/>
      <c r="I369" s="256"/>
      <c r="J369" s="140"/>
      <c r="K369" s="234"/>
      <c r="L369" s="229" t="str">
        <f t="shared" si="15"/>
        <v/>
      </c>
      <c r="M369" s="232" t="s">
        <v>119</v>
      </c>
      <c r="N369" s="228" t="str">
        <f t="shared" si="16"/>
        <v/>
      </c>
      <c r="O369" s="228">
        <f t="shared" si="17"/>
        <v>0</v>
      </c>
    </row>
    <row r="370" spans="1:15" s="231" customFormat="1" ht="11.25">
      <c r="A370" s="166"/>
      <c r="B370" s="234"/>
      <c r="C370" s="234"/>
      <c r="D370" s="234"/>
      <c r="E370" s="234"/>
      <c r="F370" s="234"/>
      <c r="G370" s="234"/>
      <c r="H370" s="255"/>
      <c r="I370" s="256"/>
      <c r="J370" s="140"/>
      <c r="K370" s="234"/>
      <c r="L370" s="229" t="str">
        <f t="shared" si="15"/>
        <v/>
      </c>
      <c r="M370" s="232" t="s">
        <v>119</v>
      </c>
      <c r="N370" s="228" t="str">
        <f t="shared" si="16"/>
        <v/>
      </c>
      <c r="O370" s="228">
        <f t="shared" si="17"/>
        <v>0</v>
      </c>
    </row>
    <row r="371" spans="1:15" s="231" customFormat="1" ht="11.25">
      <c r="A371" s="166"/>
      <c r="B371" s="234"/>
      <c r="C371" s="234"/>
      <c r="D371" s="234"/>
      <c r="E371" s="234"/>
      <c r="F371" s="234"/>
      <c r="G371" s="234"/>
      <c r="H371" s="255"/>
      <c r="I371" s="256"/>
      <c r="J371" s="140"/>
      <c r="K371" s="234"/>
      <c r="L371" s="229" t="str">
        <f t="shared" si="15"/>
        <v/>
      </c>
      <c r="M371" s="232" t="s">
        <v>119</v>
      </c>
      <c r="N371" s="228" t="str">
        <f t="shared" si="16"/>
        <v/>
      </c>
      <c r="O371" s="228">
        <f t="shared" si="17"/>
        <v>0</v>
      </c>
    </row>
    <row r="372" spans="1:15" s="231" customFormat="1" ht="11.25">
      <c r="A372" s="166"/>
      <c r="B372" s="234"/>
      <c r="C372" s="234"/>
      <c r="D372" s="234"/>
      <c r="E372" s="234"/>
      <c r="F372" s="234"/>
      <c r="G372" s="234"/>
      <c r="H372" s="255"/>
      <c r="I372" s="256"/>
      <c r="J372" s="140"/>
      <c r="K372" s="234"/>
      <c r="L372" s="229" t="str">
        <f t="shared" si="15"/>
        <v/>
      </c>
      <c r="M372" s="232" t="s">
        <v>119</v>
      </c>
      <c r="N372" s="228" t="str">
        <f t="shared" si="16"/>
        <v/>
      </c>
      <c r="O372" s="228">
        <f t="shared" si="17"/>
        <v>0</v>
      </c>
    </row>
    <row r="373" spans="1:15" s="231" customFormat="1" ht="11.25">
      <c r="A373" s="166"/>
      <c r="B373" s="234"/>
      <c r="C373" s="234"/>
      <c r="D373" s="234"/>
      <c r="E373" s="234"/>
      <c r="F373" s="234"/>
      <c r="G373" s="234"/>
      <c r="H373" s="255"/>
      <c r="I373" s="256"/>
      <c r="J373" s="140"/>
      <c r="K373" s="234"/>
      <c r="L373" s="229" t="str">
        <f t="shared" si="15"/>
        <v/>
      </c>
      <c r="M373" s="232" t="s">
        <v>119</v>
      </c>
      <c r="N373" s="228" t="str">
        <f t="shared" si="16"/>
        <v/>
      </c>
      <c r="O373" s="228">
        <f t="shared" si="17"/>
        <v>0</v>
      </c>
    </row>
    <row r="374" spans="1:15" s="231" customFormat="1" ht="11.25">
      <c r="A374" s="166"/>
      <c r="B374" s="234"/>
      <c r="C374" s="234"/>
      <c r="D374" s="234"/>
      <c r="E374" s="234"/>
      <c r="F374" s="234"/>
      <c r="G374" s="234"/>
      <c r="H374" s="255"/>
      <c r="I374" s="256"/>
      <c r="J374" s="140"/>
      <c r="K374" s="234"/>
      <c r="L374" s="229" t="str">
        <f t="shared" si="15"/>
        <v/>
      </c>
      <c r="M374" s="232" t="s">
        <v>119</v>
      </c>
      <c r="N374" s="228" t="str">
        <f t="shared" si="16"/>
        <v/>
      </c>
      <c r="O374" s="228">
        <f t="shared" si="17"/>
        <v>0</v>
      </c>
    </row>
    <row r="375" spans="1:15" s="231" customFormat="1" ht="11.25">
      <c r="A375" s="166"/>
      <c r="B375" s="234"/>
      <c r="C375" s="234"/>
      <c r="D375" s="234"/>
      <c r="E375" s="234"/>
      <c r="F375" s="234"/>
      <c r="G375" s="234"/>
      <c r="H375" s="255"/>
      <c r="I375" s="256"/>
      <c r="J375" s="140"/>
      <c r="K375" s="234"/>
      <c r="L375" s="229" t="str">
        <f t="shared" si="15"/>
        <v/>
      </c>
      <c r="M375" s="232" t="s">
        <v>119</v>
      </c>
      <c r="N375" s="228" t="str">
        <f t="shared" si="16"/>
        <v/>
      </c>
      <c r="O375" s="228">
        <f t="shared" si="17"/>
        <v>0</v>
      </c>
    </row>
    <row r="376" spans="1:15" s="231" customFormat="1" ht="11.25">
      <c r="A376" s="166"/>
      <c r="B376" s="234"/>
      <c r="C376" s="234"/>
      <c r="D376" s="234"/>
      <c r="E376" s="234"/>
      <c r="F376" s="234"/>
      <c r="G376" s="234"/>
      <c r="H376" s="255"/>
      <c r="I376" s="256"/>
      <c r="J376" s="140"/>
      <c r="K376" s="234"/>
      <c r="L376" s="229" t="str">
        <f t="shared" si="15"/>
        <v/>
      </c>
      <c r="M376" s="232" t="s">
        <v>119</v>
      </c>
      <c r="N376" s="228" t="str">
        <f t="shared" si="16"/>
        <v/>
      </c>
      <c r="O376" s="228">
        <f t="shared" si="17"/>
        <v>0</v>
      </c>
    </row>
    <row r="377" spans="1:15" s="231" customFormat="1" ht="11.25">
      <c r="A377" s="166"/>
      <c r="B377" s="234"/>
      <c r="C377" s="234"/>
      <c r="D377" s="234"/>
      <c r="E377" s="234"/>
      <c r="F377" s="234"/>
      <c r="G377" s="234"/>
      <c r="H377" s="255"/>
      <c r="I377" s="256"/>
      <c r="J377" s="140"/>
      <c r="K377" s="234"/>
      <c r="L377" s="229" t="str">
        <f t="shared" si="15"/>
        <v/>
      </c>
      <c r="M377" s="232" t="s">
        <v>119</v>
      </c>
      <c r="N377" s="228" t="str">
        <f t="shared" si="16"/>
        <v/>
      </c>
      <c r="O377" s="228">
        <f t="shared" si="17"/>
        <v>0</v>
      </c>
    </row>
    <row r="378" spans="1:15" s="231" customFormat="1" ht="11.25">
      <c r="A378" s="166"/>
      <c r="B378" s="234"/>
      <c r="C378" s="234"/>
      <c r="D378" s="234"/>
      <c r="E378" s="234"/>
      <c r="F378" s="234"/>
      <c r="G378" s="234"/>
      <c r="H378" s="255"/>
      <c r="I378" s="256"/>
      <c r="J378" s="140"/>
      <c r="K378" s="234"/>
      <c r="L378" s="229" t="str">
        <f t="shared" si="15"/>
        <v/>
      </c>
      <c r="M378" s="232" t="s">
        <v>119</v>
      </c>
      <c r="N378" s="228" t="str">
        <f t="shared" si="16"/>
        <v/>
      </c>
      <c r="O378" s="228">
        <f t="shared" si="17"/>
        <v>0</v>
      </c>
    </row>
    <row r="379" spans="1:15" s="231" customFormat="1" ht="11.25">
      <c r="A379" s="166"/>
      <c r="B379" s="234"/>
      <c r="C379" s="234"/>
      <c r="D379" s="234"/>
      <c r="E379" s="234"/>
      <c r="F379" s="234"/>
      <c r="G379" s="234"/>
      <c r="H379" s="255"/>
      <c r="I379" s="256"/>
      <c r="J379" s="140"/>
      <c r="K379" s="234"/>
      <c r="L379" s="229" t="str">
        <f t="shared" si="15"/>
        <v/>
      </c>
      <c r="M379" s="232" t="s">
        <v>119</v>
      </c>
      <c r="N379" s="228" t="str">
        <f t="shared" si="16"/>
        <v/>
      </c>
      <c r="O379" s="228">
        <f t="shared" si="17"/>
        <v>0</v>
      </c>
    </row>
    <row r="380" spans="1:15" s="231" customFormat="1" ht="11.25">
      <c r="A380" s="166"/>
      <c r="B380" s="234"/>
      <c r="C380" s="234"/>
      <c r="D380" s="234"/>
      <c r="E380" s="234"/>
      <c r="F380" s="234"/>
      <c r="G380" s="234"/>
      <c r="H380" s="255"/>
      <c r="I380" s="256"/>
      <c r="J380" s="140"/>
      <c r="K380" s="234"/>
      <c r="L380" s="229" t="str">
        <f t="shared" si="15"/>
        <v/>
      </c>
      <c r="M380" s="232" t="s">
        <v>119</v>
      </c>
      <c r="N380" s="228" t="str">
        <f t="shared" si="16"/>
        <v/>
      </c>
      <c r="O380" s="228">
        <f t="shared" si="17"/>
        <v>0</v>
      </c>
    </row>
    <row r="381" spans="1:15" s="231" customFormat="1" ht="11.25">
      <c r="A381" s="166"/>
      <c r="B381" s="234"/>
      <c r="C381" s="234"/>
      <c r="D381" s="234"/>
      <c r="E381" s="234"/>
      <c r="F381" s="234"/>
      <c r="G381" s="234"/>
      <c r="H381" s="255"/>
      <c r="I381" s="256"/>
      <c r="J381" s="140"/>
      <c r="K381" s="234"/>
      <c r="L381" s="229" t="str">
        <f t="shared" si="15"/>
        <v/>
      </c>
      <c r="M381" s="232" t="s">
        <v>119</v>
      </c>
      <c r="N381" s="228" t="str">
        <f t="shared" si="16"/>
        <v/>
      </c>
      <c r="O381" s="228">
        <f t="shared" si="17"/>
        <v>0</v>
      </c>
    </row>
    <row r="382" spans="1:15" s="231" customFormat="1" ht="11.25">
      <c r="A382" s="166"/>
      <c r="B382" s="234"/>
      <c r="C382" s="234"/>
      <c r="D382" s="234"/>
      <c r="E382" s="234"/>
      <c r="F382" s="234"/>
      <c r="G382" s="234"/>
      <c r="H382" s="255"/>
      <c r="I382" s="256"/>
      <c r="J382" s="140"/>
      <c r="K382" s="234"/>
      <c r="L382" s="229" t="str">
        <f t="shared" si="15"/>
        <v/>
      </c>
      <c r="M382" s="232" t="s">
        <v>119</v>
      </c>
      <c r="N382" s="228" t="str">
        <f t="shared" si="16"/>
        <v/>
      </c>
      <c r="O382" s="228">
        <f t="shared" si="17"/>
        <v>0</v>
      </c>
    </row>
    <row r="383" spans="1:15" s="231" customFormat="1" ht="11.25">
      <c r="A383" s="166"/>
      <c r="B383" s="234"/>
      <c r="C383" s="234"/>
      <c r="D383" s="234"/>
      <c r="E383" s="234"/>
      <c r="F383" s="234"/>
      <c r="G383" s="234"/>
      <c r="H383" s="255"/>
      <c r="I383" s="256"/>
      <c r="J383" s="140"/>
      <c r="K383" s="234"/>
      <c r="L383" s="229" t="str">
        <f t="shared" si="15"/>
        <v/>
      </c>
      <c r="M383" s="232" t="s">
        <v>119</v>
      </c>
      <c r="N383" s="228" t="str">
        <f t="shared" si="16"/>
        <v/>
      </c>
      <c r="O383" s="228">
        <f t="shared" si="17"/>
        <v>0</v>
      </c>
    </row>
    <row r="384" spans="1:15" s="231" customFormat="1" ht="11.25">
      <c r="A384" s="166"/>
      <c r="B384" s="234"/>
      <c r="C384" s="234"/>
      <c r="D384" s="234"/>
      <c r="E384" s="234"/>
      <c r="F384" s="234"/>
      <c r="G384" s="234"/>
      <c r="H384" s="255"/>
      <c r="I384" s="256"/>
      <c r="J384" s="140"/>
      <c r="K384" s="234"/>
      <c r="L384" s="229" t="str">
        <f t="shared" si="15"/>
        <v/>
      </c>
      <c r="M384" s="232" t="s">
        <v>119</v>
      </c>
      <c r="N384" s="228" t="str">
        <f t="shared" si="16"/>
        <v/>
      </c>
      <c r="O384" s="228">
        <f t="shared" si="17"/>
        <v>0</v>
      </c>
    </row>
    <row r="385" spans="1:15" s="231" customFormat="1" ht="11.25">
      <c r="A385" s="166"/>
      <c r="B385" s="234"/>
      <c r="C385" s="234"/>
      <c r="D385" s="234"/>
      <c r="E385" s="234"/>
      <c r="F385" s="234"/>
      <c r="G385" s="234"/>
      <c r="H385" s="255"/>
      <c r="I385" s="256"/>
      <c r="J385" s="140"/>
      <c r="K385" s="234"/>
      <c r="L385" s="229" t="str">
        <f t="shared" si="15"/>
        <v/>
      </c>
      <c r="M385" s="232" t="s">
        <v>119</v>
      </c>
      <c r="N385" s="228" t="str">
        <f t="shared" si="16"/>
        <v/>
      </c>
      <c r="O385" s="228">
        <f t="shared" si="17"/>
        <v>0</v>
      </c>
    </row>
    <row r="386" spans="1:15" s="231" customFormat="1" ht="11.25">
      <c r="A386" s="166"/>
      <c r="B386" s="234"/>
      <c r="C386" s="234"/>
      <c r="D386" s="234"/>
      <c r="E386" s="234"/>
      <c r="F386" s="234"/>
      <c r="G386" s="234"/>
      <c r="H386" s="255"/>
      <c r="I386" s="256"/>
      <c r="J386" s="140"/>
      <c r="K386" s="234"/>
      <c r="L386" s="229" t="str">
        <f t="shared" si="15"/>
        <v/>
      </c>
      <c r="M386" s="232" t="s">
        <v>119</v>
      </c>
      <c r="N386" s="228" t="str">
        <f t="shared" si="16"/>
        <v/>
      </c>
      <c r="O386" s="228">
        <f t="shared" si="17"/>
        <v>0</v>
      </c>
    </row>
    <row r="387" spans="1:15" s="231" customFormat="1" ht="11.25">
      <c r="A387" s="166"/>
      <c r="B387" s="234"/>
      <c r="C387" s="234"/>
      <c r="D387" s="234"/>
      <c r="E387" s="234"/>
      <c r="F387" s="234"/>
      <c r="G387" s="234"/>
      <c r="H387" s="255"/>
      <c r="I387" s="256"/>
      <c r="J387" s="140"/>
      <c r="K387" s="234"/>
      <c r="L387" s="229" t="str">
        <f t="shared" si="15"/>
        <v/>
      </c>
      <c r="M387" s="232" t="s">
        <v>119</v>
      </c>
      <c r="N387" s="228" t="str">
        <f t="shared" si="16"/>
        <v/>
      </c>
      <c r="O387" s="228">
        <f t="shared" si="17"/>
        <v>0</v>
      </c>
    </row>
    <row r="388" spans="1:15" s="231" customFormat="1" ht="11.25">
      <c r="A388" s="166"/>
      <c r="B388" s="234"/>
      <c r="C388" s="234"/>
      <c r="D388" s="234"/>
      <c r="E388" s="234"/>
      <c r="F388" s="234"/>
      <c r="G388" s="234"/>
      <c r="H388" s="255"/>
      <c r="I388" s="256"/>
      <c r="J388" s="140"/>
      <c r="K388" s="234"/>
      <c r="L388" s="229" t="str">
        <f t="shared" si="15"/>
        <v/>
      </c>
      <c r="M388" s="232" t="s">
        <v>119</v>
      </c>
      <c r="N388" s="228" t="str">
        <f t="shared" si="16"/>
        <v/>
      </c>
      <c r="O388" s="228">
        <f t="shared" si="17"/>
        <v>0</v>
      </c>
    </row>
    <row r="389" spans="1:15" s="231" customFormat="1" ht="11.25">
      <c r="A389" s="166"/>
      <c r="B389" s="234"/>
      <c r="C389" s="234"/>
      <c r="D389" s="234"/>
      <c r="E389" s="234"/>
      <c r="F389" s="234"/>
      <c r="G389" s="234"/>
      <c r="H389" s="255"/>
      <c r="I389" s="256"/>
      <c r="J389" s="140"/>
      <c r="K389" s="234"/>
      <c r="L389" s="229" t="str">
        <f t="shared" si="15"/>
        <v/>
      </c>
      <c r="M389" s="232" t="s">
        <v>119</v>
      </c>
      <c r="N389" s="228" t="str">
        <f t="shared" si="16"/>
        <v/>
      </c>
      <c r="O389" s="228">
        <f t="shared" si="17"/>
        <v>0</v>
      </c>
    </row>
    <row r="390" spans="1:15" s="231" customFormat="1" ht="11.25">
      <c r="A390" s="166"/>
      <c r="B390" s="234"/>
      <c r="C390" s="234"/>
      <c r="D390" s="234"/>
      <c r="E390" s="234"/>
      <c r="F390" s="234"/>
      <c r="G390" s="234"/>
      <c r="H390" s="255"/>
      <c r="I390" s="256"/>
      <c r="J390" s="140"/>
      <c r="K390" s="234"/>
      <c r="L390" s="229" t="str">
        <f t="shared" si="15"/>
        <v/>
      </c>
      <c r="M390" s="232" t="s">
        <v>119</v>
      </c>
      <c r="N390" s="228" t="str">
        <f t="shared" si="16"/>
        <v/>
      </c>
      <c r="O390" s="228">
        <f t="shared" si="17"/>
        <v>0</v>
      </c>
    </row>
    <row r="391" spans="1:15" s="231" customFormat="1" ht="11.25">
      <c r="A391" s="166"/>
      <c r="B391" s="234"/>
      <c r="C391" s="234"/>
      <c r="D391" s="234"/>
      <c r="E391" s="234"/>
      <c r="F391" s="234"/>
      <c r="G391" s="234"/>
      <c r="H391" s="255"/>
      <c r="I391" s="256"/>
      <c r="J391" s="140"/>
      <c r="K391" s="234"/>
      <c r="L391" s="229" t="str">
        <f t="shared" ref="L391:L454" si="18">LEFT(B391,2)</f>
        <v/>
      </c>
      <c r="M391" s="232" t="s">
        <v>119</v>
      </c>
      <c r="N391" s="228" t="str">
        <f t="shared" ref="N391:N454" si="19">RIGHT(F391,3)</f>
        <v/>
      </c>
      <c r="O391" s="228">
        <f t="shared" si="17"/>
        <v>0</v>
      </c>
    </row>
    <row r="392" spans="1:15" s="231" customFormat="1" ht="11.25">
      <c r="A392" s="166"/>
      <c r="B392" s="234"/>
      <c r="C392" s="234"/>
      <c r="D392" s="234"/>
      <c r="E392" s="234"/>
      <c r="F392" s="234"/>
      <c r="G392" s="234"/>
      <c r="H392" s="255"/>
      <c r="I392" s="256"/>
      <c r="J392" s="140"/>
      <c r="K392" s="234"/>
      <c r="L392" s="229" t="str">
        <f t="shared" si="18"/>
        <v/>
      </c>
      <c r="M392" s="232" t="s">
        <v>119</v>
      </c>
      <c r="N392" s="228" t="str">
        <f t="shared" si="19"/>
        <v/>
      </c>
      <c r="O392" s="228">
        <f t="shared" ref="O392:O455" si="20">H392*A392</f>
        <v>0</v>
      </c>
    </row>
    <row r="393" spans="1:15" s="231" customFormat="1" ht="11.25">
      <c r="A393" s="166"/>
      <c r="B393" s="234"/>
      <c r="C393" s="234"/>
      <c r="D393" s="234"/>
      <c r="E393" s="234"/>
      <c r="F393" s="234"/>
      <c r="G393" s="234"/>
      <c r="H393" s="255"/>
      <c r="I393" s="256"/>
      <c r="J393" s="140"/>
      <c r="K393" s="234"/>
      <c r="L393" s="229" t="str">
        <f t="shared" si="18"/>
        <v/>
      </c>
      <c r="M393" s="232" t="s">
        <v>119</v>
      </c>
      <c r="N393" s="228" t="str">
        <f t="shared" si="19"/>
        <v/>
      </c>
      <c r="O393" s="228">
        <f t="shared" si="20"/>
        <v>0</v>
      </c>
    </row>
    <row r="394" spans="1:15" s="231" customFormat="1" ht="11.25">
      <c r="A394" s="166"/>
      <c r="B394" s="234"/>
      <c r="C394" s="234"/>
      <c r="D394" s="234"/>
      <c r="E394" s="234"/>
      <c r="F394" s="234"/>
      <c r="G394" s="234"/>
      <c r="H394" s="255"/>
      <c r="I394" s="256"/>
      <c r="J394" s="140"/>
      <c r="K394" s="234"/>
      <c r="L394" s="229" t="str">
        <f t="shared" si="18"/>
        <v/>
      </c>
      <c r="M394" s="232" t="s">
        <v>119</v>
      </c>
      <c r="N394" s="228" t="str">
        <f t="shared" si="19"/>
        <v/>
      </c>
      <c r="O394" s="228">
        <f t="shared" si="20"/>
        <v>0</v>
      </c>
    </row>
    <row r="395" spans="1:15" s="231" customFormat="1" ht="11.25">
      <c r="A395" s="166"/>
      <c r="B395" s="234"/>
      <c r="C395" s="234"/>
      <c r="D395" s="234"/>
      <c r="E395" s="234"/>
      <c r="F395" s="234"/>
      <c r="G395" s="234"/>
      <c r="H395" s="255"/>
      <c r="I395" s="256"/>
      <c r="J395" s="140"/>
      <c r="K395" s="234"/>
      <c r="L395" s="229" t="str">
        <f t="shared" si="18"/>
        <v/>
      </c>
      <c r="M395" s="232" t="s">
        <v>119</v>
      </c>
      <c r="N395" s="228" t="str">
        <f t="shared" si="19"/>
        <v/>
      </c>
      <c r="O395" s="228">
        <f t="shared" si="20"/>
        <v>0</v>
      </c>
    </row>
    <row r="396" spans="1:15" s="231" customFormat="1" ht="11.25">
      <c r="A396" s="166"/>
      <c r="B396" s="234"/>
      <c r="C396" s="234"/>
      <c r="D396" s="234"/>
      <c r="E396" s="234"/>
      <c r="F396" s="234"/>
      <c r="G396" s="234"/>
      <c r="H396" s="255"/>
      <c r="I396" s="256"/>
      <c r="J396" s="140"/>
      <c r="K396" s="234"/>
      <c r="L396" s="229" t="str">
        <f t="shared" si="18"/>
        <v/>
      </c>
      <c r="M396" s="232" t="s">
        <v>119</v>
      </c>
      <c r="N396" s="228" t="str">
        <f t="shared" si="19"/>
        <v/>
      </c>
      <c r="O396" s="228">
        <f t="shared" si="20"/>
        <v>0</v>
      </c>
    </row>
    <row r="397" spans="1:15" s="231" customFormat="1" ht="11.25">
      <c r="A397" s="166"/>
      <c r="B397" s="234"/>
      <c r="C397" s="234"/>
      <c r="D397" s="234"/>
      <c r="E397" s="234"/>
      <c r="F397" s="234"/>
      <c r="G397" s="234"/>
      <c r="H397" s="255"/>
      <c r="I397" s="256"/>
      <c r="J397" s="140"/>
      <c r="K397" s="234"/>
      <c r="L397" s="229" t="str">
        <f t="shared" si="18"/>
        <v/>
      </c>
      <c r="M397" s="232" t="s">
        <v>119</v>
      </c>
      <c r="N397" s="228" t="str">
        <f t="shared" si="19"/>
        <v/>
      </c>
      <c r="O397" s="228">
        <f t="shared" si="20"/>
        <v>0</v>
      </c>
    </row>
    <row r="398" spans="1:15" s="231" customFormat="1" ht="11.25">
      <c r="A398" s="166"/>
      <c r="B398" s="234"/>
      <c r="C398" s="234"/>
      <c r="D398" s="234"/>
      <c r="E398" s="234"/>
      <c r="F398" s="234"/>
      <c r="G398" s="234"/>
      <c r="H398" s="255"/>
      <c r="I398" s="256"/>
      <c r="J398" s="140"/>
      <c r="K398" s="234"/>
      <c r="L398" s="229" t="str">
        <f t="shared" si="18"/>
        <v/>
      </c>
      <c r="M398" s="232" t="s">
        <v>119</v>
      </c>
      <c r="N398" s="228" t="str">
        <f t="shared" si="19"/>
        <v/>
      </c>
      <c r="O398" s="228">
        <f t="shared" si="20"/>
        <v>0</v>
      </c>
    </row>
    <row r="399" spans="1:15" s="231" customFormat="1" ht="11.25">
      <c r="A399" s="166"/>
      <c r="B399" s="234"/>
      <c r="C399" s="234"/>
      <c r="D399" s="234"/>
      <c r="E399" s="234"/>
      <c r="F399" s="234"/>
      <c r="G399" s="234"/>
      <c r="H399" s="255"/>
      <c r="I399" s="256"/>
      <c r="J399" s="140"/>
      <c r="K399" s="234"/>
      <c r="L399" s="229" t="str">
        <f t="shared" si="18"/>
        <v/>
      </c>
      <c r="M399" s="232" t="s">
        <v>119</v>
      </c>
      <c r="N399" s="228" t="str">
        <f t="shared" si="19"/>
        <v/>
      </c>
      <c r="O399" s="228">
        <f t="shared" si="20"/>
        <v>0</v>
      </c>
    </row>
    <row r="400" spans="1:15" s="231" customFormat="1" ht="11.25">
      <c r="A400" s="166"/>
      <c r="B400" s="234"/>
      <c r="C400" s="234"/>
      <c r="D400" s="234"/>
      <c r="E400" s="234"/>
      <c r="F400" s="234"/>
      <c r="G400" s="234"/>
      <c r="H400" s="255"/>
      <c r="I400" s="256"/>
      <c r="J400" s="140"/>
      <c r="K400" s="234"/>
      <c r="L400" s="229" t="str">
        <f t="shared" si="18"/>
        <v/>
      </c>
      <c r="M400" s="232" t="s">
        <v>119</v>
      </c>
      <c r="N400" s="228" t="str">
        <f t="shared" si="19"/>
        <v/>
      </c>
      <c r="O400" s="228">
        <f t="shared" si="20"/>
        <v>0</v>
      </c>
    </row>
    <row r="401" spans="1:15" s="231" customFormat="1" ht="11.25">
      <c r="A401" s="166"/>
      <c r="B401" s="234"/>
      <c r="C401" s="234"/>
      <c r="D401" s="234"/>
      <c r="E401" s="234"/>
      <c r="F401" s="234"/>
      <c r="G401" s="234"/>
      <c r="H401" s="255"/>
      <c r="I401" s="256"/>
      <c r="J401" s="140"/>
      <c r="K401" s="234"/>
      <c r="L401" s="229" t="str">
        <f t="shared" si="18"/>
        <v/>
      </c>
      <c r="M401" s="232" t="s">
        <v>119</v>
      </c>
      <c r="N401" s="228" t="str">
        <f t="shared" si="19"/>
        <v/>
      </c>
      <c r="O401" s="228">
        <f t="shared" si="20"/>
        <v>0</v>
      </c>
    </row>
    <row r="402" spans="1:15" s="231" customFormat="1" ht="11.25">
      <c r="A402" s="166"/>
      <c r="B402" s="234"/>
      <c r="C402" s="234"/>
      <c r="D402" s="234"/>
      <c r="E402" s="234"/>
      <c r="F402" s="234"/>
      <c r="G402" s="234"/>
      <c r="H402" s="255"/>
      <c r="I402" s="256"/>
      <c r="J402" s="140"/>
      <c r="K402" s="234"/>
      <c r="L402" s="229" t="str">
        <f t="shared" si="18"/>
        <v/>
      </c>
      <c r="M402" s="232" t="s">
        <v>119</v>
      </c>
      <c r="N402" s="228" t="str">
        <f t="shared" si="19"/>
        <v/>
      </c>
      <c r="O402" s="228">
        <f t="shared" si="20"/>
        <v>0</v>
      </c>
    </row>
    <row r="403" spans="1:15" s="231" customFormat="1" ht="11.25">
      <c r="A403" s="166"/>
      <c r="B403" s="234"/>
      <c r="C403" s="234"/>
      <c r="D403" s="234"/>
      <c r="E403" s="234"/>
      <c r="F403" s="234"/>
      <c r="G403" s="234"/>
      <c r="H403" s="255"/>
      <c r="I403" s="256"/>
      <c r="J403" s="140"/>
      <c r="K403" s="234"/>
      <c r="L403" s="229" t="str">
        <f t="shared" si="18"/>
        <v/>
      </c>
      <c r="M403" s="232" t="s">
        <v>119</v>
      </c>
      <c r="N403" s="228" t="str">
        <f t="shared" si="19"/>
        <v/>
      </c>
      <c r="O403" s="228">
        <f t="shared" si="20"/>
        <v>0</v>
      </c>
    </row>
    <row r="404" spans="1:15" s="231" customFormat="1" ht="11.25">
      <c r="A404" s="166"/>
      <c r="B404" s="234"/>
      <c r="C404" s="234"/>
      <c r="D404" s="234"/>
      <c r="E404" s="234"/>
      <c r="F404" s="234"/>
      <c r="G404" s="234"/>
      <c r="H404" s="255"/>
      <c r="I404" s="256"/>
      <c r="J404" s="140"/>
      <c r="K404" s="234"/>
      <c r="L404" s="229" t="str">
        <f t="shared" si="18"/>
        <v/>
      </c>
      <c r="M404" s="232" t="s">
        <v>119</v>
      </c>
      <c r="N404" s="228" t="str">
        <f t="shared" si="19"/>
        <v/>
      </c>
      <c r="O404" s="228">
        <f t="shared" si="20"/>
        <v>0</v>
      </c>
    </row>
    <row r="405" spans="1:15" s="231" customFormat="1" ht="11.25">
      <c r="A405" s="166"/>
      <c r="B405" s="234"/>
      <c r="C405" s="234"/>
      <c r="D405" s="234"/>
      <c r="E405" s="234"/>
      <c r="F405" s="234"/>
      <c r="G405" s="234"/>
      <c r="H405" s="255"/>
      <c r="I405" s="256"/>
      <c r="J405" s="140"/>
      <c r="K405" s="234"/>
      <c r="L405" s="229" t="str">
        <f t="shared" si="18"/>
        <v/>
      </c>
      <c r="M405" s="232" t="s">
        <v>119</v>
      </c>
      <c r="N405" s="228" t="str">
        <f t="shared" si="19"/>
        <v/>
      </c>
      <c r="O405" s="228">
        <f t="shared" si="20"/>
        <v>0</v>
      </c>
    </row>
    <row r="406" spans="1:15" s="231" customFormat="1" ht="11.25">
      <c r="A406" s="166"/>
      <c r="B406" s="234"/>
      <c r="C406" s="234"/>
      <c r="D406" s="234"/>
      <c r="E406" s="234"/>
      <c r="F406" s="234"/>
      <c r="G406" s="234"/>
      <c r="H406" s="255"/>
      <c r="I406" s="256"/>
      <c r="J406" s="140"/>
      <c r="K406" s="234"/>
      <c r="L406" s="229" t="str">
        <f t="shared" si="18"/>
        <v/>
      </c>
      <c r="M406" s="232" t="s">
        <v>119</v>
      </c>
      <c r="N406" s="228" t="str">
        <f t="shared" si="19"/>
        <v/>
      </c>
      <c r="O406" s="228">
        <f t="shared" si="20"/>
        <v>0</v>
      </c>
    </row>
    <row r="407" spans="1:15" s="231" customFormat="1" ht="11.25">
      <c r="A407" s="166"/>
      <c r="B407" s="234"/>
      <c r="C407" s="234"/>
      <c r="D407" s="234"/>
      <c r="E407" s="234"/>
      <c r="F407" s="234"/>
      <c r="G407" s="234"/>
      <c r="H407" s="255"/>
      <c r="I407" s="256"/>
      <c r="J407" s="140"/>
      <c r="K407" s="234"/>
      <c r="L407" s="229" t="str">
        <f t="shared" si="18"/>
        <v/>
      </c>
      <c r="M407" s="232" t="s">
        <v>119</v>
      </c>
      <c r="N407" s="228" t="str">
        <f t="shared" si="19"/>
        <v/>
      </c>
      <c r="O407" s="228">
        <f t="shared" si="20"/>
        <v>0</v>
      </c>
    </row>
    <row r="408" spans="1:15" s="231" customFormat="1" ht="11.25">
      <c r="A408" s="166"/>
      <c r="B408" s="234"/>
      <c r="C408" s="234"/>
      <c r="D408" s="234"/>
      <c r="E408" s="234"/>
      <c r="F408" s="234"/>
      <c r="G408" s="234"/>
      <c r="H408" s="255"/>
      <c r="I408" s="256"/>
      <c r="J408" s="140"/>
      <c r="K408" s="234"/>
      <c r="L408" s="229" t="str">
        <f t="shared" si="18"/>
        <v/>
      </c>
      <c r="M408" s="232" t="s">
        <v>119</v>
      </c>
      <c r="N408" s="228" t="str">
        <f t="shared" si="19"/>
        <v/>
      </c>
      <c r="O408" s="228">
        <f t="shared" si="20"/>
        <v>0</v>
      </c>
    </row>
    <row r="409" spans="1:15" s="231" customFormat="1" ht="11.25">
      <c r="A409" s="166"/>
      <c r="B409" s="234"/>
      <c r="C409" s="234"/>
      <c r="D409" s="234"/>
      <c r="E409" s="234"/>
      <c r="F409" s="234"/>
      <c r="G409" s="234"/>
      <c r="H409" s="255"/>
      <c r="I409" s="256"/>
      <c r="J409" s="140"/>
      <c r="K409" s="234"/>
      <c r="L409" s="229" t="str">
        <f t="shared" si="18"/>
        <v/>
      </c>
      <c r="M409" s="232" t="s">
        <v>119</v>
      </c>
      <c r="N409" s="228" t="str">
        <f t="shared" si="19"/>
        <v/>
      </c>
      <c r="O409" s="228">
        <f t="shared" si="20"/>
        <v>0</v>
      </c>
    </row>
    <row r="410" spans="1:15" s="231" customFormat="1" ht="11.25">
      <c r="A410" s="166"/>
      <c r="B410" s="234"/>
      <c r="C410" s="234"/>
      <c r="D410" s="234"/>
      <c r="E410" s="234"/>
      <c r="F410" s="234"/>
      <c r="G410" s="234"/>
      <c r="H410" s="255"/>
      <c r="I410" s="256"/>
      <c r="J410" s="140"/>
      <c r="K410" s="234"/>
      <c r="L410" s="229" t="str">
        <f t="shared" si="18"/>
        <v/>
      </c>
      <c r="M410" s="232" t="s">
        <v>119</v>
      </c>
      <c r="N410" s="228" t="str">
        <f t="shared" si="19"/>
        <v/>
      </c>
      <c r="O410" s="228">
        <f t="shared" si="20"/>
        <v>0</v>
      </c>
    </row>
    <row r="411" spans="1:15" s="231" customFormat="1" ht="11.25">
      <c r="A411" s="166"/>
      <c r="B411" s="234"/>
      <c r="C411" s="234"/>
      <c r="D411" s="234"/>
      <c r="E411" s="234"/>
      <c r="F411" s="234"/>
      <c r="G411" s="234"/>
      <c r="H411" s="255"/>
      <c r="I411" s="256"/>
      <c r="J411" s="140"/>
      <c r="K411" s="234"/>
      <c r="L411" s="229" t="str">
        <f t="shared" si="18"/>
        <v/>
      </c>
      <c r="M411" s="232" t="s">
        <v>119</v>
      </c>
      <c r="N411" s="228" t="str">
        <f t="shared" si="19"/>
        <v/>
      </c>
      <c r="O411" s="228">
        <f t="shared" si="20"/>
        <v>0</v>
      </c>
    </row>
    <row r="412" spans="1:15" s="231" customFormat="1" ht="11.25">
      <c r="A412" s="166"/>
      <c r="B412" s="234"/>
      <c r="C412" s="234"/>
      <c r="D412" s="234"/>
      <c r="E412" s="234"/>
      <c r="F412" s="234"/>
      <c r="G412" s="234"/>
      <c r="H412" s="255"/>
      <c r="I412" s="256"/>
      <c r="J412" s="140"/>
      <c r="K412" s="234"/>
      <c r="L412" s="229" t="str">
        <f t="shared" si="18"/>
        <v/>
      </c>
      <c r="M412" s="232" t="s">
        <v>119</v>
      </c>
      <c r="N412" s="228" t="str">
        <f t="shared" si="19"/>
        <v/>
      </c>
      <c r="O412" s="228">
        <f t="shared" si="20"/>
        <v>0</v>
      </c>
    </row>
    <row r="413" spans="1:15" s="231" customFormat="1" ht="11.25">
      <c r="A413" s="166"/>
      <c r="B413" s="234"/>
      <c r="C413" s="234"/>
      <c r="D413" s="234"/>
      <c r="E413" s="234"/>
      <c r="F413" s="234"/>
      <c r="G413" s="234"/>
      <c r="H413" s="255"/>
      <c r="I413" s="256"/>
      <c r="J413" s="140"/>
      <c r="K413" s="234"/>
      <c r="L413" s="229" t="str">
        <f t="shared" si="18"/>
        <v/>
      </c>
      <c r="M413" s="232" t="s">
        <v>119</v>
      </c>
      <c r="N413" s="228" t="str">
        <f t="shared" si="19"/>
        <v/>
      </c>
      <c r="O413" s="228">
        <f t="shared" si="20"/>
        <v>0</v>
      </c>
    </row>
    <row r="414" spans="1:15" s="231" customFormat="1" ht="11.25">
      <c r="A414" s="166"/>
      <c r="B414" s="234"/>
      <c r="C414" s="234"/>
      <c r="D414" s="234"/>
      <c r="E414" s="234"/>
      <c r="F414" s="234"/>
      <c r="G414" s="234"/>
      <c r="H414" s="255"/>
      <c r="I414" s="256"/>
      <c r="J414" s="140"/>
      <c r="K414" s="234"/>
      <c r="L414" s="229" t="str">
        <f t="shared" si="18"/>
        <v/>
      </c>
      <c r="M414" s="232" t="s">
        <v>119</v>
      </c>
      <c r="N414" s="228" t="str">
        <f t="shared" si="19"/>
        <v/>
      </c>
      <c r="O414" s="228">
        <f t="shared" si="20"/>
        <v>0</v>
      </c>
    </row>
    <row r="415" spans="1:15" s="231" customFormat="1" ht="11.25">
      <c r="A415" s="166"/>
      <c r="B415" s="234"/>
      <c r="C415" s="234"/>
      <c r="D415" s="234"/>
      <c r="E415" s="234"/>
      <c r="F415" s="234"/>
      <c r="G415" s="234"/>
      <c r="H415" s="255"/>
      <c r="I415" s="256"/>
      <c r="J415" s="140"/>
      <c r="K415" s="234"/>
      <c r="L415" s="229" t="str">
        <f t="shared" si="18"/>
        <v/>
      </c>
      <c r="M415" s="232" t="s">
        <v>119</v>
      </c>
      <c r="N415" s="228" t="str">
        <f t="shared" si="19"/>
        <v/>
      </c>
      <c r="O415" s="228">
        <f t="shared" si="20"/>
        <v>0</v>
      </c>
    </row>
    <row r="416" spans="1:15" s="231" customFormat="1" ht="11.25">
      <c r="A416" s="166"/>
      <c r="B416" s="234"/>
      <c r="C416" s="234"/>
      <c r="D416" s="234"/>
      <c r="E416" s="234"/>
      <c r="F416" s="234"/>
      <c r="G416" s="234"/>
      <c r="H416" s="255"/>
      <c r="I416" s="256"/>
      <c r="J416" s="140"/>
      <c r="K416" s="234"/>
      <c r="L416" s="229" t="str">
        <f t="shared" si="18"/>
        <v/>
      </c>
      <c r="M416" s="232" t="s">
        <v>119</v>
      </c>
      <c r="N416" s="228" t="str">
        <f t="shared" si="19"/>
        <v/>
      </c>
      <c r="O416" s="228">
        <f t="shared" si="20"/>
        <v>0</v>
      </c>
    </row>
    <row r="417" spans="1:15" s="231" customFormat="1" ht="11.25">
      <c r="A417" s="166"/>
      <c r="B417" s="234"/>
      <c r="C417" s="234"/>
      <c r="D417" s="234"/>
      <c r="E417" s="234"/>
      <c r="F417" s="234"/>
      <c r="G417" s="234"/>
      <c r="H417" s="255"/>
      <c r="I417" s="256"/>
      <c r="J417" s="140"/>
      <c r="K417" s="234"/>
      <c r="L417" s="229" t="str">
        <f t="shared" si="18"/>
        <v/>
      </c>
      <c r="M417" s="232" t="s">
        <v>119</v>
      </c>
      <c r="N417" s="228" t="str">
        <f t="shared" si="19"/>
        <v/>
      </c>
      <c r="O417" s="228">
        <f t="shared" si="20"/>
        <v>0</v>
      </c>
    </row>
    <row r="418" spans="1:15" s="231" customFormat="1" ht="11.25">
      <c r="A418" s="166"/>
      <c r="B418" s="234"/>
      <c r="C418" s="234"/>
      <c r="D418" s="234"/>
      <c r="E418" s="234"/>
      <c r="F418" s="234"/>
      <c r="G418" s="234"/>
      <c r="H418" s="255"/>
      <c r="I418" s="256"/>
      <c r="J418" s="140"/>
      <c r="K418" s="234"/>
      <c r="L418" s="229" t="str">
        <f t="shared" si="18"/>
        <v/>
      </c>
      <c r="M418" s="232" t="s">
        <v>119</v>
      </c>
      <c r="N418" s="228" t="str">
        <f t="shared" si="19"/>
        <v/>
      </c>
      <c r="O418" s="228">
        <f t="shared" si="20"/>
        <v>0</v>
      </c>
    </row>
    <row r="419" spans="1:15" s="231" customFormat="1" ht="11.25">
      <c r="A419" s="166"/>
      <c r="B419" s="234"/>
      <c r="C419" s="234"/>
      <c r="D419" s="234"/>
      <c r="E419" s="234"/>
      <c r="F419" s="234"/>
      <c r="G419" s="234"/>
      <c r="H419" s="255"/>
      <c r="I419" s="256"/>
      <c r="J419" s="140"/>
      <c r="K419" s="234"/>
      <c r="L419" s="229" t="str">
        <f t="shared" si="18"/>
        <v/>
      </c>
      <c r="M419" s="232" t="s">
        <v>119</v>
      </c>
      <c r="N419" s="228" t="str">
        <f t="shared" si="19"/>
        <v/>
      </c>
      <c r="O419" s="228">
        <f t="shared" si="20"/>
        <v>0</v>
      </c>
    </row>
    <row r="420" spans="1:15" s="231" customFormat="1" ht="11.25">
      <c r="A420" s="166"/>
      <c r="B420" s="234"/>
      <c r="C420" s="234"/>
      <c r="D420" s="234"/>
      <c r="E420" s="234"/>
      <c r="F420" s="234"/>
      <c r="G420" s="234"/>
      <c r="H420" s="255"/>
      <c r="I420" s="256"/>
      <c r="J420" s="140"/>
      <c r="K420" s="234"/>
      <c r="L420" s="229" t="str">
        <f t="shared" si="18"/>
        <v/>
      </c>
      <c r="M420" s="232" t="s">
        <v>119</v>
      </c>
      <c r="N420" s="228" t="str">
        <f t="shared" si="19"/>
        <v/>
      </c>
      <c r="O420" s="228">
        <f t="shared" si="20"/>
        <v>0</v>
      </c>
    </row>
    <row r="421" spans="1:15" s="231" customFormat="1" ht="11.25">
      <c r="A421" s="166"/>
      <c r="B421" s="234"/>
      <c r="C421" s="234"/>
      <c r="D421" s="234"/>
      <c r="E421" s="234"/>
      <c r="F421" s="234"/>
      <c r="G421" s="234"/>
      <c r="H421" s="255"/>
      <c r="I421" s="256"/>
      <c r="J421" s="140"/>
      <c r="K421" s="234"/>
      <c r="L421" s="229" t="str">
        <f t="shared" si="18"/>
        <v/>
      </c>
      <c r="M421" s="232" t="s">
        <v>119</v>
      </c>
      <c r="N421" s="228" t="str">
        <f t="shared" si="19"/>
        <v/>
      </c>
      <c r="O421" s="228">
        <f t="shared" si="20"/>
        <v>0</v>
      </c>
    </row>
    <row r="422" spans="1:15" s="231" customFormat="1" ht="11.25">
      <c r="A422" s="166"/>
      <c r="B422" s="234"/>
      <c r="C422" s="234"/>
      <c r="D422" s="234"/>
      <c r="E422" s="234"/>
      <c r="F422" s="234"/>
      <c r="G422" s="234"/>
      <c r="H422" s="255"/>
      <c r="I422" s="256"/>
      <c r="J422" s="140"/>
      <c r="K422" s="234"/>
      <c r="L422" s="229" t="str">
        <f t="shared" si="18"/>
        <v/>
      </c>
      <c r="M422" s="232" t="s">
        <v>119</v>
      </c>
      <c r="N422" s="228" t="str">
        <f t="shared" si="19"/>
        <v/>
      </c>
      <c r="O422" s="228">
        <f t="shared" si="20"/>
        <v>0</v>
      </c>
    </row>
    <row r="423" spans="1:15" s="231" customFormat="1" ht="11.25">
      <c r="A423" s="166"/>
      <c r="B423" s="234"/>
      <c r="C423" s="234"/>
      <c r="D423" s="234"/>
      <c r="E423" s="234"/>
      <c r="F423" s="234"/>
      <c r="G423" s="234"/>
      <c r="H423" s="255"/>
      <c r="I423" s="256"/>
      <c r="J423" s="140"/>
      <c r="K423" s="234"/>
      <c r="L423" s="229" t="str">
        <f t="shared" si="18"/>
        <v/>
      </c>
      <c r="M423" s="232" t="s">
        <v>119</v>
      </c>
      <c r="N423" s="228" t="str">
        <f t="shared" si="19"/>
        <v/>
      </c>
      <c r="O423" s="228">
        <f t="shared" si="20"/>
        <v>0</v>
      </c>
    </row>
    <row r="424" spans="1:15" s="231" customFormat="1" ht="11.25">
      <c r="A424" s="166"/>
      <c r="B424" s="234"/>
      <c r="C424" s="234"/>
      <c r="D424" s="234"/>
      <c r="E424" s="234"/>
      <c r="F424" s="234"/>
      <c r="G424" s="234"/>
      <c r="H424" s="255"/>
      <c r="I424" s="256"/>
      <c r="J424" s="140"/>
      <c r="K424" s="234"/>
      <c r="L424" s="229" t="str">
        <f t="shared" si="18"/>
        <v/>
      </c>
      <c r="M424" s="232" t="s">
        <v>119</v>
      </c>
      <c r="N424" s="228" t="str">
        <f t="shared" si="19"/>
        <v/>
      </c>
      <c r="O424" s="228">
        <f t="shared" si="20"/>
        <v>0</v>
      </c>
    </row>
    <row r="425" spans="1:15" s="231" customFormat="1" ht="11.25">
      <c r="A425" s="166"/>
      <c r="B425" s="234"/>
      <c r="C425" s="234"/>
      <c r="D425" s="234"/>
      <c r="E425" s="234"/>
      <c r="F425" s="234"/>
      <c r="G425" s="234"/>
      <c r="H425" s="255"/>
      <c r="I425" s="256"/>
      <c r="J425" s="140"/>
      <c r="K425" s="234"/>
      <c r="L425" s="229" t="str">
        <f t="shared" si="18"/>
        <v/>
      </c>
      <c r="M425" s="232" t="s">
        <v>119</v>
      </c>
      <c r="N425" s="228" t="str">
        <f t="shared" si="19"/>
        <v/>
      </c>
      <c r="O425" s="228">
        <f t="shared" si="20"/>
        <v>0</v>
      </c>
    </row>
    <row r="426" spans="1:15" s="231" customFormat="1" ht="11.25">
      <c r="A426" s="166"/>
      <c r="B426" s="234"/>
      <c r="C426" s="234"/>
      <c r="D426" s="234"/>
      <c r="E426" s="234"/>
      <c r="F426" s="234"/>
      <c r="G426" s="234"/>
      <c r="H426" s="255"/>
      <c r="I426" s="256"/>
      <c r="J426" s="140"/>
      <c r="K426" s="234"/>
      <c r="L426" s="229" t="str">
        <f t="shared" si="18"/>
        <v/>
      </c>
      <c r="M426" s="232" t="s">
        <v>119</v>
      </c>
      <c r="N426" s="228" t="str">
        <f t="shared" si="19"/>
        <v/>
      </c>
      <c r="O426" s="228">
        <f t="shared" si="20"/>
        <v>0</v>
      </c>
    </row>
    <row r="427" spans="1:15" s="231" customFormat="1" ht="11.25">
      <c r="A427" s="166"/>
      <c r="B427" s="234"/>
      <c r="C427" s="234"/>
      <c r="D427" s="234"/>
      <c r="E427" s="234"/>
      <c r="F427" s="234"/>
      <c r="G427" s="234"/>
      <c r="H427" s="255"/>
      <c r="I427" s="256"/>
      <c r="J427" s="140"/>
      <c r="K427" s="234"/>
      <c r="L427" s="229" t="str">
        <f t="shared" si="18"/>
        <v/>
      </c>
      <c r="M427" s="232" t="s">
        <v>119</v>
      </c>
      <c r="N427" s="228" t="str">
        <f t="shared" si="19"/>
        <v/>
      </c>
      <c r="O427" s="228">
        <f t="shared" si="20"/>
        <v>0</v>
      </c>
    </row>
    <row r="428" spans="1:15" s="231" customFormat="1" ht="11.25">
      <c r="A428" s="166"/>
      <c r="B428" s="234"/>
      <c r="C428" s="234"/>
      <c r="D428" s="234"/>
      <c r="E428" s="234"/>
      <c r="F428" s="234"/>
      <c r="G428" s="234"/>
      <c r="H428" s="255"/>
      <c r="I428" s="256"/>
      <c r="J428" s="140"/>
      <c r="K428" s="234"/>
      <c r="L428" s="229" t="str">
        <f t="shared" si="18"/>
        <v/>
      </c>
      <c r="M428" s="232" t="s">
        <v>119</v>
      </c>
      <c r="N428" s="228" t="str">
        <f t="shared" si="19"/>
        <v/>
      </c>
      <c r="O428" s="228">
        <f t="shared" si="20"/>
        <v>0</v>
      </c>
    </row>
    <row r="429" spans="1:15" s="231" customFormat="1" ht="11.25">
      <c r="A429" s="166"/>
      <c r="B429" s="234"/>
      <c r="C429" s="234"/>
      <c r="D429" s="234"/>
      <c r="E429" s="234"/>
      <c r="F429" s="234"/>
      <c r="G429" s="234"/>
      <c r="H429" s="255"/>
      <c r="I429" s="256"/>
      <c r="J429" s="140"/>
      <c r="K429" s="234"/>
      <c r="L429" s="229" t="str">
        <f t="shared" si="18"/>
        <v/>
      </c>
      <c r="M429" s="232" t="s">
        <v>119</v>
      </c>
      <c r="N429" s="228" t="str">
        <f t="shared" si="19"/>
        <v/>
      </c>
      <c r="O429" s="228">
        <f t="shared" si="20"/>
        <v>0</v>
      </c>
    </row>
    <row r="430" spans="1:15" s="231" customFormat="1" ht="11.25">
      <c r="A430" s="166"/>
      <c r="B430" s="234"/>
      <c r="C430" s="234"/>
      <c r="D430" s="234"/>
      <c r="E430" s="234"/>
      <c r="F430" s="234"/>
      <c r="G430" s="234"/>
      <c r="H430" s="255"/>
      <c r="I430" s="256"/>
      <c r="J430" s="140"/>
      <c r="K430" s="234"/>
      <c r="L430" s="229" t="str">
        <f t="shared" si="18"/>
        <v/>
      </c>
      <c r="M430" s="232" t="s">
        <v>119</v>
      </c>
      <c r="N430" s="228" t="str">
        <f t="shared" si="19"/>
        <v/>
      </c>
      <c r="O430" s="228">
        <f t="shared" si="20"/>
        <v>0</v>
      </c>
    </row>
    <row r="431" spans="1:15" s="231" customFormat="1" ht="11.25">
      <c r="A431" s="166"/>
      <c r="B431" s="234"/>
      <c r="C431" s="234"/>
      <c r="D431" s="234"/>
      <c r="E431" s="234"/>
      <c r="F431" s="234"/>
      <c r="G431" s="234"/>
      <c r="H431" s="255"/>
      <c r="I431" s="256"/>
      <c r="J431" s="140"/>
      <c r="K431" s="234"/>
      <c r="L431" s="229" t="str">
        <f t="shared" si="18"/>
        <v/>
      </c>
      <c r="M431" s="232" t="s">
        <v>119</v>
      </c>
      <c r="N431" s="228" t="str">
        <f t="shared" si="19"/>
        <v/>
      </c>
      <c r="O431" s="228">
        <f t="shared" si="20"/>
        <v>0</v>
      </c>
    </row>
    <row r="432" spans="1:15" s="231" customFormat="1" ht="11.25">
      <c r="A432" s="166"/>
      <c r="B432" s="234"/>
      <c r="C432" s="234"/>
      <c r="D432" s="234"/>
      <c r="E432" s="234"/>
      <c r="F432" s="234"/>
      <c r="G432" s="234"/>
      <c r="H432" s="255"/>
      <c r="I432" s="256"/>
      <c r="J432" s="140"/>
      <c r="K432" s="234"/>
      <c r="L432" s="229" t="str">
        <f t="shared" si="18"/>
        <v/>
      </c>
      <c r="M432" s="232" t="s">
        <v>119</v>
      </c>
      <c r="N432" s="228" t="str">
        <f t="shared" si="19"/>
        <v/>
      </c>
      <c r="O432" s="228">
        <f t="shared" si="20"/>
        <v>0</v>
      </c>
    </row>
    <row r="433" spans="1:15" s="231" customFormat="1" ht="11.25">
      <c r="A433" s="166"/>
      <c r="B433" s="234"/>
      <c r="C433" s="234"/>
      <c r="D433" s="234"/>
      <c r="E433" s="234"/>
      <c r="F433" s="234"/>
      <c r="G433" s="234"/>
      <c r="H433" s="255"/>
      <c r="I433" s="256"/>
      <c r="J433" s="140"/>
      <c r="K433" s="234"/>
      <c r="L433" s="229" t="str">
        <f t="shared" si="18"/>
        <v/>
      </c>
      <c r="M433" s="232" t="s">
        <v>119</v>
      </c>
      <c r="N433" s="228" t="str">
        <f t="shared" si="19"/>
        <v/>
      </c>
      <c r="O433" s="228">
        <f t="shared" si="20"/>
        <v>0</v>
      </c>
    </row>
    <row r="434" spans="1:15" s="231" customFormat="1" ht="11.25">
      <c r="A434" s="166"/>
      <c r="B434" s="234"/>
      <c r="C434" s="234"/>
      <c r="D434" s="234"/>
      <c r="E434" s="234"/>
      <c r="F434" s="234"/>
      <c r="G434" s="234"/>
      <c r="H434" s="255"/>
      <c r="I434" s="256"/>
      <c r="J434" s="140"/>
      <c r="K434" s="234"/>
      <c r="L434" s="229" t="str">
        <f t="shared" si="18"/>
        <v/>
      </c>
      <c r="M434" s="232" t="s">
        <v>119</v>
      </c>
      <c r="N434" s="228" t="str">
        <f t="shared" si="19"/>
        <v/>
      </c>
      <c r="O434" s="228">
        <f t="shared" si="20"/>
        <v>0</v>
      </c>
    </row>
    <row r="435" spans="1:15" s="231" customFormat="1" ht="11.25">
      <c r="A435" s="166"/>
      <c r="B435" s="234"/>
      <c r="C435" s="234"/>
      <c r="D435" s="234"/>
      <c r="E435" s="234"/>
      <c r="F435" s="234"/>
      <c r="G435" s="234"/>
      <c r="H435" s="255"/>
      <c r="I435" s="256"/>
      <c r="J435" s="140"/>
      <c r="K435" s="234"/>
      <c r="L435" s="229" t="str">
        <f t="shared" si="18"/>
        <v/>
      </c>
      <c r="M435" s="232" t="s">
        <v>119</v>
      </c>
      <c r="N435" s="228" t="str">
        <f t="shared" si="19"/>
        <v/>
      </c>
      <c r="O435" s="228">
        <f t="shared" si="20"/>
        <v>0</v>
      </c>
    </row>
    <row r="436" spans="1:15" s="231" customFormat="1" ht="11.25">
      <c r="A436" s="166"/>
      <c r="B436" s="234"/>
      <c r="C436" s="234"/>
      <c r="D436" s="234"/>
      <c r="E436" s="234"/>
      <c r="F436" s="234"/>
      <c r="G436" s="234"/>
      <c r="H436" s="255"/>
      <c r="I436" s="256"/>
      <c r="J436" s="140"/>
      <c r="K436" s="234"/>
      <c r="L436" s="229" t="str">
        <f t="shared" si="18"/>
        <v/>
      </c>
      <c r="M436" s="232" t="s">
        <v>119</v>
      </c>
      <c r="N436" s="228" t="str">
        <f t="shared" si="19"/>
        <v/>
      </c>
      <c r="O436" s="228">
        <f t="shared" si="20"/>
        <v>0</v>
      </c>
    </row>
    <row r="437" spans="1:15" s="231" customFormat="1" ht="11.25">
      <c r="A437" s="166"/>
      <c r="B437" s="234"/>
      <c r="C437" s="234"/>
      <c r="D437" s="234"/>
      <c r="E437" s="234"/>
      <c r="F437" s="234"/>
      <c r="G437" s="234"/>
      <c r="H437" s="255"/>
      <c r="I437" s="256"/>
      <c r="J437" s="140"/>
      <c r="K437" s="234"/>
      <c r="L437" s="229" t="str">
        <f t="shared" si="18"/>
        <v/>
      </c>
      <c r="M437" s="232" t="s">
        <v>119</v>
      </c>
      <c r="N437" s="228" t="str">
        <f t="shared" si="19"/>
        <v/>
      </c>
      <c r="O437" s="228">
        <f t="shared" si="20"/>
        <v>0</v>
      </c>
    </row>
    <row r="438" spans="1:15" s="231" customFormat="1" ht="11.25">
      <c r="A438" s="166"/>
      <c r="B438" s="234"/>
      <c r="C438" s="234"/>
      <c r="D438" s="234"/>
      <c r="E438" s="234"/>
      <c r="F438" s="234"/>
      <c r="G438" s="234"/>
      <c r="H438" s="255"/>
      <c r="I438" s="256"/>
      <c r="J438" s="140"/>
      <c r="K438" s="234"/>
      <c r="L438" s="229" t="str">
        <f t="shared" si="18"/>
        <v/>
      </c>
      <c r="M438" s="232" t="s">
        <v>119</v>
      </c>
      <c r="N438" s="228" t="str">
        <f t="shared" si="19"/>
        <v/>
      </c>
      <c r="O438" s="228">
        <f t="shared" si="20"/>
        <v>0</v>
      </c>
    </row>
    <row r="439" spans="1:15" s="231" customFormat="1" ht="11.25">
      <c r="A439" s="166"/>
      <c r="B439" s="234"/>
      <c r="C439" s="234"/>
      <c r="D439" s="234"/>
      <c r="E439" s="234"/>
      <c r="F439" s="234"/>
      <c r="G439" s="234"/>
      <c r="H439" s="255"/>
      <c r="I439" s="256"/>
      <c r="J439" s="140"/>
      <c r="K439" s="234"/>
      <c r="L439" s="229" t="str">
        <f t="shared" si="18"/>
        <v/>
      </c>
      <c r="M439" s="232" t="s">
        <v>119</v>
      </c>
      <c r="N439" s="228" t="str">
        <f t="shared" si="19"/>
        <v/>
      </c>
      <c r="O439" s="228">
        <f t="shared" si="20"/>
        <v>0</v>
      </c>
    </row>
    <row r="440" spans="1:15" s="231" customFormat="1" ht="11.25">
      <c r="A440" s="166"/>
      <c r="B440" s="234"/>
      <c r="C440" s="234"/>
      <c r="D440" s="234"/>
      <c r="E440" s="234"/>
      <c r="F440" s="234"/>
      <c r="G440" s="234"/>
      <c r="H440" s="255"/>
      <c r="I440" s="256"/>
      <c r="J440" s="140"/>
      <c r="K440" s="234"/>
      <c r="L440" s="229" t="str">
        <f t="shared" si="18"/>
        <v/>
      </c>
      <c r="M440" s="232" t="s">
        <v>119</v>
      </c>
      <c r="N440" s="228" t="str">
        <f t="shared" si="19"/>
        <v/>
      </c>
      <c r="O440" s="228">
        <f t="shared" si="20"/>
        <v>0</v>
      </c>
    </row>
    <row r="441" spans="1:15" s="231" customFormat="1" ht="11.25">
      <c r="A441" s="166"/>
      <c r="B441" s="234"/>
      <c r="C441" s="234"/>
      <c r="D441" s="234"/>
      <c r="E441" s="234"/>
      <c r="F441" s="234"/>
      <c r="G441" s="234"/>
      <c r="H441" s="255"/>
      <c r="I441" s="256"/>
      <c r="J441" s="140"/>
      <c r="K441" s="234"/>
      <c r="L441" s="229" t="str">
        <f t="shared" si="18"/>
        <v/>
      </c>
      <c r="M441" s="232" t="s">
        <v>119</v>
      </c>
      <c r="N441" s="228" t="str">
        <f t="shared" si="19"/>
        <v/>
      </c>
      <c r="O441" s="228">
        <f t="shared" si="20"/>
        <v>0</v>
      </c>
    </row>
    <row r="442" spans="1:15" s="231" customFormat="1" ht="11.25">
      <c r="A442" s="166"/>
      <c r="B442" s="234"/>
      <c r="C442" s="234"/>
      <c r="D442" s="234"/>
      <c r="E442" s="234"/>
      <c r="F442" s="234"/>
      <c r="G442" s="234"/>
      <c r="H442" s="255"/>
      <c r="I442" s="256"/>
      <c r="J442" s="140"/>
      <c r="K442" s="234"/>
      <c r="L442" s="229" t="str">
        <f t="shared" si="18"/>
        <v/>
      </c>
      <c r="M442" s="232" t="s">
        <v>119</v>
      </c>
      <c r="N442" s="228" t="str">
        <f t="shared" si="19"/>
        <v/>
      </c>
      <c r="O442" s="228">
        <f t="shared" si="20"/>
        <v>0</v>
      </c>
    </row>
    <row r="443" spans="1:15" s="231" customFormat="1" ht="11.25">
      <c r="A443" s="166"/>
      <c r="B443" s="234"/>
      <c r="C443" s="234"/>
      <c r="D443" s="234"/>
      <c r="E443" s="234"/>
      <c r="F443" s="234"/>
      <c r="G443" s="234"/>
      <c r="H443" s="255"/>
      <c r="I443" s="256"/>
      <c r="J443" s="140"/>
      <c r="K443" s="234"/>
      <c r="L443" s="229" t="str">
        <f t="shared" si="18"/>
        <v/>
      </c>
      <c r="M443" s="232" t="s">
        <v>119</v>
      </c>
      <c r="N443" s="228" t="str">
        <f t="shared" si="19"/>
        <v/>
      </c>
      <c r="O443" s="228">
        <f t="shared" si="20"/>
        <v>0</v>
      </c>
    </row>
    <row r="444" spans="1:15" s="231" customFormat="1" ht="11.25">
      <c r="A444" s="166"/>
      <c r="B444" s="234"/>
      <c r="C444" s="234"/>
      <c r="D444" s="234"/>
      <c r="E444" s="234"/>
      <c r="F444" s="234"/>
      <c r="G444" s="234"/>
      <c r="H444" s="255"/>
      <c r="I444" s="256"/>
      <c r="J444" s="140"/>
      <c r="K444" s="234"/>
      <c r="L444" s="229" t="str">
        <f t="shared" si="18"/>
        <v/>
      </c>
      <c r="M444" s="232" t="s">
        <v>119</v>
      </c>
      <c r="N444" s="228" t="str">
        <f t="shared" si="19"/>
        <v/>
      </c>
      <c r="O444" s="228">
        <f t="shared" si="20"/>
        <v>0</v>
      </c>
    </row>
    <row r="445" spans="1:15" s="231" customFormat="1" ht="11.25">
      <c r="A445" s="166"/>
      <c r="B445" s="234"/>
      <c r="C445" s="234"/>
      <c r="D445" s="234"/>
      <c r="E445" s="234"/>
      <c r="F445" s="234"/>
      <c r="G445" s="234"/>
      <c r="H445" s="255"/>
      <c r="I445" s="256"/>
      <c r="J445" s="140"/>
      <c r="K445" s="234"/>
      <c r="L445" s="229" t="str">
        <f t="shared" si="18"/>
        <v/>
      </c>
      <c r="M445" s="232" t="s">
        <v>119</v>
      </c>
      <c r="N445" s="228" t="str">
        <f t="shared" si="19"/>
        <v/>
      </c>
      <c r="O445" s="228">
        <f t="shared" si="20"/>
        <v>0</v>
      </c>
    </row>
    <row r="446" spans="1:15" s="231" customFormat="1" ht="11.25">
      <c r="A446" s="166"/>
      <c r="B446" s="234"/>
      <c r="C446" s="234"/>
      <c r="D446" s="234"/>
      <c r="E446" s="234"/>
      <c r="F446" s="234"/>
      <c r="G446" s="234"/>
      <c r="H446" s="255"/>
      <c r="I446" s="256"/>
      <c r="J446" s="140"/>
      <c r="K446" s="234"/>
      <c r="L446" s="229" t="str">
        <f t="shared" si="18"/>
        <v/>
      </c>
      <c r="M446" s="232" t="s">
        <v>119</v>
      </c>
      <c r="N446" s="228" t="str">
        <f t="shared" si="19"/>
        <v/>
      </c>
      <c r="O446" s="228">
        <f t="shared" si="20"/>
        <v>0</v>
      </c>
    </row>
    <row r="447" spans="1:15" s="231" customFormat="1" ht="11.25">
      <c r="A447" s="166"/>
      <c r="B447" s="234"/>
      <c r="C447" s="234"/>
      <c r="D447" s="234"/>
      <c r="E447" s="234"/>
      <c r="F447" s="234"/>
      <c r="G447" s="234"/>
      <c r="H447" s="255"/>
      <c r="I447" s="256"/>
      <c r="J447" s="140"/>
      <c r="K447" s="234"/>
      <c r="L447" s="229" t="str">
        <f t="shared" si="18"/>
        <v/>
      </c>
      <c r="M447" s="232" t="s">
        <v>119</v>
      </c>
      <c r="N447" s="228" t="str">
        <f t="shared" si="19"/>
        <v/>
      </c>
      <c r="O447" s="228">
        <f t="shared" si="20"/>
        <v>0</v>
      </c>
    </row>
    <row r="448" spans="1:15" s="231" customFormat="1" ht="11.25">
      <c r="A448" s="166"/>
      <c r="B448" s="234"/>
      <c r="C448" s="234"/>
      <c r="D448" s="234"/>
      <c r="E448" s="234"/>
      <c r="F448" s="234"/>
      <c r="G448" s="234"/>
      <c r="H448" s="255"/>
      <c r="I448" s="256"/>
      <c r="J448" s="140"/>
      <c r="K448" s="234"/>
      <c r="L448" s="229" t="str">
        <f t="shared" si="18"/>
        <v/>
      </c>
      <c r="M448" s="232" t="s">
        <v>119</v>
      </c>
      <c r="N448" s="228" t="str">
        <f t="shared" si="19"/>
        <v/>
      </c>
      <c r="O448" s="228">
        <f t="shared" si="20"/>
        <v>0</v>
      </c>
    </row>
    <row r="449" spans="1:15" s="231" customFormat="1" ht="11.25">
      <c r="A449" s="166"/>
      <c r="B449" s="234"/>
      <c r="C449" s="234"/>
      <c r="D449" s="234"/>
      <c r="E449" s="234"/>
      <c r="F449" s="234"/>
      <c r="G449" s="234"/>
      <c r="H449" s="255"/>
      <c r="I449" s="256"/>
      <c r="J449" s="140"/>
      <c r="K449" s="234"/>
      <c r="L449" s="229" t="str">
        <f t="shared" si="18"/>
        <v/>
      </c>
      <c r="M449" s="232" t="s">
        <v>119</v>
      </c>
      <c r="N449" s="228" t="str">
        <f t="shared" si="19"/>
        <v/>
      </c>
      <c r="O449" s="228">
        <f t="shared" si="20"/>
        <v>0</v>
      </c>
    </row>
    <row r="450" spans="1:15" s="231" customFormat="1" ht="11.25">
      <c r="A450" s="166"/>
      <c r="B450" s="234"/>
      <c r="C450" s="234"/>
      <c r="D450" s="234"/>
      <c r="E450" s="234"/>
      <c r="F450" s="234"/>
      <c r="G450" s="234"/>
      <c r="H450" s="255"/>
      <c r="I450" s="256"/>
      <c r="J450" s="140"/>
      <c r="K450" s="234"/>
      <c r="L450" s="229" t="str">
        <f t="shared" si="18"/>
        <v/>
      </c>
      <c r="M450" s="232" t="s">
        <v>119</v>
      </c>
      <c r="N450" s="228" t="str">
        <f t="shared" si="19"/>
        <v/>
      </c>
      <c r="O450" s="228">
        <f t="shared" si="20"/>
        <v>0</v>
      </c>
    </row>
    <row r="451" spans="1:15" s="231" customFormat="1" ht="11.25">
      <c r="A451" s="166"/>
      <c r="B451" s="234"/>
      <c r="C451" s="234"/>
      <c r="D451" s="234"/>
      <c r="E451" s="234"/>
      <c r="F451" s="234"/>
      <c r="G451" s="234"/>
      <c r="H451" s="255"/>
      <c r="I451" s="256"/>
      <c r="J451" s="140"/>
      <c r="K451" s="234"/>
      <c r="L451" s="229" t="str">
        <f t="shared" si="18"/>
        <v/>
      </c>
      <c r="M451" s="232" t="s">
        <v>119</v>
      </c>
      <c r="N451" s="228" t="str">
        <f t="shared" si="19"/>
        <v/>
      </c>
      <c r="O451" s="228">
        <f t="shared" si="20"/>
        <v>0</v>
      </c>
    </row>
    <row r="452" spans="1:15" s="231" customFormat="1" ht="11.25">
      <c r="A452" s="166"/>
      <c r="B452" s="234"/>
      <c r="C452" s="234"/>
      <c r="D452" s="234"/>
      <c r="E452" s="234"/>
      <c r="F452" s="234"/>
      <c r="G452" s="234"/>
      <c r="H452" s="255"/>
      <c r="I452" s="256"/>
      <c r="J452" s="140"/>
      <c r="K452" s="234"/>
      <c r="L452" s="229" t="str">
        <f t="shared" si="18"/>
        <v/>
      </c>
      <c r="M452" s="232" t="s">
        <v>119</v>
      </c>
      <c r="N452" s="228" t="str">
        <f t="shared" si="19"/>
        <v/>
      </c>
      <c r="O452" s="228">
        <f t="shared" si="20"/>
        <v>0</v>
      </c>
    </row>
    <row r="453" spans="1:15" s="231" customFormat="1" ht="11.25">
      <c r="A453" s="166"/>
      <c r="B453" s="234"/>
      <c r="C453" s="234"/>
      <c r="D453" s="234"/>
      <c r="E453" s="234"/>
      <c r="F453" s="234"/>
      <c r="G453" s="234"/>
      <c r="H453" s="255"/>
      <c r="I453" s="256"/>
      <c r="J453" s="140"/>
      <c r="K453" s="234"/>
      <c r="L453" s="229" t="str">
        <f t="shared" si="18"/>
        <v/>
      </c>
      <c r="M453" s="232" t="s">
        <v>119</v>
      </c>
      <c r="N453" s="228" t="str">
        <f t="shared" si="19"/>
        <v/>
      </c>
      <c r="O453" s="228">
        <f t="shared" si="20"/>
        <v>0</v>
      </c>
    </row>
    <row r="454" spans="1:15" s="231" customFormat="1" ht="11.25">
      <c r="A454" s="166"/>
      <c r="B454" s="234"/>
      <c r="C454" s="234"/>
      <c r="D454" s="234"/>
      <c r="E454" s="234"/>
      <c r="F454" s="234"/>
      <c r="G454" s="234"/>
      <c r="H454" s="255"/>
      <c r="I454" s="256"/>
      <c r="J454" s="140"/>
      <c r="K454" s="234"/>
      <c r="L454" s="229" t="str">
        <f t="shared" si="18"/>
        <v/>
      </c>
      <c r="M454" s="232" t="s">
        <v>119</v>
      </c>
      <c r="N454" s="228" t="str">
        <f t="shared" si="19"/>
        <v/>
      </c>
      <c r="O454" s="228">
        <f t="shared" si="20"/>
        <v>0</v>
      </c>
    </row>
    <row r="455" spans="1:15" s="231" customFormat="1" ht="11.25">
      <c r="A455" s="166"/>
      <c r="B455" s="234"/>
      <c r="C455" s="234"/>
      <c r="D455" s="234"/>
      <c r="E455" s="234"/>
      <c r="F455" s="234"/>
      <c r="G455" s="234"/>
      <c r="H455" s="255"/>
      <c r="I455" s="256"/>
      <c r="J455" s="140"/>
      <c r="K455" s="234"/>
      <c r="L455" s="229" t="str">
        <f t="shared" ref="L455:L499" si="21">LEFT(B455,2)</f>
        <v/>
      </c>
      <c r="M455" s="232" t="s">
        <v>119</v>
      </c>
      <c r="N455" s="228" t="str">
        <f t="shared" ref="N455:N499" si="22">RIGHT(F455,3)</f>
        <v/>
      </c>
      <c r="O455" s="228">
        <f t="shared" si="20"/>
        <v>0</v>
      </c>
    </row>
    <row r="456" spans="1:15" s="231" customFormat="1" ht="11.25">
      <c r="A456" s="166"/>
      <c r="B456" s="234"/>
      <c r="C456" s="234"/>
      <c r="D456" s="234"/>
      <c r="E456" s="234"/>
      <c r="F456" s="234"/>
      <c r="G456" s="234"/>
      <c r="H456" s="255"/>
      <c r="I456" s="256"/>
      <c r="J456" s="140"/>
      <c r="K456" s="234"/>
      <c r="L456" s="229" t="str">
        <f t="shared" si="21"/>
        <v/>
      </c>
      <c r="M456" s="232" t="s">
        <v>119</v>
      </c>
      <c r="N456" s="228" t="str">
        <f t="shared" si="22"/>
        <v/>
      </c>
      <c r="O456" s="228">
        <f t="shared" ref="O456:O499" si="23">H456*A456</f>
        <v>0</v>
      </c>
    </row>
    <row r="457" spans="1:15" s="231" customFormat="1" ht="11.25">
      <c r="A457" s="166"/>
      <c r="B457" s="234"/>
      <c r="C457" s="234"/>
      <c r="D457" s="234"/>
      <c r="E457" s="234"/>
      <c r="F457" s="234"/>
      <c r="G457" s="234"/>
      <c r="H457" s="255"/>
      <c r="I457" s="256"/>
      <c r="J457" s="140"/>
      <c r="K457" s="234"/>
      <c r="L457" s="229" t="str">
        <f t="shared" si="21"/>
        <v/>
      </c>
      <c r="M457" s="232" t="s">
        <v>119</v>
      </c>
      <c r="N457" s="228" t="str">
        <f t="shared" si="22"/>
        <v/>
      </c>
      <c r="O457" s="228">
        <f t="shared" si="23"/>
        <v>0</v>
      </c>
    </row>
    <row r="458" spans="1:15" s="231" customFormat="1" ht="11.25">
      <c r="A458" s="166"/>
      <c r="B458" s="234"/>
      <c r="C458" s="234"/>
      <c r="D458" s="234"/>
      <c r="E458" s="234"/>
      <c r="F458" s="234"/>
      <c r="G458" s="234"/>
      <c r="H458" s="255"/>
      <c r="I458" s="256"/>
      <c r="J458" s="140"/>
      <c r="K458" s="234"/>
      <c r="L458" s="229" t="str">
        <f t="shared" si="21"/>
        <v/>
      </c>
      <c r="M458" s="232" t="s">
        <v>119</v>
      </c>
      <c r="N458" s="228" t="str">
        <f t="shared" si="22"/>
        <v/>
      </c>
      <c r="O458" s="228">
        <f t="shared" si="23"/>
        <v>0</v>
      </c>
    </row>
    <row r="459" spans="1:15" s="231" customFormat="1" ht="11.25">
      <c r="A459" s="166"/>
      <c r="B459" s="234"/>
      <c r="C459" s="234"/>
      <c r="D459" s="234"/>
      <c r="E459" s="234"/>
      <c r="F459" s="234"/>
      <c r="G459" s="234"/>
      <c r="H459" s="255"/>
      <c r="I459" s="256"/>
      <c r="J459" s="140"/>
      <c r="K459" s="234"/>
      <c r="L459" s="229" t="str">
        <f t="shared" si="21"/>
        <v/>
      </c>
      <c r="M459" s="232" t="s">
        <v>119</v>
      </c>
      <c r="N459" s="228" t="str">
        <f t="shared" si="22"/>
        <v/>
      </c>
      <c r="O459" s="228">
        <f t="shared" si="23"/>
        <v>0</v>
      </c>
    </row>
    <row r="460" spans="1:15" s="231" customFormat="1" ht="11.25">
      <c r="A460" s="166"/>
      <c r="B460" s="234"/>
      <c r="C460" s="234"/>
      <c r="D460" s="234"/>
      <c r="E460" s="234"/>
      <c r="F460" s="234"/>
      <c r="G460" s="234"/>
      <c r="H460" s="255"/>
      <c r="I460" s="256"/>
      <c r="J460" s="140"/>
      <c r="K460" s="234"/>
      <c r="L460" s="229" t="str">
        <f t="shared" si="21"/>
        <v/>
      </c>
      <c r="M460" s="232" t="s">
        <v>119</v>
      </c>
      <c r="N460" s="228" t="str">
        <f t="shared" si="22"/>
        <v/>
      </c>
      <c r="O460" s="228">
        <f t="shared" si="23"/>
        <v>0</v>
      </c>
    </row>
    <row r="461" spans="1:15" s="231" customFormat="1" ht="11.25">
      <c r="A461" s="166"/>
      <c r="B461" s="234"/>
      <c r="C461" s="234"/>
      <c r="D461" s="234"/>
      <c r="E461" s="234"/>
      <c r="F461" s="234"/>
      <c r="G461" s="234"/>
      <c r="H461" s="255"/>
      <c r="I461" s="256"/>
      <c r="J461" s="140"/>
      <c r="K461" s="234"/>
      <c r="L461" s="229" t="str">
        <f t="shared" si="21"/>
        <v/>
      </c>
      <c r="M461" s="232" t="s">
        <v>119</v>
      </c>
      <c r="N461" s="228" t="str">
        <f t="shared" si="22"/>
        <v/>
      </c>
      <c r="O461" s="228">
        <f t="shared" si="23"/>
        <v>0</v>
      </c>
    </row>
    <row r="462" spans="1:15" s="231" customFormat="1" ht="11.25">
      <c r="A462" s="166"/>
      <c r="B462" s="234"/>
      <c r="C462" s="234"/>
      <c r="D462" s="234"/>
      <c r="E462" s="234"/>
      <c r="F462" s="234"/>
      <c r="G462" s="234"/>
      <c r="H462" s="255"/>
      <c r="I462" s="256"/>
      <c r="J462" s="140"/>
      <c r="K462" s="234"/>
      <c r="L462" s="229" t="str">
        <f t="shared" si="21"/>
        <v/>
      </c>
      <c r="M462" s="232" t="s">
        <v>119</v>
      </c>
      <c r="N462" s="228" t="str">
        <f t="shared" si="22"/>
        <v/>
      </c>
      <c r="O462" s="228">
        <f t="shared" si="23"/>
        <v>0</v>
      </c>
    </row>
    <row r="463" spans="1:15" s="231" customFormat="1" ht="11.25">
      <c r="A463" s="166"/>
      <c r="B463" s="234"/>
      <c r="C463" s="234"/>
      <c r="D463" s="234"/>
      <c r="E463" s="234"/>
      <c r="F463" s="234"/>
      <c r="G463" s="234"/>
      <c r="H463" s="255"/>
      <c r="I463" s="256"/>
      <c r="J463" s="140"/>
      <c r="K463" s="234"/>
      <c r="L463" s="229" t="str">
        <f t="shared" si="21"/>
        <v/>
      </c>
      <c r="M463" s="232" t="s">
        <v>119</v>
      </c>
      <c r="N463" s="228" t="str">
        <f t="shared" si="22"/>
        <v/>
      </c>
      <c r="O463" s="228">
        <f t="shared" si="23"/>
        <v>0</v>
      </c>
    </row>
    <row r="464" spans="1:15" s="231" customFormat="1" ht="11.25">
      <c r="A464" s="166"/>
      <c r="B464" s="234"/>
      <c r="C464" s="234"/>
      <c r="D464" s="234"/>
      <c r="E464" s="234"/>
      <c r="F464" s="234"/>
      <c r="G464" s="234"/>
      <c r="H464" s="255"/>
      <c r="I464" s="256"/>
      <c r="J464" s="140"/>
      <c r="K464" s="234"/>
      <c r="L464" s="229" t="str">
        <f t="shared" si="21"/>
        <v/>
      </c>
      <c r="M464" s="232" t="s">
        <v>119</v>
      </c>
      <c r="N464" s="228" t="str">
        <f t="shared" si="22"/>
        <v/>
      </c>
      <c r="O464" s="228">
        <f t="shared" si="23"/>
        <v>0</v>
      </c>
    </row>
    <row r="465" spans="1:15" s="231" customFormat="1" ht="11.25">
      <c r="A465" s="166"/>
      <c r="B465" s="234"/>
      <c r="C465" s="234"/>
      <c r="D465" s="234"/>
      <c r="E465" s="234"/>
      <c r="F465" s="234"/>
      <c r="G465" s="234"/>
      <c r="H465" s="255"/>
      <c r="I465" s="256"/>
      <c r="J465" s="140"/>
      <c r="K465" s="234"/>
      <c r="L465" s="229" t="str">
        <f t="shared" si="21"/>
        <v/>
      </c>
      <c r="M465" s="232" t="s">
        <v>119</v>
      </c>
      <c r="N465" s="228" t="str">
        <f t="shared" si="22"/>
        <v/>
      </c>
      <c r="O465" s="228">
        <f t="shared" si="23"/>
        <v>0</v>
      </c>
    </row>
    <row r="466" spans="1:15" s="231" customFormat="1" ht="11.25">
      <c r="A466" s="166"/>
      <c r="B466" s="234"/>
      <c r="C466" s="234"/>
      <c r="D466" s="234"/>
      <c r="E466" s="234"/>
      <c r="F466" s="234"/>
      <c r="G466" s="234"/>
      <c r="H466" s="255"/>
      <c r="I466" s="256"/>
      <c r="J466" s="140"/>
      <c r="K466" s="234"/>
      <c r="L466" s="229" t="str">
        <f t="shared" si="21"/>
        <v/>
      </c>
      <c r="M466" s="232" t="s">
        <v>119</v>
      </c>
      <c r="N466" s="228" t="str">
        <f t="shared" si="22"/>
        <v/>
      </c>
      <c r="O466" s="228">
        <f t="shared" si="23"/>
        <v>0</v>
      </c>
    </row>
    <row r="467" spans="1:15" s="231" customFormat="1" ht="11.25">
      <c r="A467" s="166"/>
      <c r="B467" s="234"/>
      <c r="C467" s="234"/>
      <c r="D467" s="234"/>
      <c r="E467" s="234"/>
      <c r="F467" s="234"/>
      <c r="G467" s="234"/>
      <c r="H467" s="255"/>
      <c r="I467" s="256"/>
      <c r="J467" s="140"/>
      <c r="K467" s="234"/>
      <c r="L467" s="229" t="str">
        <f t="shared" si="21"/>
        <v/>
      </c>
      <c r="M467" s="232" t="s">
        <v>119</v>
      </c>
      <c r="N467" s="228" t="str">
        <f t="shared" si="22"/>
        <v/>
      </c>
      <c r="O467" s="228">
        <f t="shared" si="23"/>
        <v>0</v>
      </c>
    </row>
    <row r="468" spans="1:15" s="231" customFormat="1" ht="11.25">
      <c r="A468" s="166"/>
      <c r="B468" s="234"/>
      <c r="C468" s="234"/>
      <c r="D468" s="234"/>
      <c r="E468" s="234"/>
      <c r="F468" s="234"/>
      <c r="G468" s="234"/>
      <c r="H468" s="255"/>
      <c r="I468" s="256"/>
      <c r="J468" s="140"/>
      <c r="K468" s="234"/>
      <c r="L468" s="229" t="str">
        <f t="shared" si="21"/>
        <v/>
      </c>
      <c r="M468" s="232" t="s">
        <v>119</v>
      </c>
      <c r="N468" s="228" t="str">
        <f t="shared" si="22"/>
        <v/>
      </c>
      <c r="O468" s="228">
        <f t="shared" si="23"/>
        <v>0</v>
      </c>
    </row>
    <row r="469" spans="1:15" s="231" customFormat="1" ht="11.25">
      <c r="A469" s="166"/>
      <c r="B469" s="234"/>
      <c r="C469" s="234"/>
      <c r="D469" s="234"/>
      <c r="E469" s="234"/>
      <c r="F469" s="234"/>
      <c r="G469" s="234"/>
      <c r="H469" s="255"/>
      <c r="I469" s="256"/>
      <c r="J469" s="140"/>
      <c r="K469" s="234"/>
      <c r="L469" s="229" t="str">
        <f t="shared" si="21"/>
        <v/>
      </c>
      <c r="M469" s="232" t="s">
        <v>119</v>
      </c>
      <c r="N469" s="228" t="str">
        <f t="shared" si="22"/>
        <v/>
      </c>
      <c r="O469" s="228">
        <f t="shared" si="23"/>
        <v>0</v>
      </c>
    </row>
    <row r="470" spans="1:15" s="231" customFormat="1" ht="11.25">
      <c r="A470" s="166"/>
      <c r="B470" s="234"/>
      <c r="C470" s="234"/>
      <c r="D470" s="234"/>
      <c r="E470" s="234"/>
      <c r="F470" s="234"/>
      <c r="G470" s="234"/>
      <c r="H470" s="255"/>
      <c r="I470" s="256"/>
      <c r="J470" s="140"/>
      <c r="K470" s="234"/>
      <c r="L470" s="229" t="str">
        <f t="shared" si="21"/>
        <v/>
      </c>
      <c r="M470" s="232" t="s">
        <v>119</v>
      </c>
      <c r="N470" s="228" t="str">
        <f t="shared" si="22"/>
        <v/>
      </c>
      <c r="O470" s="228">
        <f t="shared" si="23"/>
        <v>0</v>
      </c>
    </row>
    <row r="471" spans="1:15" s="231" customFormat="1" ht="11.25">
      <c r="A471" s="166"/>
      <c r="B471" s="234"/>
      <c r="C471" s="234"/>
      <c r="D471" s="234"/>
      <c r="E471" s="234"/>
      <c r="F471" s="234"/>
      <c r="G471" s="234"/>
      <c r="H471" s="255"/>
      <c r="I471" s="256"/>
      <c r="J471" s="140"/>
      <c r="K471" s="234"/>
      <c r="L471" s="229" t="str">
        <f t="shared" si="21"/>
        <v/>
      </c>
      <c r="M471" s="232" t="s">
        <v>119</v>
      </c>
      <c r="N471" s="228" t="str">
        <f t="shared" si="22"/>
        <v/>
      </c>
      <c r="O471" s="228">
        <f t="shared" si="23"/>
        <v>0</v>
      </c>
    </row>
    <row r="472" spans="1:15" s="231" customFormat="1" ht="11.25">
      <c r="A472" s="166"/>
      <c r="B472" s="234"/>
      <c r="C472" s="234"/>
      <c r="D472" s="234"/>
      <c r="E472" s="234"/>
      <c r="F472" s="234"/>
      <c r="G472" s="234"/>
      <c r="H472" s="255"/>
      <c r="I472" s="256"/>
      <c r="J472" s="140"/>
      <c r="K472" s="234"/>
      <c r="L472" s="229" t="str">
        <f t="shared" si="21"/>
        <v/>
      </c>
      <c r="M472" s="232" t="s">
        <v>119</v>
      </c>
      <c r="N472" s="228" t="str">
        <f t="shared" si="22"/>
        <v/>
      </c>
      <c r="O472" s="228">
        <f t="shared" si="23"/>
        <v>0</v>
      </c>
    </row>
    <row r="473" spans="1:15" s="231" customFormat="1" ht="11.25">
      <c r="A473" s="166"/>
      <c r="B473" s="234"/>
      <c r="C473" s="234"/>
      <c r="D473" s="234"/>
      <c r="E473" s="234"/>
      <c r="F473" s="234"/>
      <c r="G473" s="234"/>
      <c r="H473" s="255"/>
      <c r="I473" s="256"/>
      <c r="J473" s="140"/>
      <c r="K473" s="234"/>
      <c r="L473" s="229" t="str">
        <f t="shared" si="21"/>
        <v/>
      </c>
      <c r="M473" s="232" t="s">
        <v>119</v>
      </c>
      <c r="N473" s="228" t="str">
        <f t="shared" si="22"/>
        <v/>
      </c>
      <c r="O473" s="228">
        <f t="shared" si="23"/>
        <v>0</v>
      </c>
    </row>
    <row r="474" spans="1:15" s="231" customFormat="1" ht="11.25">
      <c r="A474" s="166"/>
      <c r="B474" s="234"/>
      <c r="C474" s="234"/>
      <c r="D474" s="234"/>
      <c r="E474" s="234"/>
      <c r="F474" s="234"/>
      <c r="G474" s="234"/>
      <c r="H474" s="255"/>
      <c r="I474" s="256"/>
      <c r="J474" s="140"/>
      <c r="K474" s="234"/>
      <c r="L474" s="229" t="str">
        <f t="shared" si="21"/>
        <v/>
      </c>
      <c r="M474" s="232" t="s">
        <v>119</v>
      </c>
      <c r="N474" s="228" t="str">
        <f t="shared" si="22"/>
        <v/>
      </c>
      <c r="O474" s="228">
        <f t="shared" si="23"/>
        <v>0</v>
      </c>
    </row>
    <row r="475" spans="1:15" s="231" customFormat="1" ht="11.25">
      <c r="A475" s="166"/>
      <c r="B475" s="234"/>
      <c r="C475" s="234"/>
      <c r="D475" s="234"/>
      <c r="E475" s="234"/>
      <c r="F475" s="234"/>
      <c r="G475" s="234"/>
      <c r="H475" s="255"/>
      <c r="I475" s="256"/>
      <c r="J475" s="140"/>
      <c r="K475" s="234"/>
      <c r="L475" s="229" t="str">
        <f t="shared" si="21"/>
        <v/>
      </c>
      <c r="M475" s="232" t="s">
        <v>119</v>
      </c>
      <c r="N475" s="228" t="str">
        <f t="shared" si="22"/>
        <v/>
      </c>
      <c r="O475" s="228">
        <f t="shared" si="23"/>
        <v>0</v>
      </c>
    </row>
    <row r="476" spans="1:15" s="231" customFormat="1" ht="11.25">
      <c r="A476" s="166"/>
      <c r="B476" s="234"/>
      <c r="C476" s="234"/>
      <c r="D476" s="234"/>
      <c r="E476" s="234"/>
      <c r="F476" s="234"/>
      <c r="G476" s="234"/>
      <c r="H476" s="255"/>
      <c r="I476" s="256"/>
      <c r="J476" s="140"/>
      <c r="K476" s="234"/>
      <c r="L476" s="229" t="str">
        <f t="shared" si="21"/>
        <v/>
      </c>
      <c r="M476" s="232" t="s">
        <v>119</v>
      </c>
      <c r="N476" s="228" t="str">
        <f t="shared" si="22"/>
        <v/>
      </c>
      <c r="O476" s="228">
        <f t="shared" si="23"/>
        <v>0</v>
      </c>
    </row>
    <row r="477" spans="1:15" s="231" customFormat="1" ht="11.25">
      <c r="A477" s="166"/>
      <c r="B477" s="234"/>
      <c r="C477" s="234"/>
      <c r="D477" s="234"/>
      <c r="E477" s="234"/>
      <c r="F477" s="234"/>
      <c r="G477" s="234"/>
      <c r="H477" s="255"/>
      <c r="I477" s="256"/>
      <c r="J477" s="140"/>
      <c r="K477" s="234"/>
      <c r="L477" s="229" t="str">
        <f t="shared" si="21"/>
        <v/>
      </c>
      <c r="M477" s="232" t="s">
        <v>119</v>
      </c>
      <c r="N477" s="228" t="str">
        <f t="shared" si="22"/>
        <v/>
      </c>
      <c r="O477" s="228">
        <f t="shared" si="23"/>
        <v>0</v>
      </c>
    </row>
    <row r="478" spans="1:15" s="231" customFormat="1" ht="11.25">
      <c r="A478" s="166"/>
      <c r="B478" s="234"/>
      <c r="C478" s="234"/>
      <c r="D478" s="234"/>
      <c r="E478" s="234"/>
      <c r="F478" s="234"/>
      <c r="G478" s="234"/>
      <c r="H478" s="255"/>
      <c r="I478" s="256"/>
      <c r="J478" s="140"/>
      <c r="K478" s="234"/>
      <c r="L478" s="229" t="str">
        <f t="shared" si="21"/>
        <v/>
      </c>
      <c r="M478" s="232" t="s">
        <v>119</v>
      </c>
      <c r="N478" s="228" t="str">
        <f t="shared" si="22"/>
        <v/>
      </c>
      <c r="O478" s="228">
        <f t="shared" si="23"/>
        <v>0</v>
      </c>
    </row>
    <row r="479" spans="1:15" s="231" customFormat="1" ht="11.25">
      <c r="A479" s="166"/>
      <c r="B479" s="234"/>
      <c r="C479" s="234"/>
      <c r="D479" s="234"/>
      <c r="E479" s="234"/>
      <c r="F479" s="234"/>
      <c r="G479" s="234"/>
      <c r="H479" s="255"/>
      <c r="I479" s="256"/>
      <c r="J479" s="140"/>
      <c r="K479" s="234"/>
      <c r="L479" s="229" t="str">
        <f t="shared" si="21"/>
        <v/>
      </c>
      <c r="M479" s="232" t="s">
        <v>119</v>
      </c>
      <c r="N479" s="228" t="str">
        <f t="shared" si="22"/>
        <v/>
      </c>
      <c r="O479" s="228">
        <f t="shared" si="23"/>
        <v>0</v>
      </c>
    </row>
    <row r="480" spans="1:15" s="231" customFormat="1" ht="11.25">
      <c r="A480" s="166"/>
      <c r="B480" s="234"/>
      <c r="C480" s="234"/>
      <c r="D480" s="234"/>
      <c r="E480" s="234"/>
      <c r="F480" s="234"/>
      <c r="G480" s="234"/>
      <c r="H480" s="255"/>
      <c r="I480" s="256"/>
      <c r="J480" s="140"/>
      <c r="K480" s="234"/>
      <c r="L480" s="229" t="str">
        <f t="shared" si="21"/>
        <v/>
      </c>
      <c r="M480" s="232" t="s">
        <v>119</v>
      </c>
      <c r="N480" s="228" t="str">
        <f t="shared" si="22"/>
        <v/>
      </c>
      <c r="O480" s="228">
        <f t="shared" si="23"/>
        <v>0</v>
      </c>
    </row>
    <row r="481" spans="1:15" s="231" customFormat="1" ht="11.25">
      <c r="A481" s="166"/>
      <c r="B481" s="234"/>
      <c r="C481" s="234"/>
      <c r="D481" s="234"/>
      <c r="E481" s="234"/>
      <c r="F481" s="234"/>
      <c r="G481" s="234"/>
      <c r="H481" s="255"/>
      <c r="I481" s="256"/>
      <c r="J481" s="140"/>
      <c r="K481" s="234"/>
      <c r="L481" s="229" t="str">
        <f t="shared" si="21"/>
        <v/>
      </c>
      <c r="M481" s="232" t="s">
        <v>119</v>
      </c>
      <c r="N481" s="228" t="str">
        <f t="shared" si="22"/>
        <v/>
      </c>
      <c r="O481" s="228">
        <f t="shared" si="23"/>
        <v>0</v>
      </c>
    </row>
    <row r="482" spans="1:15" s="231" customFormat="1" ht="11.25">
      <c r="A482" s="166"/>
      <c r="B482" s="234"/>
      <c r="C482" s="234"/>
      <c r="D482" s="234"/>
      <c r="E482" s="234"/>
      <c r="F482" s="234"/>
      <c r="G482" s="234"/>
      <c r="H482" s="255"/>
      <c r="I482" s="256"/>
      <c r="J482" s="140"/>
      <c r="K482" s="234"/>
      <c r="L482" s="229" t="str">
        <f t="shared" si="21"/>
        <v/>
      </c>
      <c r="M482" s="232" t="s">
        <v>119</v>
      </c>
      <c r="N482" s="228" t="str">
        <f t="shared" si="22"/>
        <v/>
      </c>
      <c r="O482" s="228">
        <f t="shared" si="23"/>
        <v>0</v>
      </c>
    </row>
    <row r="483" spans="1:15" s="231" customFormat="1" ht="11.25">
      <c r="A483" s="166"/>
      <c r="B483" s="234"/>
      <c r="C483" s="234"/>
      <c r="D483" s="234"/>
      <c r="E483" s="234"/>
      <c r="F483" s="234"/>
      <c r="G483" s="234"/>
      <c r="H483" s="255"/>
      <c r="I483" s="256"/>
      <c r="J483" s="140"/>
      <c r="K483" s="234"/>
      <c r="L483" s="229" t="str">
        <f t="shared" si="21"/>
        <v/>
      </c>
      <c r="M483" s="232" t="s">
        <v>119</v>
      </c>
      <c r="N483" s="228" t="str">
        <f t="shared" si="22"/>
        <v/>
      </c>
      <c r="O483" s="228">
        <f t="shared" si="23"/>
        <v>0</v>
      </c>
    </row>
    <row r="484" spans="1:15" s="231" customFormat="1" ht="11.25">
      <c r="A484" s="166"/>
      <c r="B484" s="234"/>
      <c r="C484" s="234"/>
      <c r="D484" s="234"/>
      <c r="E484" s="234"/>
      <c r="F484" s="234"/>
      <c r="G484" s="234"/>
      <c r="H484" s="255"/>
      <c r="I484" s="256"/>
      <c r="J484" s="140"/>
      <c r="K484" s="234"/>
      <c r="L484" s="229" t="str">
        <f t="shared" si="21"/>
        <v/>
      </c>
      <c r="M484" s="232" t="s">
        <v>119</v>
      </c>
      <c r="N484" s="228" t="str">
        <f t="shared" si="22"/>
        <v/>
      </c>
      <c r="O484" s="228">
        <f t="shared" si="23"/>
        <v>0</v>
      </c>
    </row>
    <row r="485" spans="1:15" s="231" customFormat="1" ht="11.25">
      <c r="A485" s="166"/>
      <c r="B485" s="234"/>
      <c r="C485" s="234"/>
      <c r="D485" s="234"/>
      <c r="E485" s="234"/>
      <c r="F485" s="234"/>
      <c r="G485" s="234"/>
      <c r="H485" s="255"/>
      <c r="I485" s="256"/>
      <c r="J485" s="140"/>
      <c r="K485" s="234"/>
      <c r="L485" s="229" t="str">
        <f t="shared" si="21"/>
        <v/>
      </c>
      <c r="M485" s="232" t="s">
        <v>119</v>
      </c>
      <c r="N485" s="228" t="str">
        <f t="shared" si="22"/>
        <v/>
      </c>
      <c r="O485" s="228">
        <f t="shared" si="23"/>
        <v>0</v>
      </c>
    </row>
    <row r="486" spans="1:15" s="231" customFormat="1" ht="11.25">
      <c r="A486" s="166"/>
      <c r="B486" s="234"/>
      <c r="C486" s="234"/>
      <c r="D486" s="234"/>
      <c r="E486" s="234"/>
      <c r="F486" s="234"/>
      <c r="G486" s="234"/>
      <c r="H486" s="255"/>
      <c r="I486" s="256"/>
      <c r="J486" s="140"/>
      <c r="K486" s="234"/>
      <c r="L486" s="229" t="str">
        <f t="shared" si="21"/>
        <v/>
      </c>
      <c r="M486" s="232" t="s">
        <v>119</v>
      </c>
      <c r="N486" s="228" t="str">
        <f t="shared" si="22"/>
        <v/>
      </c>
      <c r="O486" s="228">
        <f t="shared" si="23"/>
        <v>0</v>
      </c>
    </row>
    <row r="487" spans="1:15" s="231" customFormat="1" ht="11.25">
      <c r="A487" s="166"/>
      <c r="B487" s="234"/>
      <c r="C487" s="234"/>
      <c r="D487" s="234"/>
      <c r="E487" s="234"/>
      <c r="F487" s="234"/>
      <c r="G487" s="234"/>
      <c r="H487" s="255"/>
      <c r="I487" s="256"/>
      <c r="J487" s="140"/>
      <c r="K487" s="234"/>
      <c r="L487" s="229" t="str">
        <f t="shared" si="21"/>
        <v/>
      </c>
      <c r="M487" s="232" t="s">
        <v>119</v>
      </c>
      <c r="N487" s="228" t="str">
        <f t="shared" si="22"/>
        <v/>
      </c>
      <c r="O487" s="228">
        <f t="shared" si="23"/>
        <v>0</v>
      </c>
    </row>
    <row r="488" spans="1:15" s="231" customFormat="1" ht="11.25">
      <c r="A488" s="166"/>
      <c r="B488" s="234"/>
      <c r="C488" s="234"/>
      <c r="D488" s="234"/>
      <c r="E488" s="234"/>
      <c r="F488" s="234"/>
      <c r="G488" s="234"/>
      <c r="H488" s="255"/>
      <c r="I488" s="256"/>
      <c r="J488" s="140"/>
      <c r="K488" s="234"/>
      <c r="L488" s="229" t="str">
        <f t="shared" si="21"/>
        <v/>
      </c>
      <c r="M488" s="232" t="s">
        <v>119</v>
      </c>
      <c r="N488" s="228" t="str">
        <f t="shared" si="22"/>
        <v/>
      </c>
      <c r="O488" s="228">
        <f t="shared" si="23"/>
        <v>0</v>
      </c>
    </row>
    <row r="489" spans="1:15" s="231" customFormat="1" ht="11.25">
      <c r="A489" s="166"/>
      <c r="B489" s="234"/>
      <c r="C489" s="234"/>
      <c r="D489" s="234"/>
      <c r="E489" s="234"/>
      <c r="F489" s="234"/>
      <c r="G489" s="234"/>
      <c r="H489" s="255"/>
      <c r="I489" s="256"/>
      <c r="J489" s="140"/>
      <c r="K489" s="234"/>
      <c r="L489" s="229" t="str">
        <f t="shared" si="21"/>
        <v/>
      </c>
      <c r="M489" s="232" t="s">
        <v>119</v>
      </c>
      <c r="N489" s="228" t="str">
        <f t="shared" si="22"/>
        <v/>
      </c>
      <c r="O489" s="228">
        <f t="shared" si="23"/>
        <v>0</v>
      </c>
    </row>
    <row r="490" spans="1:15" s="231" customFormat="1" ht="11.25">
      <c r="A490" s="166"/>
      <c r="B490" s="234"/>
      <c r="C490" s="234"/>
      <c r="D490" s="234"/>
      <c r="E490" s="234"/>
      <c r="F490" s="234"/>
      <c r="G490" s="234"/>
      <c r="H490" s="255"/>
      <c r="I490" s="256"/>
      <c r="J490" s="140"/>
      <c r="K490" s="234"/>
      <c r="L490" s="229" t="str">
        <f t="shared" si="21"/>
        <v/>
      </c>
      <c r="M490" s="232" t="s">
        <v>119</v>
      </c>
      <c r="N490" s="228" t="str">
        <f t="shared" si="22"/>
        <v/>
      </c>
      <c r="O490" s="228">
        <f t="shared" si="23"/>
        <v>0</v>
      </c>
    </row>
    <row r="491" spans="1:15" s="231" customFormat="1" ht="11.25">
      <c r="A491" s="166"/>
      <c r="B491" s="234"/>
      <c r="C491" s="234"/>
      <c r="D491" s="234"/>
      <c r="E491" s="234"/>
      <c r="F491" s="234"/>
      <c r="G491" s="234"/>
      <c r="H491" s="255"/>
      <c r="I491" s="256"/>
      <c r="J491" s="140"/>
      <c r="K491" s="234"/>
      <c r="L491" s="229" t="str">
        <f t="shared" si="21"/>
        <v/>
      </c>
      <c r="M491" s="232" t="s">
        <v>119</v>
      </c>
      <c r="N491" s="228" t="str">
        <f t="shared" si="22"/>
        <v/>
      </c>
      <c r="O491" s="228">
        <f t="shared" si="23"/>
        <v>0</v>
      </c>
    </row>
    <row r="492" spans="1:15" s="231" customFormat="1" ht="11.25">
      <c r="A492" s="166"/>
      <c r="B492" s="234"/>
      <c r="C492" s="234"/>
      <c r="D492" s="234"/>
      <c r="E492" s="234"/>
      <c r="F492" s="234"/>
      <c r="G492" s="234"/>
      <c r="H492" s="255"/>
      <c r="I492" s="256"/>
      <c r="J492" s="140"/>
      <c r="K492" s="234"/>
      <c r="L492" s="229" t="str">
        <f t="shared" si="21"/>
        <v/>
      </c>
      <c r="M492" s="232" t="s">
        <v>119</v>
      </c>
      <c r="N492" s="228" t="str">
        <f t="shared" si="22"/>
        <v/>
      </c>
      <c r="O492" s="228">
        <f t="shared" si="23"/>
        <v>0</v>
      </c>
    </row>
    <row r="493" spans="1:15" s="231" customFormat="1" ht="11.25">
      <c r="A493" s="166"/>
      <c r="B493" s="234"/>
      <c r="C493" s="234"/>
      <c r="D493" s="234"/>
      <c r="E493" s="234"/>
      <c r="F493" s="234"/>
      <c r="G493" s="234"/>
      <c r="H493" s="255"/>
      <c r="I493" s="256"/>
      <c r="J493" s="140"/>
      <c r="K493" s="234"/>
      <c r="L493" s="229" t="str">
        <f t="shared" si="21"/>
        <v/>
      </c>
      <c r="M493" s="232" t="s">
        <v>119</v>
      </c>
      <c r="N493" s="228" t="str">
        <f t="shared" si="22"/>
        <v/>
      </c>
      <c r="O493" s="228">
        <f t="shared" si="23"/>
        <v>0</v>
      </c>
    </row>
    <row r="494" spans="1:15" s="231" customFormat="1" ht="11.25">
      <c r="A494" s="166"/>
      <c r="B494" s="234"/>
      <c r="C494" s="234"/>
      <c r="D494" s="234"/>
      <c r="E494" s="234"/>
      <c r="F494" s="234"/>
      <c r="G494" s="234"/>
      <c r="H494" s="255"/>
      <c r="I494" s="256"/>
      <c r="J494" s="140"/>
      <c r="K494" s="234"/>
      <c r="L494" s="229" t="str">
        <f t="shared" si="21"/>
        <v/>
      </c>
      <c r="M494" s="232" t="s">
        <v>119</v>
      </c>
      <c r="N494" s="228" t="str">
        <f t="shared" si="22"/>
        <v/>
      </c>
      <c r="O494" s="228">
        <f t="shared" si="23"/>
        <v>0</v>
      </c>
    </row>
    <row r="495" spans="1:15" s="231" customFormat="1" ht="11.25">
      <c r="A495" s="166"/>
      <c r="B495" s="234"/>
      <c r="C495" s="234"/>
      <c r="D495" s="234"/>
      <c r="E495" s="234"/>
      <c r="F495" s="234"/>
      <c r="G495" s="234"/>
      <c r="H495" s="255"/>
      <c r="I495" s="256"/>
      <c r="J495" s="140"/>
      <c r="K495" s="234"/>
      <c r="L495" s="229" t="str">
        <f t="shared" si="21"/>
        <v/>
      </c>
      <c r="M495" s="232" t="s">
        <v>119</v>
      </c>
      <c r="N495" s="228" t="str">
        <f t="shared" si="22"/>
        <v/>
      </c>
      <c r="O495" s="228">
        <f t="shared" si="23"/>
        <v>0</v>
      </c>
    </row>
    <row r="496" spans="1:15" s="231" customFormat="1" ht="11.25">
      <c r="A496" s="166"/>
      <c r="B496" s="234"/>
      <c r="C496" s="234"/>
      <c r="D496" s="234"/>
      <c r="E496" s="234"/>
      <c r="F496" s="234"/>
      <c r="G496" s="234"/>
      <c r="H496" s="255"/>
      <c r="I496" s="256"/>
      <c r="J496" s="140"/>
      <c r="K496" s="234"/>
      <c r="L496" s="229" t="str">
        <f t="shared" si="21"/>
        <v/>
      </c>
      <c r="M496" s="232" t="s">
        <v>119</v>
      </c>
      <c r="N496" s="228" t="str">
        <f t="shared" si="22"/>
        <v/>
      </c>
      <c r="O496" s="228">
        <f t="shared" si="23"/>
        <v>0</v>
      </c>
    </row>
    <row r="497" spans="1:15" s="231" customFormat="1" ht="11.25">
      <c r="A497" s="166"/>
      <c r="B497" s="234"/>
      <c r="C497" s="234"/>
      <c r="D497" s="234"/>
      <c r="E497" s="234"/>
      <c r="F497" s="234"/>
      <c r="G497" s="234"/>
      <c r="H497" s="255"/>
      <c r="I497" s="256"/>
      <c r="J497" s="140"/>
      <c r="K497" s="234"/>
      <c r="L497" s="229" t="str">
        <f t="shared" si="21"/>
        <v/>
      </c>
      <c r="M497" s="232" t="s">
        <v>119</v>
      </c>
      <c r="N497" s="228" t="str">
        <f t="shared" si="22"/>
        <v/>
      </c>
      <c r="O497" s="228">
        <f t="shared" si="23"/>
        <v>0</v>
      </c>
    </row>
    <row r="498" spans="1:15" s="231" customFormat="1" ht="11.25">
      <c r="A498" s="166"/>
      <c r="B498" s="234"/>
      <c r="C498" s="234"/>
      <c r="D498" s="234"/>
      <c r="E498" s="234"/>
      <c r="F498" s="234"/>
      <c r="G498" s="234"/>
      <c r="H498" s="255"/>
      <c r="I498" s="256"/>
      <c r="J498" s="140"/>
      <c r="K498" s="234"/>
      <c r="L498" s="229" t="str">
        <f t="shared" si="21"/>
        <v/>
      </c>
      <c r="M498" s="232" t="s">
        <v>119</v>
      </c>
      <c r="N498" s="228" t="str">
        <f t="shared" si="22"/>
        <v/>
      </c>
      <c r="O498" s="228">
        <f t="shared" si="23"/>
        <v>0</v>
      </c>
    </row>
    <row r="499" spans="1:15" s="231" customFormat="1" ht="11.25">
      <c r="A499" s="166"/>
      <c r="B499" s="234"/>
      <c r="C499" s="234"/>
      <c r="D499" s="234"/>
      <c r="E499" s="234"/>
      <c r="F499" s="234"/>
      <c r="G499" s="234"/>
      <c r="H499" s="255"/>
      <c r="I499" s="256"/>
      <c r="J499" s="140"/>
      <c r="K499" s="234"/>
      <c r="L499" s="229" t="str">
        <f t="shared" si="21"/>
        <v/>
      </c>
      <c r="M499" s="232" t="s">
        <v>119</v>
      </c>
      <c r="N499" s="228" t="str">
        <f t="shared" si="22"/>
        <v/>
      </c>
      <c r="O499" s="228">
        <f t="shared" si="23"/>
        <v>0</v>
      </c>
    </row>
    <row r="500" spans="1:15" s="231" customFormat="1" ht="11.25">
      <c r="A500" s="166"/>
      <c r="B500" s="234"/>
      <c r="C500" s="234"/>
      <c r="D500" s="234"/>
      <c r="E500" s="234"/>
      <c r="F500" s="234"/>
      <c r="G500" s="234"/>
      <c r="H500" s="255"/>
      <c r="I500" s="256"/>
      <c r="J500" s="140"/>
      <c r="K500" s="234"/>
      <c r="L500" s="229" t="str">
        <f t="shared" ref="L500" si="24">LEFT(B500,2)</f>
        <v/>
      </c>
      <c r="M500" s="232" t="s">
        <v>119</v>
      </c>
      <c r="N500" s="228" t="str">
        <f t="shared" ref="N500" si="25">RIGHT(F500,3)</f>
        <v/>
      </c>
      <c r="O500" s="228">
        <f t="shared" ref="O500" si="26">H500*A500</f>
        <v>0</v>
      </c>
    </row>
    <row r="501" spans="1:15" hidden="1">
      <c r="O501" s="228">
        <f>SUM(O7:O500)</f>
        <v>0</v>
      </c>
    </row>
  </sheetData>
  <sheetProtection password="EF32" sheet="1" objects="1" scenarios="1"/>
  <phoneticPr fontId="0" type="noConversion"/>
  <conditionalFormatting sqref="G7:G100">
    <cfRule type="expression" dxfId="21" priority="10" stopIfTrue="1">
      <formula>AND(H7&gt;0,ISBLANK(G7)=TRUE)</formula>
    </cfRule>
  </conditionalFormatting>
  <conditionalFormatting sqref="C1 C3">
    <cfRule type="expression" dxfId="20" priority="135" stopIfTrue="1">
      <formula>$F$6="BOCES"</formula>
    </cfRule>
  </conditionalFormatting>
  <conditionalFormatting sqref="F7:F100">
    <cfRule type="expression" dxfId="19" priority="136" stopIfTrue="1">
      <formula>AND(H7&gt;0,ISBLANK(F7)=TRUE)</formula>
    </cfRule>
  </conditionalFormatting>
  <conditionalFormatting sqref="B7:B500">
    <cfRule type="containsText" dxfId="18" priority="5" operator="containsText" text="&quot;Federal&quot;">
      <formula>NOT(ISERROR(SEARCH("""Federal""",B7)))</formula>
    </cfRule>
    <cfRule type="containsText" dxfId="17" priority="6" operator="containsText" text="&quot;Program Income&quot;">
      <formula>NOT(ISERROR(SEARCH("""Program Income""",B7)))</formula>
    </cfRule>
  </conditionalFormatting>
  <conditionalFormatting sqref="J7:J500">
    <cfRule type="expression" dxfId="16" priority="3">
      <formula>B7="Federal"</formula>
    </cfRule>
    <cfRule type="expression" dxfId="15" priority="4">
      <formula>B7="Program Income"</formula>
    </cfRule>
  </conditionalFormatting>
  <conditionalFormatting sqref="B8">
    <cfRule type="expression" dxfId="14" priority="2">
      <formula>IF(B7="Federal","","")</formula>
    </cfRule>
  </conditionalFormatting>
  <dataValidations count="4">
    <dataValidation type="custom" allowBlank="1" showInputMessage="1" showErrorMessage="1" error="Values must be :_x000a__x000a_        s             _x000a_       st            _x000a_ .001 - 1.0_x000a_" sqref="G7:G100">
      <formula1>OR(G7="s",G7="st",AND(G7&gt;=0.001,G7&lt;=1))</formula1>
    </dataValidation>
    <dataValidation type="list" allowBlank="1" showInputMessage="1" showErrorMessage="1" error="The value you entered is not valid._x000a__x000a_Please enter an I, S, P, or A._x000a__x000a_" sqref="F7:F500">
      <formula1>program</formula1>
    </dataValidation>
    <dataValidation type="list" allowBlank="1" showInputMessage="1" showErrorMessage="1" sqref="B7:B500">
      <formula1>Federal_Match_ProgramIncome</formula1>
    </dataValidation>
    <dataValidation type="list" allowBlank="1" showInputMessage="1" showErrorMessage="1" sqref="K7:K500">
      <formula1>Yes_No</formula1>
    </dataValidation>
  </dataValidations>
  <printOptions horizontalCentered="1"/>
  <pageMargins left="0.1" right="0.1" top="0.1" bottom="0.1" header="0.25" footer="0.28000000000000003"/>
  <pageSetup scale="66" fitToHeight="0" orientation="landscape" r:id="rId1"/>
  <headerFooter alignWithMargins="0">
    <oddFooter>&amp;L&amp;8Page &amp;P of &amp;N&amp;C&amp;8&amp;D &amp;T&amp;R&amp;8&amp;A sheet</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6" tint="0.39997558519241921"/>
    <pageSetUpPr fitToPage="1"/>
  </sheetPr>
  <dimension ref="A1:IQ87"/>
  <sheetViews>
    <sheetView zoomScaleNormal="100" workbookViewId="0">
      <pane ySplit="5" topLeftCell="A6" activePane="bottomLeft" state="frozen"/>
      <selection activeCell="D21" sqref="C20:D21"/>
      <selection pane="bottomLeft" activeCell="A3" sqref="A3"/>
    </sheetView>
  </sheetViews>
  <sheetFormatPr defaultColWidth="0" defaultRowHeight="0" customHeight="1" zeroHeight="1"/>
  <cols>
    <col min="1" max="1" width="6.140625" style="35" customWidth="1"/>
    <col min="2" max="2" width="67.28515625" style="35" customWidth="1"/>
    <col min="3" max="3" width="9.140625" style="35" hidden="1" customWidth="1"/>
    <col min="4" max="5" width="16" style="35" customWidth="1"/>
    <col min="6" max="6" width="19.42578125" style="35" customWidth="1"/>
    <col min="7" max="251" width="0" style="14" hidden="1" customWidth="1"/>
    <col min="252" max="16384" width="0.140625" style="14" hidden="1"/>
  </cols>
  <sheetData>
    <row r="1" spans="1:12" ht="14.25" customHeight="1">
      <c r="A1" s="64" t="str">
        <f>'1-Cover Page'!$C$24</f>
        <v>14-15v9</v>
      </c>
      <c r="B1" s="83" t="s">
        <v>136</v>
      </c>
      <c r="C1" s="83"/>
      <c r="G1" s="15"/>
      <c r="H1" s="11"/>
      <c r="I1" s="11"/>
      <c r="J1" s="11"/>
      <c r="K1" s="11"/>
      <c r="L1" s="16"/>
    </row>
    <row r="2" spans="1:12" ht="12.75">
      <c r="B2" s="66" t="str">
        <f>'1-Cover Page'!C5</f>
        <v>Adult Education and Literacy Budget Form</v>
      </c>
      <c r="C2" s="66"/>
      <c r="D2" s="67"/>
      <c r="E2" s="67"/>
      <c r="F2" s="67"/>
      <c r="G2" s="12"/>
      <c r="H2" s="15"/>
      <c r="I2" s="15"/>
      <c r="J2" s="15"/>
      <c r="K2" s="15"/>
      <c r="L2" s="15"/>
    </row>
    <row r="3" spans="1:12" ht="12.75">
      <c r="A3" s="84">
        <f>'1-Cover Page'!$C$6</f>
        <v>0</v>
      </c>
      <c r="B3" s="72"/>
      <c r="C3" s="72"/>
      <c r="D3" s="67"/>
      <c r="E3" s="67"/>
      <c r="F3" s="67"/>
      <c r="G3" s="15"/>
      <c r="H3" s="15"/>
      <c r="I3" s="15"/>
      <c r="J3" s="15"/>
      <c r="K3" s="15"/>
      <c r="L3" s="15"/>
    </row>
    <row r="4" spans="1:12" ht="12.75">
      <c r="A4" s="64" t="str">
        <f>'1-Cover Page'!$C$9&amp;"  "&amp;TEXT('1-Cover Page'!$C$11,"mm/dd/yy")</f>
        <v xml:space="preserve">   </v>
      </c>
      <c r="B4" s="85"/>
      <c r="C4" s="85"/>
      <c r="D4" s="67"/>
      <c r="E4" s="67"/>
      <c r="F4" s="67"/>
      <c r="G4" s="11"/>
      <c r="H4" s="15"/>
      <c r="I4" s="15"/>
      <c r="J4" s="15"/>
      <c r="K4" s="15"/>
      <c r="L4" s="15"/>
    </row>
    <row r="5" spans="1:12" ht="25.5" customHeight="1">
      <c r="A5" s="70" t="s">
        <v>19</v>
      </c>
      <c r="B5" s="69" t="str">
        <f>IF(LEFT('5a-Error Checking'!I9,3)&lt;&gt;"not","Description","ERROR!! Check Error Sheet")</f>
        <v>Description</v>
      </c>
      <c r="C5" s="70"/>
      <c r="D5" s="86" t="s">
        <v>48</v>
      </c>
      <c r="E5" s="87" t="s">
        <v>49</v>
      </c>
      <c r="F5" s="87" t="s">
        <v>50</v>
      </c>
      <c r="G5" s="11"/>
      <c r="H5" s="11"/>
      <c r="I5" s="11"/>
      <c r="J5" s="11"/>
    </row>
    <row r="6" spans="1:12" ht="14.25" customHeight="1">
      <c r="A6" s="88">
        <v>1</v>
      </c>
      <c r="B6" s="72" t="s">
        <v>70</v>
      </c>
      <c r="C6" s="72"/>
      <c r="D6" s="24">
        <v>0</v>
      </c>
      <c r="E6" s="30">
        <v>0</v>
      </c>
      <c r="F6" s="30">
        <v>0</v>
      </c>
      <c r="G6" s="11"/>
      <c r="H6" s="11"/>
      <c r="I6" s="11"/>
      <c r="J6" s="11"/>
    </row>
    <row r="7" spans="1:12" s="33" customFormat="1" ht="10.5" customHeight="1">
      <c r="A7" s="34" t="s">
        <v>53</v>
      </c>
      <c r="B7" s="31"/>
      <c r="C7" s="31"/>
      <c r="D7" s="32"/>
      <c r="E7" s="32"/>
      <c r="F7" s="32"/>
    </row>
    <row r="8" spans="1:12" ht="12.75">
      <c r="A8" s="17" t="s">
        <v>51</v>
      </c>
      <c r="B8" s="18"/>
      <c r="C8" s="18"/>
      <c r="D8" s="19"/>
      <c r="E8" s="19"/>
      <c r="F8" s="19"/>
      <c r="G8" s="11"/>
      <c r="H8" s="11"/>
      <c r="I8" s="11"/>
      <c r="J8" s="11"/>
    </row>
    <row r="9" spans="1:12" ht="10.5" customHeight="1">
      <c r="A9" s="88">
        <v>2</v>
      </c>
      <c r="B9" s="72" t="s">
        <v>21</v>
      </c>
      <c r="C9" s="138" t="s">
        <v>119</v>
      </c>
      <c r="D9" s="89">
        <f>SUMIFS(staffCostIA,staff_fmp,"Fe",staffprog,"ESL")</f>
        <v>0</v>
      </c>
      <c r="E9" s="89">
        <f>SUMIFS(staffCostIA,staff_fmp,"Ma",staffprog,"ESL")</f>
        <v>0</v>
      </c>
      <c r="F9" s="89">
        <f>SUMIFS(staffCostIA,staff_fmp,"Pr",staffprog,"ESL")</f>
        <v>0</v>
      </c>
      <c r="G9" s="11"/>
      <c r="H9" s="11"/>
      <c r="I9" s="11"/>
      <c r="J9" s="11"/>
    </row>
    <row r="10" spans="1:12" ht="10.5" customHeight="1">
      <c r="A10" s="88">
        <v>3</v>
      </c>
      <c r="B10" s="72" t="s">
        <v>24</v>
      </c>
      <c r="C10" s="138" t="s">
        <v>124</v>
      </c>
      <c r="D10" s="89">
        <f>SUMIFS(bdgCost,bdgProg,"ESL",bdg_fmp,"Fe",bdgObj,$C10)</f>
        <v>0</v>
      </c>
      <c r="E10" s="89">
        <f>SUMIFS(bdgCost,bdgProg,"ESL",bdg_fmp,"Ma",bdgObj,$C10)</f>
        <v>0</v>
      </c>
      <c r="F10" s="89">
        <f>SUMIFS(bdgCost,bdgProg,"ESL",bdg_fmp,"pr",bdgObj,$C10)</f>
        <v>0</v>
      </c>
      <c r="G10" s="11"/>
      <c r="H10" s="11"/>
      <c r="I10" s="11"/>
      <c r="J10" s="11"/>
    </row>
    <row r="11" spans="1:12" ht="10.5" customHeight="1">
      <c r="A11" s="88">
        <v>4</v>
      </c>
      <c r="B11" s="72" t="s">
        <v>26</v>
      </c>
      <c r="C11" s="138" t="s">
        <v>120</v>
      </c>
      <c r="D11" s="89">
        <f>SUMIFS(bdgCost,bdgProg,"ESL",bdg_fmp,"Fe",bdgObj,$C11)</f>
        <v>0</v>
      </c>
      <c r="E11" s="89">
        <f>SUMIFS(bdgCost,bdgProg,"ESL",bdg_fmp,"Ma",bdgObj,$C11)</f>
        <v>0</v>
      </c>
      <c r="F11" s="89">
        <f>SUMIFS(bdgCost,bdgProg,"ESL",bdg_fmp,"pr",bdgObj,$C11)</f>
        <v>0</v>
      </c>
      <c r="G11" s="11"/>
      <c r="H11" s="11"/>
      <c r="I11" s="11"/>
      <c r="J11" s="11"/>
    </row>
    <row r="12" spans="1:12" ht="10.5" customHeight="1">
      <c r="A12" s="88">
        <v>5</v>
      </c>
      <c r="B12" s="72" t="s">
        <v>25</v>
      </c>
      <c r="C12" s="138" t="s">
        <v>121</v>
      </c>
      <c r="D12" s="89">
        <f>SUMIFS(bdgCost,bdgProg,"ESL",bdg_fmp,"Fe",bdgObj,$C12)</f>
        <v>0</v>
      </c>
      <c r="E12" s="89">
        <f>SUMIFS(bdgCost,bdgProg,"ESL",bdg_fmp,"Ma",bdgObj,$C12)</f>
        <v>0</v>
      </c>
      <c r="F12" s="89">
        <f>SUMIFS(bdgCost,bdgProg,"ESL",bdg_fmp,"pr",bdgObj,$C12)</f>
        <v>0</v>
      </c>
      <c r="G12" s="11"/>
      <c r="H12" s="11"/>
      <c r="I12" s="11"/>
      <c r="J12" s="11"/>
    </row>
    <row r="13" spans="1:12" ht="10.5" customHeight="1">
      <c r="A13" s="88">
        <v>6</v>
      </c>
      <c r="B13" s="72" t="s">
        <v>22</v>
      </c>
      <c r="C13" s="138" t="s">
        <v>122</v>
      </c>
      <c r="D13" s="89">
        <f>SUMIFS(bdgCost,bdgProg,"ESL",bdg_fmp,"Fe",bdgObj,$C13)</f>
        <v>0</v>
      </c>
      <c r="E13" s="89">
        <f>SUMIFS(bdgCost,bdgProg,"ESL",bdg_fmp,"Ma",bdgObj,$C13)</f>
        <v>0</v>
      </c>
      <c r="F13" s="89">
        <f>SUMIFS(bdgCost,bdgProg,"ESL",bdg_fmp,"pr",bdgObj,$C13)</f>
        <v>0</v>
      </c>
      <c r="G13" s="11"/>
      <c r="H13" s="11"/>
      <c r="I13" s="11"/>
      <c r="J13" s="11"/>
    </row>
    <row r="14" spans="1:12" ht="10.5" customHeight="1">
      <c r="A14" s="88">
        <v>7</v>
      </c>
      <c r="B14" s="72" t="s">
        <v>54</v>
      </c>
      <c r="C14" s="138" t="s">
        <v>123</v>
      </c>
      <c r="D14" s="89">
        <f>SUMIFS(bdgCost,bdgProg,"ESL",bdg_fmp,"Fe",bdgObj,$C14)</f>
        <v>0</v>
      </c>
      <c r="E14" s="89">
        <f>SUMIFS(bdgCost,bdgProg,"ESL",bdg_fmp,"Ma",bdgObj,$C14)</f>
        <v>0</v>
      </c>
      <c r="F14" s="89">
        <f>SUMIFS(bdgCost,bdgProg,"ESL",bdg_fmp,"pr",bdgObj,$C14)</f>
        <v>0</v>
      </c>
      <c r="G14" s="11"/>
      <c r="H14" s="11"/>
      <c r="I14" s="11"/>
      <c r="J14" s="11"/>
    </row>
    <row r="15" spans="1:12" ht="10.5" customHeight="1">
      <c r="A15" s="88">
        <v>8</v>
      </c>
      <c r="B15" s="90" t="s">
        <v>102</v>
      </c>
      <c r="C15" s="90"/>
      <c r="D15" s="91">
        <f>SUM(D9:D14)</f>
        <v>0</v>
      </c>
      <c r="E15" s="91">
        <f>SUM(E9:E14)</f>
        <v>0</v>
      </c>
      <c r="F15" s="91">
        <f>SUM(F9:F14)</f>
        <v>0</v>
      </c>
      <c r="G15" s="11"/>
      <c r="H15" s="11"/>
      <c r="I15" s="11"/>
      <c r="J15" s="11"/>
    </row>
    <row r="16" spans="1:12" ht="12.75">
      <c r="A16" s="17" t="s">
        <v>52</v>
      </c>
      <c r="B16" s="18"/>
      <c r="C16" s="18"/>
      <c r="D16" s="71"/>
      <c r="E16" s="19"/>
      <c r="F16" s="19"/>
      <c r="G16" s="11"/>
      <c r="H16" s="11"/>
      <c r="I16" s="11"/>
      <c r="J16" s="11"/>
    </row>
    <row r="17" spans="1:10" ht="10.5" customHeight="1">
      <c r="A17" s="88">
        <v>9</v>
      </c>
      <c r="B17" s="72" t="s">
        <v>21</v>
      </c>
      <c r="C17" s="138" t="s">
        <v>119</v>
      </c>
      <c r="D17" s="89">
        <f>SUMIFS(staffCostIA,staff_fmp,"Fe",staffprog,"ASE")</f>
        <v>0</v>
      </c>
      <c r="E17" s="89">
        <f>SUMIFS(staffCostIA,staff_fmp,"Ma",staffprog,"ASE")</f>
        <v>0</v>
      </c>
      <c r="F17" s="89">
        <f>SUMIFS(staffCostIA,staff_fmp,"Pr",staffprog,"ASE")</f>
        <v>0</v>
      </c>
      <c r="G17" s="11"/>
      <c r="H17" s="11"/>
      <c r="I17" s="11"/>
      <c r="J17" s="11"/>
    </row>
    <row r="18" spans="1:10" ht="10.5" customHeight="1">
      <c r="A18" s="92">
        <v>10</v>
      </c>
      <c r="B18" s="72" t="s">
        <v>24</v>
      </c>
      <c r="C18" s="138" t="s">
        <v>124</v>
      </c>
      <c r="D18" s="89">
        <f>SUMIFS(bdgCost,bdgProg,"ASE",bdg_fmp,"Fe",bdgObj,$C18)</f>
        <v>0</v>
      </c>
      <c r="E18" s="89">
        <f>SUMIFS(bdgCost,bdgProg,"ASE",bdg_fmp,"Ma",bdgObj,$C18)</f>
        <v>0</v>
      </c>
      <c r="F18" s="89">
        <f>SUMIFS(bdgCost,bdgProg,"ASE",bdg_fmp,"pr",bdgObj,$C18)</f>
        <v>0</v>
      </c>
      <c r="G18" s="11"/>
      <c r="H18" s="11"/>
      <c r="I18" s="11"/>
      <c r="J18" s="11"/>
    </row>
    <row r="19" spans="1:10" ht="10.5" customHeight="1">
      <c r="A19" s="92">
        <v>11</v>
      </c>
      <c r="B19" s="72" t="s">
        <v>26</v>
      </c>
      <c r="C19" s="138" t="s">
        <v>120</v>
      </c>
      <c r="D19" s="89">
        <f>SUMIFS(bdgCost,bdgProg,"ASE",bdg_fmp,"Fe",bdgObj,$C19)</f>
        <v>0</v>
      </c>
      <c r="E19" s="89">
        <f>SUMIFS(bdgCost,bdgProg,"ASE",bdg_fmp,"Ma",bdgObj,$C19)</f>
        <v>0</v>
      </c>
      <c r="F19" s="89">
        <f>SUMIFS(bdgCost,bdgProg,"ASE",bdg_fmp,"pr",bdgObj,$C19)</f>
        <v>0</v>
      </c>
      <c r="G19" s="11"/>
      <c r="H19" s="11"/>
      <c r="I19" s="11"/>
      <c r="J19" s="11"/>
    </row>
    <row r="20" spans="1:10" ht="10.5" customHeight="1">
      <c r="A20" s="92">
        <v>12</v>
      </c>
      <c r="B20" s="72" t="s">
        <v>25</v>
      </c>
      <c r="C20" s="138" t="s">
        <v>121</v>
      </c>
      <c r="D20" s="89">
        <f>SUMIFS(bdgCost,bdgProg,"ASE",bdg_fmp,"Fe",bdgObj,$C20)</f>
        <v>0</v>
      </c>
      <c r="E20" s="89">
        <f>SUMIFS(bdgCost,bdgProg,"ASE",bdg_fmp,"Ma",bdgObj,$C20)</f>
        <v>0</v>
      </c>
      <c r="F20" s="89">
        <f>SUMIFS(bdgCost,bdgProg,"ASE",bdg_fmp,"pr",bdgObj,$C20)</f>
        <v>0</v>
      </c>
      <c r="G20" s="11"/>
      <c r="H20" s="11"/>
      <c r="I20" s="11"/>
      <c r="J20" s="11"/>
    </row>
    <row r="21" spans="1:10" ht="10.5" customHeight="1">
      <c r="A21" s="92">
        <v>13</v>
      </c>
      <c r="B21" s="68" t="s">
        <v>22</v>
      </c>
      <c r="C21" s="138" t="s">
        <v>122</v>
      </c>
      <c r="D21" s="89">
        <f>SUMIFS(bdgCost,bdgProg,"ASE",bdg_fmp,"Fe",bdgObj,$C21)</f>
        <v>0</v>
      </c>
      <c r="E21" s="89">
        <f>SUMIFS(bdgCost,bdgProg,"ASE",bdg_fmp,"Ma",bdgObj,$C21)</f>
        <v>0</v>
      </c>
      <c r="F21" s="89">
        <f>SUMIFS(bdgCost,bdgProg,"ASE",bdg_fmp,"pr",bdgObj,$C21)</f>
        <v>0</v>
      </c>
      <c r="G21" s="11"/>
      <c r="H21" s="11"/>
      <c r="I21" s="11"/>
      <c r="J21" s="11"/>
    </row>
    <row r="22" spans="1:10" ht="10.5" customHeight="1">
      <c r="A22" s="92">
        <v>14</v>
      </c>
      <c r="B22" s="68" t="s">
        <v>54</v>
      </c>
      <c r="C22" s="138" t="s">
        <v>123</v>
      </c>
      <c r="D22" s="89">
        <f>SUMIFS(bdgCost,bdgProg,"ASE",bdg_fmp,"Fe",bdgObj,$C22)</f>
        <v>0</v>
      </c>
      <c r="E22" s="89">
        <f>SUMIFS(bdgCost,bdgProg,"ASE",bdg_fmp,"Ma",bdgObj,$C22)</f>
        <v>0</v>
      </c>
      <c r="F22" s="89">
        <f>SUMIFS(bdgCost,bdgProg,"ASE",bdg_fmp,"pr",bdgObj,$C22)</f>
        <v>0</v>
      </c>
      <c r="G22" s="11"/>
      <c r="H22" s="11"/>
      <c r="I22" s="11"/>
      <c r="J22" s="11"/>
    </row>
    <row r="23" spans="1:10" ht="10.5" customHeight="1">
      <c r="A23" s="93">
        <v>15</v>
      </c>
      <c r="B23" s="94" t="s">
        <v>101</v>
      </c>
      <c r="C23" s="94"/>
      <c r="D23" s="91">
        <f>SUM(D17:D22)</f>
        <v>0</v>
      </c>
      <c r="E23" s="91">
        <f>SUM(E17:E22)</f>
        <v>0</v>
      </c>
      <c r="F23" s="91">
        <f>SUM(F17:F22)</f>
        <v>0</v>
      </c>
      <c r="G23" s="11"/>
      <c r="H23" s="11"/>
      <c r="I23" s="11"/>
      <c r="J23" s="11"/>
    </row>
    <row r="24" spans="1:10" ht="12.75">
      <c r="A24" s="17" t="s">
        <v>77</v>
      </c>
      <c r="B24" s="18"/>
      <c r="C24" s="18"/>
      <c r="D24" s="71"/>
      <c r="E24" s="19"/>
      <c r="F24" s="19"/>
      <c r="G24" s="11"/>
      <c r="H24" s="11"/>
      <c r="I24" s="11"/>
      <c r="J24" s="11"/>
    </row>
    <row r="25" spans="1:10" s="35" customFormat="1" ht="10.5" customHeight="1">
      <c r="A25" s="88">
        <v>16</v>
      </c>
      <c r="B25" s="72" t="s">
        <v>21</v>
      </c>
      <c r="C25" s="138" t="s">
        <v>119</v>
      </c>
      <c r="D25" s="89">
        <f>SUMIFS(staffCostIA,staff_fmp,"Fe",staffprog,"ion")</f>
        <v>0</v>
      </c>
      <c r="E25" s="89">
        <f>SUMIFS(staffCostIA,staff_fmp,"Ma",staffprog,"ion")</f>
        <v>0</v>
      </c>
      <c r="F25" s="89">
        <f>SUMIFS(staffCostIA,staff_fmp,"Pr",staffprog,"ion")</f>
        <v>0</v>
      </c>
    </row>
    <row r="26" spans="1:10" s="35" customFormat="1" ht="10.5" customHeight="1">
      <c r="A26" s="88">
        <v>17</v>
      </c>
      <c r="B26" s="72" t="s">
        <v>24</v>
      </c>
      <c r="C26" s="138" t="s">
        <v>124</v>
      </c>
      <c r="D26" s="89">
        <f>SUMIFS(bdgCost,bdgProg,"ion",bdg_fmp,"Fe",bdgObj,$C26)</f>
        <v>0</v>
      </c>
      <c r="E26" s="89">
        <f>SUMIFS(bdgCost,bdgProg,"ion",bdg_fmp,"Ma",bdgObj,$C26)</f>
        <v>0</v>
      </c>
      <c r="F26" s="89">
        <f>SUMIFS(bdgCost,bdgProg,"ion",bdg_fmp,"pr",bdgObj,$C26)</f>
        <v>0</v>
      </c>
    </row>
    <row r="27" spans="1:10" s="35" customFormat="1" ht="10.5" customHeight="1">
      <c r="A27" s="88">
        <v>18</v>
      </c>
      <c r="B27" s="72" t="s">
        <v>26</v>
      </c>
      <c r="C27" s="138" t="s">
        <v>120</v>
      </c>
      <c r="D27" s="89">
        <f>SUMIFS(bdgCost,bdgProg,"ion",bdg_fmp,"Fe",bdgObj,$C27)</f>
        <v>0</v>
      </c>
      <c r="E27" s="89">
        <f>SUMIFS(bdgCost,bdgProg,"ion",bdg_fmp,"Ma",bdgObj,$C27)</f>
        <v>0</v>
      </c>
      <c r="F27" s="89">
        <f>SUMIFS(bdgCost,bdgProg,"ion",bdg_fmp,"pr",bdgObj,$C27)</f>
        <v>0</v>
      </c>
    </row>
    <row r="28" spans="1:10" s="35" customFormat="1" ht="10.5" customHeight="1">
      <c r="A28" s="88">
        <v>19</v>
      </c>
      <c r="B28" s="72" t="s">
        <v>25</v>
      </c>
      <c r="C28" s="138" t="s">
        <v>121</v>
      </c>
      <c r="D28" s="89">
        <f>SUMIFS(bdgCost,bdgProg,"ion",bdg_fmp,"Fe",bdgObj,$C28)</f>
        <v>0</v>
      </c>
      <c r="E28" s="89">
        <f>SUMIFS(bdgCost,bdgProg,"ion",bdg_fmp,"Ma",bdgObj,$C28)</f>
        <v>0</v>
      </c>
      <c r="F28" s="89">
        <f>SUMIFS(bdgCost,bdgProg,"ion",bdg_fmp,"pr",bdgObj,$C28)</f>
        <v>0</v>
      </c>
    </row>
    <row r="29" spans="1:10" s="35" customFormat="1" ht="10.5" customHeight="1">
      <c r="A29" s="88">
        <v>20</v>
      </c>
      <c r="B29" s="72" t="s">
        <v>22</v>
      </c>
      <c r="C29" s="138" t="s">
        <v>122</v>
      </c>
      <c r="D29" s="89">
        <f>SUMIFS(bdgCost,bdgProg,"ion",bdg_fmp,"Fe",bdgObj,$C29)</f>
        <v>0</v>
      </c>
      <c r="E29" s="89">
        <f>SUMIFS(bdgCost,bdgProg,"ion",bdg_fmp,"Ma",bdgObj,$C29)</f>
        <v>0</v>
      </c>
      <c r="F29" s="89">
        <f>SUMIFS(bdgCost,bdgProg,"ion",bdg_fmp,"pr",bdgObj,$C29)</f>
        <v>0</v>
      </c>
    </row>
    <row r="30" spans="1:10" s="35" customFormat="1" ht="10.5" customHeight="1">
      <c r="A30" s="88">
        <v>21</v>
      </c>
      <c r="B30" s="72" t="s">
        <v>54</v>
      </c>
      <c r="C30" s="138" t="s">
        <v>123</v>
      </c>
      <c r="D30" s="89">
        <f>SUMIFS(bdgCost,bdgProg,"ion",bdg_fmp,"Fe",bdgObj,$C30)</f>
        <v>0</v>
      </c>
      <c r="E30" s="89">
        <f>SUMIFS(bdgCost,bdgProg,"ion",bdg_fmp,"Ma",bdgObj,$C30)</f>
        <v>0</v>
      </c>
      <c r="F30" s="89">
        <f>SUMIFS(bdgCost,bdgProg,"ion",bdg_fmp,"pr",bdgObj,$C30)</f>
        <v>0</v>
      </c>
    </row>
    <row r="31" spans="1:10" s="35" customFormat="1" ht="10.5" customHeight="1">
      <c r="A31" s="88">
        <v>22</v>
      </c>
      <c r="B31" s="90" t="s">
        <v>100</v>
      </c>
      <c r="C31" s="90"/>
      <c r="D31" s="91">
        <f>SUM(D25:D30)</f>
        <v>0</v>
      </c>
      <c r="E31" s="91">
        <f>SUM(E25:E30)</f>
        <v>0</v>
      </c>
      <c r="F31" s="91">
        <f>SUM(F25:F30)</f>
        <v>0</v>
      </c>
    </row>
    <row r="32" spans="1:10" ht="8.25" customHeight="1">
      <c r="A32" s="20"/>
      <c r="B32" s="21"/>
      <c r="C32" s="21"/>
      <c r="D32" s="22"/>
      <c r="E32" s="22"/>
      <c r="F32" s="22"/>
      <c r="G32" s="11"/>
      <c r="H32" s="11"/>
      <c r="I32" s="11"/>
      <c r="J32" s="11"/>
    </row>
    <row r="33" spans="1:10" ht="10.5" customHeight="1">
      <c r="A33" s="88">
        <v>23</v>
      </c>
      <c r="B33" s="90" t="s">
        <v>82</v>
      </c>
      <c r="C33" s="90"/>
      <c r="D33" s="91">
        <f>SUM(D15+D23+D31)</f>
        <v>0</v>
      </c>
      <c r="E33" s="91">
        <f t="shared" ref="E33:F33" si="0">SUM(E15+E23+E31)</f>
        <v>0</v>
      </c>
      <c r="F33" s="91">
        <f t="shared" si="0"/>
        <v>0</v>
      </c>
      <c r="G33" s="11"/>
      <c r="H33" s="11"/>
      <c r="I33" s="11"/>
      <c r="J33" s="11"/>
    </row>
    <row r="34" spans="1:10" s="23" customFormat="1" ht="9" customHeight="1">
      <c r="A34" s="95"/>
      <c r="B34" s="40"/>
      <c r="C34" s="40"/>
      <c r="D34" s="96"/>
      <c r="E34" s="96"/>
      <c r="F34" s="96"/>
      <c r="G34" s="13"/>
      <c r="H34" s="13"/>
      <c r="I34" s="13"/>
      <c r="J34" s="13"/>
    </row>
    <row r="35" spans="1:10" ht="10.5" customHeight="1">
      <c r="A35" s="88">
        <v>1</v>
      </c>
      <c r="B35" s="90" t="s">
        <v>15</v>
      </c>
      <c r="C35" s="90"/>
      <c r="D35" s="91">
        <f>D6</f>
        <v>0</v>
      </c>
      <c r="E35" s="91">
        <f t="shared" ref="E35:F35" si="1">E6</f>
        <v>0</v>
      </c>
      <c r="F35" s="91">
        <f t="shared" si="1"/>
        <v>0</v>
      </c>
      <c r="G35" s="11"/>
      <c r="H35" s="11"/>
      <c r="I35" s="11"/>
      <c r="J35" s="11"/>
    </row>
    <row r="36" spans="1:10" s="23" customFormat="1" ht="7.5" customHeight="1">
      <c r="A36" s="95"/>
      <c r="B36" s="40"/>
      <c r="C36" s="40"/>
      <c r="D36" s="96"/>
      <c r="E36" s="96"/>
      <c r="F36" s="96"/>
      <c r="G36" s="13"/>
      <c r="H36" s="13"/>
      <c r="I36" s="13"/>
      <c r="J36" s="13"/>
    </row>
    <row r="37" spans="1:10" ht="10.5" customHeight="1">
      <c r="A37" s="88"/>
      <c r="B37" s="90" t="s">
        <v>83</v>
      </c>
      <c r="C37" s="90"/>
      <c r="D37" s="91">
        <f>D35-D33</f>
        <v>0</v>
      </c>
      <c r="E37" s="91">
        <f t="shared" ref="E37:F37" si="2">E35-E33</f>
        <v>0</v>
      </c>
      <c r="F37" s="91">
        <f t="shared" si="2"/>
        <v>0</v>
      </c>
      <c r="G37" s="11"/>
      <c r="H37" s="11"/>
      <c r="I37" s="11"/>
      <c r="J37" s="11"/>
    </row>
    <row r="38" spans="1:10" ht="2.25" customHeight="1">
      <c r="G38" s="11"/>
      <c r="H38" s="11"/>
      <c r="I38" s="11"/>
      <c r="J38" s="11"/>
    </row>
    <row r="39" spans="1:10" ht="10.5" hidden="1" customHeight="1">
      <c r="G39" s="11"/>
      <c r="H39" s="11"/>
      <c r="I39" s="11"/>
      <c r="J39" s="11"/>
    </row>
    <row r="40" spans="1:10" ht="10.5" hidden="1" customHeight="1">
      <c r="G40" s="11"/>
      <c r="H40" s="11"/>
      <c r="I40" s="11"/>
      <c r="J40" s="11"/>
    </row>
    <row r="41" spans="1:10" ht="10.5" hidden="1" customHeight="1">
      <c r="G41" s="11"/>
      <c r="H41" s="11"/>
      <c r="I41" s="11"/>
      <c r="J41" s="11"/>
    </row>
    <row r="42" spans="1:10" ht="10.5" hidden="1" customHeight="1">
      <c r="G42" s="11"/>
      <c r="H42" s="11"/>
      <c r="I42" s="11"/>
      <c r="J42" s="11"/>
    </row>
    <row r="43" spans="1:10" ht="10.5" hidden="1" customHeight="1">
      <c r="G43" s="11"/>
      <c r="H43" s="11"/>
      <c r="I43" s="11"/>
      <c r="J43" s="11"/>
    </row>
    <row r="44" spans="1:10" ht="10.5" hidden="1" customHeight="1">
      <c r="G44" s="11"/>
      <c r="H44" s="11"/>
      <c r="I44" s="11"/>
      <c r="J44" s="11"/>
    </row>
    <row r="45" spans="1:10" ht="10.5" hidden="1" customHeight="1">
      <c r="G45" s="11"/>
      <c r="H45" s="11"/>
      <c r="I45" s="11"/>
      <c r="J45" s="11"/>
    </row>
    <row r="46" spans="1:10" ht="10.5" hidden="1" customHeight="1">
      <c r="G46" s="11"/>
      <c r="H46" s="11"/>
      <c r="I46" s="11"/>
      <c r="J46" s="11"/>
    </row>
    <row r="47" spans="1:10" ht="10.5" hidden="1" customHeight="1">
      <c r="G47" s="11"/>
      <c r="H47" s="11"/>
      <c r="I47" s="11"/>
      <c r="J47" s="11"/>
    </row>
    <row r="48" spans="1:10" ht="10.5" hidden="1" customHeight="1">
      <c r="G48" s="11"/>
      <c r="H48" s="11"/>
      <c r="I48" s="11"/>
      <c r="J48" s="11"/>
    </row>
    <row r="49" spans="7:10" ht="10.5" hidden="1" customHeight="1">
      <c r="G49" s="11"/>
      <c r="H49" s="11"/>
      <c r="I49" s="11"/>
      <c r="J49" s="11"/>
    </row>
    <row r="50" spans="7:10" ht="10.5" hidden="1" customHeight="1">
      <c r="G50" s="11"/>
      <c r="H50" s="11"/>
      <c r="I50" s="11"/>
      <c r="J50" s="11"/>
    </row>
    <row r="51" spans="7:10" ht="10.5" hidden="1" customHeight="1">
      <c r="G51" s="11"/>
      <c r="H51" s="11"/>
      <c r="I51" s="11"/>
      <c r="J51" s="11"/>
    </row>
    <row r="52" spans="7:10" ht="10.5" hidden="1" customHeight="1">
      <c r="G52" s="11"/>
      <c r="H52" s="11"/>
      <c r="I52" s="11"/>
      <c r="J52" s="11"/>
    </row>
    <row r="53" spans="7:10" ht="10.5" hidden="1" customHeight="1">
      <c r="G53" s="11"/>
      <c r="H53" s="11"/>
      <c r="I53" s="11"/>
      <c r="J53" s="11"/>
    </row>
    <row r="54" spans="7:10" ht="10.5" hidden="1" customHeight="1">
      <c r="G54" s="11"/>
      <c r="H54" s="11"/>
      <c r="I54" s="11"/>
      <c r="J54" s="11"/>
    </row>
    <row r="55" spans="7:10" ht="10.5" hidden="1" customHeight="1">
      <c r="G55" s="11"/>
      <c r="H55" s="11"/>
      <c r="I55" s="11"/>
      <c r="J55" s="11"/>
    </row>
    <row r="56" spans="7:10" ht="10.5" hidden="1" customHeight="1">
      <c r="G56" s="11"/>
      <c r="H56" s="11"/>
      <c r="I56" s="11"/>
      <c r="J56" s="11"/>
    </row>
    <row r="57" spans="7:10" ht="10.5" hidden="1" customHeight="1">
      <c r="G57" s="11"/>
      <c r="H57" s="11"/>
      <c r="I57" s="11"/>
      <c r="J57" s="11"/>
    </row>
    <row r="58" spans="7:10" ht="10.5" hidden="1" customHeight="1">
      <c r="G58" s="11"/>
      <c r="H58" s="11"/>
      <c r="I58" s="11"/>
      <c r="J58" s="11"/>
    </row>
    <row r="59" spans="7:10" ht="10.5" hidden="1" customHeight="1">
      <c r="G59" s="11"/>
      <c r="H59" s="11"/>
      <c r="I59" s="11"/>
      <c r="J59" s="11"/>
    </row>
    <row r="60" spans="7:10" ht="10.5" hidden="1" customHeight="1">
      <c r="G60" s="11"/>
      <c r="H60" s="11"/>
      <c r="I60" s="11"/>
      <c r="J60" s="11"/>
    </row>
    <row r="61" spans="7:10" ht="10.5" hidden="1" customHeight="1">
      <c r="G61" s="11"/>
      <c r="H61" s="11"/>
      <c r="I61" s="11"/>
      <c r="J61" s="11"/>
    </row>
    <row r="62" spans="7:10" ht="10.5" hidden="1" customHeight="1">
      <c r="G62" s="11"/>
      <c r="H62" s="11"/>
      <c r="I62" s="11"/>
      <c r="J62" s="11"/>
    </row>
    <row r="63" spans="7:10" ht="10.5" hidden="1" customHeight="1">
      <c r="G63" s="11"/>
      <c r="H63" s="11"/>
      <c r="I63" s="11"/>
      <c r="J63" s="11"/>
    </row>
    <row r="64" spans="7:10" ht="10.5" hidden="1" customHeight="1">
      <c r="G64" s="11"/>
      <c r="H64" s="11"/>
      <c r="I64" s="11"/>
      <c r="J64" s="11"/>
    </row>
    <row r="65" spans="4:10" ht="10.5" hidden="1" customHeight="1">
      <c r="G65" s="11"/>
      <c r="H65" s="11"/>
      <c r="I65" s="11"/>
      <c r="J65" s="11"/>
    </row>
    <row r="66" spans="4:10" ht="10.5" hidden="1" customHeight="1">
      <c r="G66" s="11"/>
      <c r="H66" s="11"/>
      <c r="I66" s="11"/>
      <c r="J66" s="11"/>
    </row>
    <row r="67" spans="4:10" ht="10.5" hidden="1" customHeight="1">
      <c r="G67" s="11"/>
      <c r="H67" s="11"/>
      <c r="I67" s="11"/>
      <c r="J67" s="11"/>
    </row>
    <row r="68" spans="4:10" ht="10.5" hidden="1" customHeight="1">
      <c r="G68" s="11"/>
      <c r="H68" s="11"/>
      <c r="I68" s="11"/>
      <c r="J68" s="11"/>
    </row>
    <row r="69" spans="4:10" ht="10.5" hidden="1" customHeight="1">
      <c r="G69" s="11"/>
      <c r="H69" s="11"/>
      <c r="I69" s="11"/>
      <c r="J69" s="11"/>
    </row>
    <row r="70" spans="4:10" ht="10.5" hidden="1" customHeight="1">
      <c r="G70" s="11"/>
      <c r="H70" s="11"/>
      <c r="I70" s="11"/>
      <c r="J70" s="11"/>
    </row>
    <row r="71" spans="4:10" ht="10.5" hidden="1" customHeight="1">
      <c r="G71" s="11"/>
      <c r="H71" s="11"/>
      <c r="I71" s="11"/>
      <c r="J71" s="11"/>
    </row>
    <row r="72" spans="4:10" ht="10.5" hidden="1" customHeight="1">
      <c r="G72" s="11"/>
      <c r="H72" s="11"/>
      <c r="I72" s="11"/>
      <c r="J72" s="11"/>
    </row>
    <row r="73" spans="4:10" ht="10.5" hidden="1" customHeight="1">
      <c r="G73" s="11"/>
      <c r="H73" s="11"/>
      <c r="I73" s="11"/>
      <c r="J73" s="11"/>
    </row>
    <row r="74" spans="4:10" ht="10.5" hidden="1" customHeight="1">
      <c r="G74" s="11"/>
      <c r="H74" s="11"/>
      <c r="I74" s="11"/>
      <c r="J74" s="11"/>
    </row>
    <row r="75" spans="4:10" ht="10.5" hidden="1" customHeight="1">
      <c r="G75" s="11"/>
      <c r="H75" s="11"/>
      <c r="I75" s="11"/>
      <c r="J75" s="11"/>
    </row>
    <row r="76" spans="4:10" ht="10.5" hidden="1" customHeight="1">
      <c r="G76" s="11"/>
      <c r="H76" s="11"/>
      <c r="I76" s="11"/>
      <c r="J76" s="11"/>
    </row>
    <row r="77" spans="4:10" ht="10.5" hidden="1" customHeight="1">
      <c r="G77" s="11"/>
      <c r="H77" s="11"/>
      <c r="I77" s="11"/>
      <c r="J77" s="11"/>
    </row>
    <row r="78" spans="4:10" ht="10.5" customHeight="1"/>
    <row r="79" spans="4:10" ht="10.5" customHeight="1">
      <c r="D79" s="323" t="s">
        <v>55</v>
      </c>
      <c r="E79" s="323"/>
      <c r="F79" s="323"/>
    </row>
    <row r="80" spans="4:10" ht="10.5" customHeight="1">
      <c r="D80" s="37" t="s">
        <v>56</v>
      </c>
      <c r="E80" s="37"/>
      <c r="F80" s="122" t="str">
        <f>IF(D33=0,"",(D15+D23)/D33)</f>
        <v/>
      </c>
    </row>
    <row r="81" spans="4:6" ht="10.5" customHeight="1">
      <c r="D81" s="37" t="s">
        <v>57</v>
      </c>
      <c r="E81" s="37"/>
      <c r="F81" s="122" t="str">
        <f>IF(D33=0,"",E33/D33)</f>
        <v/>
      </c>
    </row>
    <row r="82" spans="4:6" ht="10.5" customHeight="1">
      <c r="D82" s="36"/>
      <c r="E82" s="36"/>
      <c r="F82" s="36"/>
    </row>
    <row r="83" spans="4:6" ht="10.5" customHeight="1">
      <c r="D83" s="36"/>
      <c r="E83" s="36"/>
      <c r="F83" s="36"/>
    </row>
    <row r="84" spans="4:6" ht="10.5" customHeight="1"/>
    <row r="85" spans="4:6" ht="10.5" customHeight="1"/>
    <row r="86" spans="4:6" ht="10.5" customHeight="1"/>
    <row r="87" spans="4:6" ht="10.5" customHeight="1"/>
  </sheetData>
  <sheetProtection password="EF32" sheet="1" objects="1" scenarios="1"/>
  <mergeCells count="1">
    <mergeCell ref="D79:F79"/>
  </mergeCells>
  <phoneticPr fontId="0" type="noConversion"/>
  <conditionalFormatting sqref="B6:C6">
    <cfRule type="expression" dxfId="13" priority="8" stopIfTrue="1">
      <formula>LEFT($B$6,3)="All"</formula>
    </cfRule>
  </conditionalFormatting>
  <conditionalFormatting sqref="B5:F5">
    <cfRule type="expression" dxfId="12" priority="9" stopIfTrue="1">
      <formula>LEFT($B$5,5)="ERROR"</formula>
    </cfRule>
  </conditionalFormatting>
  <conditionalFormatting sqref="A4 A1">
    <cfRule type="expression" dxfId="11" priority="23" stopIfTrue="1">
      <formula>$G$6="BOCES"</formula>
    </cfRule>
  </conditionalFormatting>
  <conditionalFormatting sqref="D34:F34 D36:F36">
    <cfRule type="expression" dxfId="10" priority="55" stopIfTrue="1">
      <formula>D$33&lt;#REF!</formula>
    </cfRule>
    <cfRule type="expression" dxfId="9" priority="56" stopIfTrue="1">
      <formula>D$33&gt;#REF!</formula>
    </cfRule>
  </conditionalFormatting>
  <printOptions horizontalCentered="1"/>
  <pageMargins left="0.25" right="0.25" top="0.5" bottom="0.51" header="0.25" footer="0.28000000000000003"/>
  <pageSetup orientation="landscape" r:id="rId1"/>
  <headerFooter alignWithMargins="0">
    <oddFooter>&amp;L&amp;8Page &amp;P of &amp;N&amp;C&amp;8&amp;D &amp;T&amp;R&amp;8&amp;A sheet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Q36"/>
  <sheetViews>
    <sheetView zoomScaleNormal="100" workbookViewId="0">
      <pane ySplit="5" topLeftCell="A6" activePane="bottomLeft" state="frozen"/>
      <selection activeCell="C20" sqref="C20:D21"/>
      <selection pane="bottomLeft" activeCell="D9" sqref="D9"/>
    </sheetView>
  </sheetViews>
  <sheetFormatPr defaultColWidth="0" defaultRowHeight="0" customHeight="1" zeroHeight="1"/>
  <cols>
    <col min="1" max="1" width="6.140625" style="35" customWidth="1"/>
    <col min="2" max="2" width="67.28515625" style="35" customWidth="1"/>
    <col min="3" max="3" width="9.140625" style="35" customWidth="1"/>
    <col min="4" max="4" width="16" style="35" customWidth="1"/>
    <col min="5" max="5" width="16" style="35" hidden="1" customWidth="1"/>
    <col min="6" max="6" width="19.42578125" style="35" hidden="1" customWidth="1"/>
    <col min="7" max="251" width="0" style="14" hidden="1" customWidth="1"/>
    <col min="252" max="16384" width="0.140625" style="14" hidden="1"/>
  </cols>
  <sheetData>
    <row r="1" spans="1:12" ht="14.25" customHeight="1">
      <c r="A1" s="64" t="str">
        <f>'1-Cover Page'!$C$24</f>
        <v>14-15v9</v>
      </c>
      <c r="B1" s="83" t="s">
        <v>132</v>
      </c>
      <c r="C1" s="83"/>
      <c r="E1"/>
      <c r="F1"/>
      <c r="G1" s="15"/>
      <c r="H1" s="11"/>
      <c r="I1" s="11"/>
      <c r="J1" s="11"/>
      <c r="K1" s="11"/>
      <c r="L1" s="16"/>
    </row>
    <row r="2" spans="1:12" ht="12.75">
      <c r="B2" s="66" t="str">
        <f>'1-Cover Page'!C5</f>
        <v>Adult Education and Literacy Budget Form</v>
      </c>
      <c r="C2" s="66"/>
      <c r="D2" s="67"/>
      <c r="E2"/>
      <c r="F2"/>
      <c r="G2" s="12"/>
      <c r="H2" s="15"/>
      <c r="I2" s="15"/>
      <c r="J2" s="15"/>
      <c r="K2" s="15"/>
      <c r="L2" s="15"/>
    </row>
    <row r="3" spans="1:12" ht="12.75">
      <c r="A3" s="84"/>
      <c r="B3" s="72"/>
      <c r="C3" s="72"/>
      <c r="D3" s="67"/>
      <c r="E3"/>
      <c r="F3"/>
      <c r="G3" s="15"/>
      <c r="H3" s="15"/>
      <c r="I3" s="15"/>
      <c r="J3" s="15"/>
      <c r="K3" s="15"/>
      <c r="L3" s="15"/>
    </row>
    <row r="4" spans="1:12" ht="13.5" thickBot="1">
      <c r="A4" s="64" t="str">
        <f>'1-Cover Page'!$C$9&amp;"  "&amp;TEXT('1-Cover Page'!$C$11,"mm/dd/yy")</f>
        <v xml:space="preserve">   </v>
      </c>
      <c r="B4" s="85"/>
      <c r="C4" s="85"/>
      <c r="D4" s="67"/>
      <c r="E4"/>
      <c r="F4"/>
      <c r="G4" s="11"/>
      <c r="H4" s="15"/>
      <c r="I4" s="15"/>
      <c r="J4" s="15"/>
      <c r="K4" s="15"/>
      <c r="L4" s="15"/>
    </row>
    <row r="5" spans="1:12" ht="56.25">
      <c r="A5" s="70" t="s">
        <v>19</v>
      </c>
      <c r="B5" s="69" t="str">
        <f>IF(LEFT('5a-Error Checking'!I9,3)&lt;&gt;"not","Description","ERROR!! Check Error Sheet")</f>
        <v>Description</v>
      </c>
      <c r="C5" s="70"/>
      <c r="D5" s="163" t="s">
        <v>97</v>
      </c>
      <c r="E5"/>
      <c r="F5"/>
      <c r="G5" s="11"/>
      <c r="H5" s="11"/>
      <c r="I5" s="11"/>
      <c r="J5" s="11"/>
    </row>
    <row r="6" spans="1:12" ht="14.25" customHeight="1">
      <c r="A6" s="88">
        <v>1</v>
      </c>
      <c r="B6" s="72" t="s">
        <v>70</v>
      </c>
      <c r="C6" s="72"/>
      <c r="D6" s="24">
        <v>0</v>
      </c>
      <c r="E6"/>
      <c r="F6"/>
      <c r="G6" s="11"/>
      <c r="H6" s="11"/>
      <c r="I6" s="11"/>
      <c r="J6" s="11"/>
    </row>
    <row r="7" spans="1:12" s="33" customFormat="1" ht="10.5" customHeight="1">
      <c r="A7" s="34" t="s">
        <v>53</v>
      </c>
      <c r="B7" s="31"/>
      <c r="C7" s="31"/>
      <c r="D7" s="32"/>
      <c r="E7"/>
      <c r="F7"/>
    </row>
    <row r="8" spans="1:12" ht="12.75">
      <c r="A8" s="17" t="s">
        <v>51</v>
      </c>
      <c r="B8" s="18"/>
      <c r="C8" s="18"/>
      <c r="D8" s="19"/>
      <c r="E8"/>
      <c r="F8"/>
      <c r="G8" s="11"/>
      <c r="H8" s="11"/>
      <c r="I8" s="11"/>
      <c r="J8" s="11"/>
    </row>
    <row r="9" spans="1:12" ht="10.5" customHeight="1">
      <c r="A9" s="88">
        <v>2</v>
      </c>
      <c r="B9" s="72" t="s">
        <v>21</v>
      </c>
      <c r="C9" s="138" t="s">
        <v>119</v>
      </c>
      <c r="D9" s="89">
        <f>SUMIFS('3a - Staff Detail'!$O$7:$O$499,'3a - Staff Detail'!L7:L499,"Fe",'3a - Staff Detail'!N7:N499,"ESL")</f>
        <v>0</v>
      </c>
      <c r="E9"/>
      <c r="F9"/>
      <c r="G9" s="11"/>
      <c r="H9" s="11"/>
      <c r="I9" s="11"/>
      <c r="J9" s="11"/>
    </row>
    <row r="10" spans="1:12" ht="10.5" customHeight="1">
      <c r="A10" s="88">
        <v>3</v>
      </c>
      <c r="B10" s="72" t="s">
        <v>24</v>
      </c>
      <c r="C10" s="138" t="s">
        <v>124</v>
      </c>
      <c r="D10" s="89" t="e">
        <f>SUMIFS(#REF!,#REF!,"ESL",#REF!,"Fe",#REF!,$C10)</f>
        <v>#REF!</v>
      </c>
      <c r="E10"/>
      <c r="F10"/>
      <c r="G10" s="11"/>
      <c r="H10" s="11"/>
      <c r="I10" s="11"/>
      <c r="J10" s="11"/>
    </row>
    <row r="11" spans="1:12" ht="10.5" customHeight="1">
      <c r="A11" s="88">
        <v>4</v>
      </c>
      <c r="B11" s="72" t="s">
        <v>26</v>
      </c>
      <c r="C11" s="138" t="s">
        <v>120</v>
      </c>
      <c r="D11" s="89" t="e">
        <f>SUMIFS(#REF!,#REF!,"ESL",#REF!,"Fe",#REF!,$C11)</f>
        <v>#REF!</v>
      </c>
      <c r="E11"/>
      <c r="F11"/>
      <c r="G11" s="11"/>
      <c r="H11" s="11"/>
      <c r="I11" s="11"/>
      <c r="J11" s="11"/>
    </row>
    <row r="12" spans="1:12" ht="10.5" customHeight="1">
      <c r="A12" s="88">
        <v>5</v>
      </c>
      <c r="B12" s="72" t="s">
        <v>25</v>
      </c>
      <c r="C12" s="138" t="s">
        <v>121</v>
      </c>
      <c r="D12" s="89" t="e">
        <f>SUMIFS(#REF!,#REF!,"ESL",#REF!,"Fe",#REF!,$C12)</f>
        <v>#REF!</v>
      </c>
      <c r="E12"/>
      <c r="F12"/>
      <c r="G12" s="11"/>
      <c r="H12" s="11"/>
      <c r="I12" s="11"/>
      <c r="J12" s="11"/>
    </row>
    <row r="13" spans="1:12" ht="10.5" customHeight="1">
      <c r="A13" s="88">
        <v>6</v>
      </c>
      <c r="B13" s="72" t="s">
        <v>22</v>
      </c>
      <c r="C13" s="138" t="s">
        <v>122</v>
      </c>
      <c r="D13" s="89" t="e">
        <f>SUMIFS(#REF!,#REF!,"ESL",#REF!,"Fe",#REF!,$C13)</f>
        <v>#REF!</v>
      </c>
      <c r="E13"/>
      <c r="F13"/>
      <c r="G13" s="11"/>
      <c r="H13" s="11"/>
      <c r="I13" s="11"/>
      <c r="J13" s="11"/>
    </row>
    <row r="14" spans="1:12" ht="10.5" customHeight="1">
      <c r="A14" s="88">
        <v>7</v>
      </c>
      <c r="B14" s="72" t="s">
        <v>54</v>
      </c>
      <c r="C14" s="138" t="s">
        <v>123</v>
      </c>
      <c r="D14" s="89" t="e">
        <f>SUMIFS(#REF!,#REF!,"ESL",#REF!,"Fe",#REF!,$C14)</f>
        <v>#REF!</v>
      </c>
      <c r="E14"/>
      <c r="F14"/>
      <c r="G14" s="11"/>
      <c r="H14" s="11"/>
      <c r="I14" s="11"/>
      <c r="J14" s="11"/>
    </row>
    <row r="15" spans="1:12" ht="10.5" customHeight="1">
      <c r="A15" s="88">
        <v>8</v>
      </c>
      <c r="B15" s="90" t="s">
        <v>102</v>
      </c>
      <c r="C15" s="90"/>
      <c r="D15" s="91" t="e">
        <f>SUM(D9:D14)</f>
        <v>#REF!</v>
      </c>
      <c r="E15"/>
      <c r="F15"/>
      <c r="G15" s="11"/>
      <c r="H15" s="11"/>
      <c r="I15" s="11"/>
      <c r="J15" s="11"/>
    </row>
    <row r="16" spans="1:12" ht="12.75">
      <c r="A16" s="17" t="s">
        <v>52</v>
      </c>
      <c r="B16" s="18"/>
      <c r="C16" s="18"/>
      <c r="D16" s="71"/>
      <c r="E16"/>
      <c r="F16"/>
      <c r="G16" s="11"/>
      <c r="H16" s="11"/>
      <c r="I16" s="11"/>
      <c r="J16" s="11"/>
    </row>
    <row r="17" spans="1:10" ht="10.5" customHeight="1">
      <c r="A17" s="88">
        <v>9</v>
      </c>
      <c r="B17" s="72" t="s">
        <v>21</v>
      </c>
      <c r="C17" s="138" t="s">
        <v>119</v>
      </c>
      <c r="D17" s="89">
        <f>SUMIFS('3a - Staff Detail'!$O$7:$O$499,'3a - Staff Detail'!$L$7:$L$499,"Fe",'3a - Staff Detail'!$N$7:$N$499,"ASE")</f>
        <v>0</v>
      </c>
      <c r="E17"/>
      <c r="F17"/>
      <c r="G17" s="11"/>
      <c r="H17" s="11"/>
      <c r="I17" s="11"/>
      <c r="J17" s="11"/>
    </row>
    <row r="18" spans="1:10" ht="10.5" customHeight="1">
      <c r="A18" s="92">
        <v>10</v>
      </c>
      <c r="B18" s="72" t="s">
        <v>24</v>
      </c>
      <c r="C18" s="138" t="s">
        <v>124</v>
      </c>
      <c r="D18" s="89" t="e">
        <f>SUMIFS(#REF!,#REF!,"ASE",#REF!,"Fe",#REF!,$C18)</f>
        <v>#REF!</v>
      </c>
      <c r="E18"/>
      <c r="F18"/>
      <c r="G18" s="11"/>
      <c r="H18" s="11"/>
      <c r="I18" s="11"/>
      <c r="J18" s="11"/>
    </row>
    <row r="19" spans="1:10" ht="10.5" customHeight="1">
      <c r="A19" s="92">
        <v>11</v>
      </c>
      <c r="B19" s="72" t="s">
        <v>26</v>
      </c>
      <c r="C19" s="138" t="s">
        <v>120</v>
      </c>
      <c r="D19" s="89" t="e">
        <f>SUMIFS(#REF!,#REF!,"ASE",#REF!,"Fe",#REF!,$C19)</f>
        <v>#REF!</v>
      </c>
      <c r="E19"/>
      <c r="F19"/>
      <c r="G19" s="11"/>
      <c r="H19" s="11"/>
      <c r="I19" s="11"/>
      <c r="J19" s="11"/>
    </row>
    <row r="20" spans="1:10" ht="10.5" customHeight="1">
      <c r="A20" s="92">
        <v>12</v>
      </c>
      <c r="B20" s="72" t="s">
        <v>25</v>
      </c>
      <c r="C20" s="138" t="s">
        <v>121</v>
      </c>
      <c r="D20" s="89" t="e">
        <f>SUMIFS(#REF!,#REF!,"ASE",#REF!,"Fe",#REF!,$C20)</f>
        <v>#REF!</v>
      </c>
      <c r="E20"/>
      <c r="F20"/>
      <c r="G20" s="11"/>
      <c r="H20" s="11"/>
      <c r="I20" s="11"/>
      <c r="J20" s="11"/>
    </row>
    <row r="21" spans="1:10" ht="10.5" customHeight="1">
      <c r="A21" s="92">
        <v>13</v>
      </c>
      <c r="B21" s="68" t="s">
        <v>22</v>
      </c>
      <c r="C21" s="138" t="s">
        <v>122</v>
      </c>
      <c r="D21" s="89" t="e">
        <f>SUMIFS(#REF!,#REF!,"ASE",#REF!,"Fe",#REF!,$C21)</f>
        <v>#REF!</v>
      </c>
      <c r="E21"/>
      <c r="F21"/>
      <c r="G21" s="11"/>
      <c r="H21" s="11"/>
      <c r="I21" s="11"/>
      <c r="J21" s="11"/>
    </row>
    <row r="22" spans="1:10" ht="10.5" customHeight="1">
      <c r="A22" s="92">
        <v>14</v>
      </c>
      <c r="B22" s="68" t="s">
        <v>54</v>
      </c>
      <c r="C22" s="138" t="s">
        <v>123</v>
      </c>
      <c r="D22" s="89" t="e">
        <f>SUMIFS(#REF!,#REF!,"ASE",#REF!,"Fe",#REF!,$C22)</f>
        <v>#REF!</v>
      </c>
      <c r="E22"/>
      <c r="F22"/>
      <c r="G22" s="11"/>
      <c r="H22" s="11"/>
      <c r="I22" s="11"/>
      <c r="J22" s="11"/>
    </row>
    <row r="23" spans="1:10" ht="10.5" customHeight="1">
      <c r="A23" s="93">
        <v>15</v>
      </c>
      <c r="B23" s="94" t="s">
        <v>101</v>
      </c>
      <c r="C23" s="94"/>
      <c r="D23" s="91" t="e">
        <f>SUM(D17:D22)</f>
        <v>#REF!</v>
      </c>
      <c r="E23"/>
      <c r="F23"/>
      <c r="G23" s="11"/>
      <c r="H23" s="11"/>
      <c r="I23" s="11"/>
      <c r="J23" s="11"/>
    </row>
    <row r="24" spans="1:10" ht="12.75">
      <c r="A24" s="17" t="s">
        <v>77</v>
      </c>
      <c r="B24" s="18"/>
      <c r="C24" s="18"/>
      <c r="D24" s="71"/>
      <c r="E24"/>
      <c r="F24"/>
      <c r="G24" s="11"/>
      <c r="H24" s="11"/>
      <c r="I24" s="11"/>
      <c r="J24" s="11"/>
    </row>
    <row r="25" spans="1:10" s="35" customFormat="1" ht="10.5" customHeight="1">
      <c r="A25" s="88">
        <v>16</v>
      </c>
      <c r="B25" s="72" t="s">
        <v>21</v>
      </c>
      <c r="C25" s="138" t="s">
        <v>119</v>
      </c>
      <c r="D25" s="89">
        <f>SUMIFS('3a - Staff Detail'!$O$7:$O$499,'3a - Staff Detail'!$L$7:$L$499,"Fe",'3a - Staff Detail'!$N$7:$N$499,"ION")</f>
        <v>0</v>
      </c>
      <c r="E25"/>
      <c r="F25"/>
    </row>
    <row r="26" spans="1:10" s="35" customFormat="1" ht="10.5" customHeight="1">
      <c r="A26" s="88">
        <v>17</v>
      </c>
      <c r="B26" s="72" t="s">
        <v>24</v>
      </c>
      <c r="C26" s="138" t="s">
        <v>124</v>
      </c>
      <c r="D26" s="89" t="e">
        <f>SUMIFS(#REF!,#REF!,"ION",#REF!,"Fe",#REF!,$C26)</f>
        <v>#REF!</v>
      </c>
      <c r="E26"/>
      <c r="F26"/>
    </row>
    <row r="27" spans="1:10" s="35" customFormat="1" ht="10.5" customHeight="1">
      <c r="A27" s="88">
        <v>18</v>
      </c>
      <c r="B27" s="72" t="s">
        <v>26</v>
      </c>
      <c r="C27" s="138" t="s">
        <v>120</v>
      </c>
      <c r="D27" s="89" t="e">
        <f>SUMIFS(#REF!,#REF!,"ION",#REF!,"Fe",#REF!,$C27)</f>
        <v>#REF!</v>
      </c>
      <c r="E27"/>
      <c r="F27"/>
    </row>
    <row r="28" spans="1:10" s="35" customFormat="1" ht="10.5" customHeight="1">
      <c r="A28" s="88">
        <v>19</v>
      </c>
      <c r="B28" s="72" t="s">
        <v>25</v>
      </c>
      <c r="C28" s="138" t="s">
        <v>121</v>
      </c>
      <c r="D28" s="89" t="e">
        <f>SUMIFS(#REF!,#REF!,"ION",#REF!,"Fe",#REF!,$C28)</f>
        <v>#REF!</v>
      </c>
      <c r="E28"/>
      <c r="F28"/>
    </row>
    <row r="29" spans="1:10" s="35" customFormat="1" ht="10.5" customHeight="1">
      <c r="A29" s="88">
        <v>20</v>
      </c>
      <c r="B29" s="72" t="s">
        <v>22</v>
      </c>
      <c r="C29" s="138" t="s">
        <v>122</v>
      </c>
      <c r="D29" s="89" t="e">
        <f>SUMIFS(#REF!,#REF!,"ION",#REF!,"Fe",#REF!,$C29)</f>
        <v>#REF!</v>
      </c>
      <c r="E29"/>
      <c r="F29"/>
    </row>
    <row r="30" spans="1:10" s="35" customFormat="1" ht="10.5" customHeight="1">
      <c r="A30" s="88">
        <v>21</v>
      </c>
      <c r="B30" s="72" t="s">
        <v>54</v>
      </c>
      <c r="C30" s="138" t="s">
        <v>123</v>
      </c>
      <c r="D30" s="89" t="e">
        <f>SUMIFS(#REF!,#REF!,"ION",#REF!,"Fe",#REF!,$C30)</f>
        <v>#REF!</v>
      </c>
      <c r="E30"/>
      <c r="F30"/>
    </row>
    <row r="31" spans="1:10" s="35" customFormat="1" ht="10.5" customHeight="1">
      <c r="A31" s="88">
        <v>22</v>
      </c>
      <c r="B31" s="90" t="s">
        <v>100</v>
      </c>
      <c r="C31" s="90"/>
      <c r="D31" s="91" t="e">
        <f>SUM(D25:D30)</f>
        <v>#REF!</v>
      </c>
      <c r="E31"/>
      <c r="F31"/>
    </row>
    <row r="32" spans="1:10" ht="8.25" customHeight="1">
      <c r="A32" s="20"/>
      <c r="B32" s="21"/>
      <c r="C32" s="21"/>
      <c r="D32" s="22"/>
      <c r="E32"/>
      <c r="F32"/>
      <c r="G32" s="11"/>
      <c r="H32" s="11"/>
      <c r="I32" s="11"/>
      <c r="J32" s="11"/>
    </row>
    <row r="33" spans="1:10" ht="10.5" customHeight="1">
      <c r="A33" s="88">
        <v>23</v>
      </c>
      <c r="B33" s="90" t="s">
        <v>82</v>
      </c>
      <c r="C33" s="90"/>
      <c r="D33" s="91" t="e">
        <f>SUM(D15+D23+D31)</f>
        <v>#REF!</v>
      </c>
      <c r="E33"/>
      <c r="F33"/>
      <c r="G33" s="11"/>
      <c r="H33" s="11"/>
      <c r="I33" s="11"/>
      <c r="J33" s="11"/>
    </row>
    <row r="34" spans="1:10" s="23" customFormat="1" ht="9" customHeight="1">
      <c r="A34" s="95"/>
      <c r="B34" s="40"/>
      <c r="C34" s="40"/>
      <c r="D34" s="96"/>
      <c r="E34"/>
      <c r="F34"/>
      <c r="G34" s="13"/>
      <c r="H34" s="13"/>
      <c r="I34" s="13"/>
      <c r="J34" s="13"/>
    </row>
    <row r="35" spans="1:10" ht="10.5" customHeight="1">
      <c r="A35" s="88">
        <v>1</v>
      </c>
      <c r="B35" s="90" t="s">
        <v>15</v>
      </c>
      <c r="C35" s="90"/>
      <c r="D35" s="91">
        <f>D6</f>
        <v>0</v>
      </c>
      <c r="E35"/>
      <c r="F35"/>
      <c r="G35" s="11"/>
      <c r="H35" s="11"/>
      <c r="I35" s="11"/>
      <c r="J35" s="11"/>
    </row>
    <row r="36" spans="1:10" s="23" customFormat="1" ht="7.5" customHeight="1">
      <c r="A36" s="95"/>
      <c r="B36" s="40"/>
      <c r="C36" s="40"/>
      <c r="D36" s="96"/>
      <c r="E36"/>
      <c r="F36"/>
      <c r="G36" s="13"/>
      <c r="H36" s="13"/>
      <c r="I36" s="13"/>
      <c r="J36" s="13"/>
    </row>
  </sheetData>
  <conditionalFormatting sqref="B6:C6">
    <cfRule type="expression" dxfId="8" priority="1" stopIfTrue="1">
      <formula>LEFT($B$6,3)="All"</formula>
    </cfRule>
  </conditionalFormatting>
  <conditionalFormatting sqref="B5:C5">
    <cfRule type="expression" dxfId="7" priority="2" stopIfTrue="1">
      <formula>LEFT($B$5,5)="ERROR"</formula>
    </cfRule>
  </conditionalFormatting>
  <conditionalFormatting sqref="A4 A1">
    <cfRule type="expression" dxfId="6" priority="3" stopIfTrue="1">
      <formula>$G$6="BOCES"</formula>
    </cfRule>
  </conditionalFormatting>
  <conditionalFormatting sqref="D34 D36">
    <cfRule type="expression" dxfId="5" priority="4" stopIfTrue="1">
      <formula>D$33&lt;#REF!</formula>
    </cfRule>
    <cfRule type="expression" dxfId="4" priority="5" stopIfTrue="1">
      <formula>D$33&gt;#REF!</formula>
    </cfRule>
  </conditionalFormatting>
  <printOptions horizontalCentered="1"/>
  <pageMargins left="0.25" right="0.25" top="0.5" bottom="0.51" header="0.25" footer="0.28000000000000003"/>
  <pageSetup orientation="landscape" r:id="rId1"/>
  <headerFooter alignWithMargins="0">
    <oddFooter>&amp;L&amp;8Page &amp;P of &amp;N&amp;C&amp;8&amp;D &amp;T&amp;R&amp;8&amp;A sheet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6" tint="0.39997558519241921"/>
    <pageSetUpPr fitToPage="1"/>
  </sheetPr>
  <dimension ref="A1:K16"/>
  <sheetViews>
    <sheetView showGridLines="0" zoomScaleNormal="100" workbookViewId="0">
      <selection activeCell="B3" sqref="B3"/>
    </sheetView>
  </sheetViews>
  <sheetFormatPr defaultColWidth="0" defaultRowHeight="12.75" zeroHeight="1"/>
  <cols>
    <col min="1" max="1" width="3.85546875" style="97" customWidth="1"/>
    <col min="2" max="2" width="11.5703125" style="97" customWidth="1"/>
    <col min="3" max="3" width="2.140625" style="97" customWidth="1"/>
    <col min="4" max="4" width="28" style="97" customWidth="1"/>
    <col min="5" max="5" width="17.42578125" style="98" customWidth="1"/>
    <col min="6" max="6" width="7.85546875" style="98" customWidth="1"/>
    <col min="7" max="8" width="18.42578125" style="97" customWidth="1"/>
    <col min="9" max="9" width="16.5703125" style="97" customWidth="1"/>
    <col min="10" max="10" width="6.28515625" style="97" customWidth="1"/>
    <col min="11" max="11" width="6.28515625" style="97" hidden="1" customWidth="1"/>
    <col min="12" max="16384" width="9.140625" style="97" hidden="1"/>
  </cols>
  <sheetData>
    <row r="1" spans="1:9">
      <c r="A1" s="105"/>
      <c r="B1" s="105"/>
      <c r="C1" s="105"/>
      <c r="D1" s="193" t="str">
        <f>IF(OR(I9&lt;&gt;"equal"),"ERROR!","")</f>
        <v/>
      </c>
      <c r="E1" s="105"/>
      <c r="F1" s="105" t="s">
        <v>106</v>
      </c>
      <c r="G1" s="105"/>
      <c r="H1" s="105"/>
      <c r="I1" s="194" t="str">
        <f>'1-Cover Page'!$C$9&amp;"  "&amp;TEXT('1-Cover Page'!$C$11,"mm/dd/yy")</f>
        <v xml:space="preserve">   </v>
      </c>
    </row>
    <row r="2" spans="1:9" ht="14.25" customHeight="1">
      <c r="A2" s="105"/>
      <c r="B2" s="105"/>
      <c r="C2" s="105"/>
      <c r="D2" s="195"/>
      <c r="E2" s="105"/>
      <c r="F2" s="195" t="str">
        <f>'1-Cover Page'!C5</f>
        <v>Adult Education and Literacy Budget Form</v>
      </c>
      <c r="G2" s="105"/>
      <c r="H2" s="105"/>
      <c r="I2" s="195"/>
    </row>
    <row r="3" spans="1:9" ht="14.25" customHeight="1">
      <c r="A3" s="105"/>
      <c r="B3" s="285">
        <f>'1-Cover Page'!$C$6</f>
        <v>0</v>
      </c>
      <c r="C3" s="105"/>
      <c r="D3" s="195"/>
      <c r="E3" s="105"/>
      <c r="F3" s="195"/>
      <c r="G3" s="105"/>
      <c r="H3" s="105"/>
      <c r="I3" s="195"/>
    </row>
    <row r="4" spans="1:9" ht="14.25" customHeight="1">
      <c r="A4" s="105"/>
      <c r="B4" s="194" t="str">
        <f>'1-Cover Page'!$C$24</f>
        <v>14-15v9</v>
      </c>
      <c r="C4" s="105"/>
      <c r="D4" s="195"/>
      <c r="E4" s="105"/>
      <c r="F4" s="195"/>
      <c r="G4" s="105"/>
      <c r="H4" s="105"/>
      <c r="I4" s="195"/>
    </row>
    <row r="5" spans="1:9" ht="13.5" thickBot="1">
      <c r="A5" s="105"/>
      <c r="B5" s="105"/>
      <c r="C5" s="105"/>
      <c r="D5" s="105"/>
      <c r="E5" s="105"/>
      <c r="F5" s="105"/>
      <c r="G5" s="105"/>
      <c r="H5" s="105"/>
      <c r="I5" s="105"/>
    </row>
    <row r="6" spans="1:9" s="105" customFormat="1" ht="46.5" customHeight="1" thickTop="1">
      <c r="B6" s="99"/>
      <c r="C6" s="100"/>
      <c r="D6" s="324" t="s">
        <v>107</v>
      </c>
      <c r="E6" s="325"/>
      <c r="F6" s="101"/>
      <c r="G6" s="102" t="s">
        <v>108</v>
      </c>
      <c r="H6" s="103"/>
      <c r="I6" s="104" t="s">
        <v>9</v>
      </c>
    </row>
    <row r="7" spans="1:9" ht="14.25" customHeight="1">
      <c r="A7" s="105"/>
      <c r="B7" s="196"/>
      <c r="C7" s="197"/>
      <c r="D7" s="197"/>
      <c r="E7" s="198"/>
      <c r="F7" s="199"/>
      <c r="G7" s="199"/>
      <c r="H7" s="198"/>
      <c r="I7" s="200"/>
    </row>
    <row r="8" spans="1:9" s="106" customFormat="1" ht="14.25" customHeight="1">
      <c r="A8" s="197"/>
      <c r="B8" s="196"/>
      <c r="C8" s="197"/>
      <c r="D8" s="197"/>
      <c r="E8" s="201"/>
      <c r="F8" s="202"/>
      <c r="G8" s="201"/>
      <c r="H8" s="197"/>
      <c r="I8" s="200"/>
    </row>
    <row r="9" spans="1:9" ht="14.25" customHeight="1" thickBot="1">
      <c r="A9" s="105"/>
      <c r="B9" s="203"/>
      <c r="C9" s="204" t="s">
        <v>20</v>
      </c>
      <c r="D9" s="205"/>
      <c r="E9" s="206">
        <f>+'2a - Budget Detail'!E7+'3a - Staff Detail'!H6</f>
        <v>0</v>
      </c>
      <c r="F9" s="207" t="str">
        <f>IF(E9=G9,"=","")</f>
        <v>=</v>
      </c>
      <c r="G9" s="206">
        <f>'4a - Budget Summary'!D33+'4a - Budget Summary'!E33+'4a - Budget Summary'!F33</f>
        <v>0</v>
      </c>
      <c r="H9" s="208"/>
      <c r="I9" s="209" t="str">
        <f>IF(E9=G9,"equal","not equal!")</f>
        <v>equal</v>
      </c>
    </row>
    <row r="10" spans="1:9" ht="13.5" thickTop="1">
      <c r="A10" s="105"/>
      <c r="B10" s="105"/>
      <c r="C10" s="105"/>
      <c r="D10" s="105"/>
      <c r="E10" s="105"/>
      <c r="F10" s="105"/>
      <c r="G10" s="105"/>
      <c r="H10" s="105"/>
      <c r="I10" s="105"/>
    </row>
    <row r="11" spans="1:9">
      <c r="A11" s="105"/>
      <c r="B11" s="105"/>
      <c r="C11" s="105"/>
      <c r="D11" s="105"/>
      <c r="E11" s="105"/>
      <c r="F11" s="105"/>
      <c r="G11" s="105"/>
      <c r="H11" s="105"/>
      <c r="I11" s="105"/>
    </row>
    <row r="12" spans="1:9">
      <c r="A12" s="105"/>
      <c r="B12" s="105"/>
      <c r="C12" s="105"/>
      <c r="E12" s="105" t="s">
        <v>18</v>
      </c>
      <c r="F12" s="105"/>
      <c r="G12" s="105"/>
      <c r="H12" s="105"/>
      <c r="I12" s="105"/>
    </row>
    <row r="13" spans="1:9">
      <c r="A13" s="105"/>
      <c r="B13" s="105"/>
      <c r="C13" s="105"/>
      <c r="E13" s="105" t="s">
        <v>36</v>
      </c>
      <c r="F13" s="105"/>
      <c r="G13" s="105"/>
      <c r="H13" s="105"/>
      <c r="I13" s="105"/>
    </row>
    <row r="14" spans="1:9"/>
    <row r="15" spans="1:9"/>
    <row r="16" spans="1:9"/>
  </sheetData>
  <sheetProtection password="EF32" sheet="1" objects="1" scenarios="1"/>
  <mergeCells count="1">
    <mergeCell ref="D6:E6"/>
  </mergeCells>
  <phoneticPr fontId="0" type="noConversion"/>
  <conditionalFormatting sqref="I9">
    <cfRule type="expression" dxfId="3" priority="1" stopIfTrue="1">
      <formula>LEFT(I9,3)="not"</formula>
    </cfRule>
  </conditionalFormatting>
  <conditionalFormatting sqref="B1:I4">
    <cfRule type="expression" dxfId="2" priority="2" stopIfTrue="1">
      <formula>$D$1="ERROR!"</formula>
    </cfRule>
  </conditionalFormatting>
  <conditionalFormatting sqref="G9 E9">
    <cfRule type="expression" dxfId="1" priority="3" stopIfTrue="1">
      <formula>LEFT($I$9,3)="not"</formula>
    </cfRule>
  </conditionalFormatting>
  <printOptions horizontalCentered="1"/>
  <pageMargins left="0.25" right="0.25" top="0.5" bottom="0.51" header="0.25" footer="0.28000000000000003"/>
  <pageSetup orientation="landscape" r:id="rId1"/>
  <headerFooter alignWithMargins="0">
    <oddFooter>&amp;L&amp;8Page &amp;P of &amp;N&amp;C&amp;8&amp;D &amp;T&amp;R&amp;8&amp;A sheet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6" tint="0.39997558519241921"/>
  </sheetPr>
  <dimension ref="A1:AF225"/>
  <sheetViews>
    <sheetView zoomScaleNormal="100" workbookViewId="0">
      <pane ySplit="6" topLeftCell="A7" activePane="bottomLeft" state="frozen"/>
      <selection pane="bottomLeft" activeCell="B2" sqref="B2"/>
    </sheetView>
  </sheetViews>
  <sheetFormatPr defaultColWidth="0" defaultRowHeight="12.75" zeroHeight="1"/>
  <cols>
    <col min="1" max="1" width="10" style="25" customWidth="1"/>
    <col min="2" max="2" width="103.85546875" style="27" customWidth="1"/>
    <col min="3" max="3" width="21.7109375" style="26" customWidth="1"/>
    <col min="4" max="32" width="0" style="119" hidden="1" customWidth="1"/>
    <col min="33" max="16384" width="9.140625" style="26" hidden="1"/>
  </cols>
  <sheetData>
    <row r="1" spans="1:3">
      <c r="A1" s="242"/>
      <c r="B1" s="243"/>
      <c r="C1" s="244"/>
    </row>
    <row r="2" spans="1:3">
      <c r="A2" s="245"/>
      <c r="B2" s="241" t="str">
        <f>'1-Cover Page'!C5</f>
        <v>Adult Education and Literacy Budget Form</v>
      </c>
      <c r="C2" s="246"/>
    </row>
    <row r="3" spans="1:3">
      <c r="A3" s="247"/>
      <c r="B3" s="248"/>
      <c r="C3" s="246"/>
    </row>
    <row r="4" spans="1:3">
      <c r="A4" s="249">
        <f>'1-Cover Page'!$C$6</f>
        <v>0</v>
      </c>
      <c r="B4" s="248"/>
      <c r="C4" s="246"/>
    </row>
    <row r="5" spans="1:3">
      <c r="A5" s="286" t="str">
        <f>'1-Cover Page'!$B$4</f>
        <v>14-15v9</v>
      </c>
      <c r="B5" s="248"/>
      <c r="C5" s="246"/>
    </row>
    <row r="6" spans="1:3" ht="13.5" thickBot="1">
      <c r="A6" s="250" t="s">
        <v>39</v>
      </c>
      <c r="B6" s="251" t="s">
        <v>40</v>
      </c>
      <c r="C6" s="252" t="s">
        <v>79</v>
      </c>
    </row>
    <row r="7" spans="1:3">
      <c r="A7" s="191" t="s">
        <v>41</v>
      </c>
      <c r="B7" s="192" t="s">
        <v>41</v>
      </c>
      <c r="C7" s="238"/>
    </row>
    <row r="8" spans="1:3">
      <c r="A8" s="191"/>
      <c r="B8" s="192"/>
      <c r="C8" s="238"/>
    </row>
    <row r="9" spans="1:3">
      <c r="A9" s="191"/>
      <c r="B9" s="192"/>
      <c r="C9" s="238"/>
    </row>
    <row r="10" spans="1:3" ht="13.5" customHeight="1">
      <c r="A10" s="191"/>
      <c r="B10" s="192"/>
      <c r="C10" s="238"/>
    </row>
    <row r="11" spans="1:3">
      <c r="A11" s="191"/>
      <c r="B11" s="192"/>
      <c r="C11" s="238"/>
    </row>
    <row r="12" spans="1:3">
      <c r="A12" s="191"/>
      <c r="B12" s="192"/>
      <c r="C12" s="238"/>
    </row>
    <row r="13" spans="1:3">
      <c r="A13" s="191"/>
      <c r="B13" s="192"/>
      <c r="C13" s="238"/>
    </row>
    <row r="14" spans="1:3">
      <c r="A14" s="191"/>
      <c r="B14" s="192"/>
      <c r="C14" s="238"/>
    </row>
    <row r="15" spans="1:3">
      <c r="A15" s="191"/>
      <c r="B15" s="192"/>
      <c r="C15" s="238"/>
    </row>
    <row r="16" spans="1:3">
      <c r="A16" s="191"/>
      <c r="B16" s="192"/>
      <c r="C16" s="238"/>
    </row>
    <row r="17" spans="1:3">
      <c r="A17" s="191"/>
      <c r="B17" s="192"/>
      <c r="C17" s="238"/>
    </row>
    <row r="18" spans="1:3">
      <c r="A18" s="191"/>
      <c r="B18" s="192"/>
      <c r="C18" s="238"/>
    </row>
    <row r="19" spans="1:3">
      <c r="A19" s="191"/>
      <c r="B19" s="192"/>
      <c r="C19" s="238"/>
    </row>
    <row r="20" spans="1:3">
      <c r="A20" s="191"/>
      <c r="B20" s="192"/>
      <c r="C20" s="238"/>
    </row>
    <row r="21" spans="1:3">
      <c r="A21" s="191"/>
      <c r="B21" s="192"/>
      <c r="C21" s="238"/>
    </row>
    <row r="22" spans="1:3">
      <c r="A22" s="191"/>
      <c r="B22" s="192"/>
      <c r="C22" s="238"/>
    </row>
    <row r="23" spans="1:3">
      <c r="A23" s="191"/>
      <c r="B23" s="192"/>
      <c r="C23" s="238"/>
    </row>
    <row r="24" spans="1:3">
      <c r="A24" s="191"/>
      <c r="B24" s="192"/>
      <c r="C24" s="238"/>
    </row>
    <row r="25" spans="1:3">
      <c r="A25" s="191"/>
      <c r="B25" s="192"/>
      <c r="C25" s="238"/>
    </row>
    <row r="26" spans="1:3">
      <c r="A26" s="191"/>
      <c r="B26" s="192"/>
      <c r="C26" s="238"/>
    </row>
    <row r="27" spans="1:3">
      <c r="A27" s="191"/>
      <c r="B27" s="192"/>
      <c r="C27" s="238"/>
    </row>
    <row r="28" spans="1:3">
      <c r="A28" s="191"/>
      <c r="B28" s="192"/>
      <c r="C28" s="238"/>
    </row>
    <row r="29" spans="1:3">
      <c r="A29" s="191"/>
      <c r="B29" s="192"/>
      <c r="C29" s="238"/>
    </row>
    <row r="30" spans="1:3">
      <c r="A30" s="191"/>
      <c r="B30" s="192"/>
      <c r="C30" s="238"/>
    </row>
    <row r="31" spans="1:3">
      <c r="A31" s="191"/>
      <c r="B31" s="192"/>
      <c r="C31" s="238"/>
    </row>
    <row r="32" spans="1:3">
      <c r="A32" s="191"/>
      <c r="B32" s="192"/>
      <c r="C32" s="238"/>
    </row>
    <row r="33" spans="1:3">
      <c r="A33" s="191"/>
      <c r="B33" s="192"/>
      <c r="C33" s="238"/>
    </row>
    <row r="34" spans="1:3">
      <c r="A34" s="191"/>
      <c r="B34" s="192"/>
      <c r="C34" s="238"/>
    </row>
    <row r="35" spans="1:3">
      <c r="A35" s="191"/>
      <c r="B35" s="192"/>
      <c r="C35" s="238"/>
    </row>
    <row r="36" spans="1:3">
      <c r="A36" s="191"/>
      <c r="B36" s="192"/>
      <c r="C36" s="238"/>
    </row>
    <row r="37" spans="1:3">
      <c r="A37" s="191"/>
      <c r="B37" s="192"/>
      <c r="C37" s="238"/>
    </row>
    <row r="38" spans="1:3">
      <c r="A38" s="191"/>
      <c r="B38" s="192"/>
      <c r="C38" s="238"/>
    </row>
    <row r="39" spans="1:3">
      <c r="A39" s="191"/>
      <c r="B39" s="192"/>
      <c r="C39" s="238"/>
    </row>
    <row r="40" spans="1:3">
      <c r="A40" s="191"/>
      <c r="B40" s="192"/>
      <c r="C40" s="238"/>
    </row>
    <row r="41" spans="1:3">
      <c r="A41" s="191"/>
      <c r="B41" s="192"/>
      <c r="C41" s="238"/>
    </row>
    <row r="42" spans="1:3">
      <c r="A42" s="191"/>
      <c r="B42" s="192"/>
      <c r="C42" s="238"/>
    </row>
    <row r="43" spans="1:3">
      <c r="A43" s="191"/>
      <c r="B43" s="192"/>
      <c r="C43" s="238"/>
    </row>
    <row r="44" spans="1:3" s="119" customFormat="1" hidden="1">
      <c r="A44" s="120"/>
      <c r="B44" s="121"/>
    </row>
    <row r="45" spans="1:3" s="119" customFormat="1" hidden="1">
      <c r="A45" s="120"/>
      <c r="B45" s="121"/>
    </row>
    <row r="46" spans="1:3" s="119" customFormat="1" hidden="1">
      <c r="A46" s="120"/>
      <c r="B46" s="121"/>
    </row>
    <row r="47" spans="1:3" s="119" customFormat="1" hidden="1">
      <c r="A47" s="120"/>
      <c r="B47" s="121"/>
    </row>
    <row r="48" spans="1:3" s="119" customFormat="1" hidden="1">
      <c r="A48" s="120"/>
      <c r="B48" s="121"/>
    </row>
    <row r="49" spans="1:2" s="119" customFormat="1" hidden="1">
      <c r="A49" s="120"/>
      <c r="B49" s="121"/>
    </row>
    <row r="50" spans="1:2" s="119" customFormat="1" hidden="1">
      <c r="A50" s="120"/>
      <c r="B50" s="121"/>
    </row>
    <row r="51" spans="1:2" s="119" customFormat="1" hidden="1">
      <c r="A51" s="120"/>
      <c r="B51" s="121"/>
    </row>
    <row r="52" spans="1:2" s="119" customFormat="1" hidden="1">
      <c r="A52" s="120"/>
      <c r="B52" s="121"/>
    </row>
    <row r="53" spans="1:2" s="119" customFormat="1" hidden="1">
      <c r="A53" s="120"/>
      <c r="B53" s="121"/>
    </row>
    <row r="54" spans="1:2" s="119" customFormat="1" hidden="1">
      <c r="A54" s="120"/>
      <c r="B54" s="121"/>
    </row>
    <row r="55" spans="1:2" s="119" customFormat="1" hidden="1">
      <c r="A55" s="120"/>
      <c r="B55" s="121"/>
    </row>
    <row r="56" spans="1:2" s="119" customFormat="1" hidden="1">
      <c r="A56" s="120"/>
      <c r="B56" s="121"/>
    </row>
    <row r="57" spans="1:2" s="119" customFormat="1" hidden="1">
      <c r="A57" s="120"/>
      <c r="B57" s="121"/>
    </row>
    <row r="58" spans="1:2" s="119" customFormat="1" hidden="1">
      <c r="A58" s="120"/>
      <c r="B58" s="121"/>
    </row>
    <row r="59" spans="1:2" s="119" customFormat="1" hidden="1">
      <c r="A59" s="120"/>
      <c r="B59" s="121"/>
    </row>
    <row r="60" spans="1:2" s="119" customFormat="1" hidden="1">
      <c r="A60" s="120"/>
      <c r="B60" s="121"/>
    </row>
    <row r="61" spans="1:2" s="119" customFormat="1" hidden="1">
      <c r="A61" s="120"/>
      <c r="B61" s="121"/>
    </row>
    <row r="62" spans="1:2" s="119" customFormat="1" hidden="1">
      <c r="A62" s="120"/>
      <c r="B62" s="121"/>
    </row>
    <row r="63" spans="1:2" s="119" customFormat="1" hidden="1">
      <c r="A63" s="120"/>
      <c r="B63" s="121"/>
    </row>
    <row r="64" spans="1:2" s="119" customFormat="1" hidden="1">
      <c r="A64" s="120"/>
      <c r="B64" s="121"/>
    </row>
    <row r="65" spans="1:2" s="119" customFormat="1" hidden="1">
      <c r="A65" s="120"/>
      <c r="B65" s="121"/>
    </row>
    <row r="66" spans="1:2" s="119" customFormat="1" hidden="1">
      <c r="A66" s="120"/>
      <c r="B66" s="121"/>
    </row>
    <row r="67" spans="1:2" s="119" customFormat="1" hidden="1">
      <c r="A67" s="120"/>
      <c r="B67" s="121"/>
    </row>
    <row r="68" spans="1:2" s="119" customFormat="1" hidden="1">
      <c r="A68" s="120"/>
      <c r="B68" s="121"/>
    </row>
    <row r="69" spans="1:2" s="119" customFormat="1" hidden="1">
      <c r="A69" s="120"/>
      <c r="B69" s="121"/>
    </row>
    <row r="70" spans="1:2" s="119" customFormat="1" hidden="1">
      <c r="A70" s="120"/>
      <c r="B70" s="121"/>
    </row>
    <row r="71" spans="1:2" s="119" customFormat="1" hidden="1">
      <c r="A71" s="120"/>
      <c r="B71" s="121"/>
    </row>
    <row r="72" spans="1:2" s="119" customFormat="1" hidden="1">
      <c r="A72" s="120"/>
      <c r="B72" s="121"/>
    </row>
    <row r="73" spans="1:2" s="119" customFormat="1" hidden="1">
      <c r="A73" s="120"/>
      <c r="B73" s="121"/>
    </row>
    <row r="74" spans="1:2" s="119" customFormat="1" hidden="1">
      <c r="A74" s="120"/>
      <c r="B74" s="121"/>
    </row>
    <row r="75" spans="1:2" s="119" customFormat="1" hidden="1">
      <c r="A75" s="120"/>
      <c r="B75" s="121"/>
    </row>
    <row r="76" spans="1:2" s="119" customFormat="1" hidden="1">
      <c r="A76" s="120"/>
      <c r="B76" s="121"/>
    </row>
    <row r="77" spans="1:2" s="119" customFormat="1" hidden="1">
      <c r="A77" s="120"/>
      <c r="B77" s="121"/>
    </row>
    <row r="78" spans="1:2" s="119" customFormat="1" hidden="1">
      <c r="A78" s="120"/>
      <c r="B78" s="121"/>
    </row>
    <row r="79" spans="1:2" s="119" customFormat="1" hidden="1">
      <c r="A79" s="120"/>
      <c r="B79" s="121"/>
    </row>
    <row r="80" spans="1:2" s="119" customFormat="1" hidden="1">
      <c r="A80" s="120"/>
      <c r="B80" s="121"/>
    </row>
    <row r="81" spans="1:2" s="119" customFormat="1" hidden="1">
      <c r="A81" s="120"/>
      <c r="B81" s="121"/>
    </row>
    <row r="82" spans="1:2" s="119" customFormat="1" hidden="1">
      <c r="A82" s="120"/>
      <c r="B82" s="121"/>
    </row>
    <row r="83" spans="1:2" s="119" customFormat="1" hidden="1">
      <c r="A83" s="120"/>
      <c r="B83" s="121"/>
    </row>
    <row r="84" spans="1:2" s="119" customFormat="1" hidden="1">
      <c r="A84" s="120"/>
      <c r="B84" s="121"/>
    </row>
    <row r="85" spans="1:2" s="119" customFormat="1" hidden="1">
      <c r="A85" s="120"/>
      <c r="B85" s="121"/>
    </row>
    <row r="86" spans="1:2" s="119" customFormat="1" hidden="1">
      <c r="A86" s="120"/>
      <c r="B86" s="121"/>
    </row>
    <row r="87" spans="1:2" s="119" customFormat="1" hidden="1">
      <c r="A87" s="120"/>
      <c r="B87" s="121"/>
    </row>
    <row r="88" spans="1:2" s="119" customFormat="1" hidden="1">
      <c r="A88" s="120"/>
      <c r="B88" s="121"/>
    </row>
    <row r="89" spans="1:2" s="119" customFormat="1" hidden="1">
      <c r="A89" s="120"/>
      <c r="B89" s="121"/>
    </row>
    <row r="90" spans="1:2" s="119" customFormat="1" hidden="1">
      <c r="A90" s="120"/>
      <c r="B90" s="121"/>
    </row>
    <row r="91" spans="1:2" s="119" customFormat="1" hidden="1">
      <c r="A91" s="120"/>
      <c r="B91" s="121"/>
    </row>
    <row r="92" spans="1:2" s="119" customFormat="1" hidden="1">
      <c r="A92" s="120"/>
      <c r="B92" s="121"/>
    </row>
    <row r="93" spans="1:2" s="119" customFormat="1" hidden="1">
      <c r="A93" s="120"/>
      <c r="B93" s="121"/>
    </row>
    <row r="94" spans="1:2" s="119" customFormat="1" hidden="1">
      <c r="A94" s="120"/>
      <c r="B94" s="121"/>
    </row>
    <row r="95" spans="1:2" s="119" customFormat="1" hidden="1">
      <c r="A95" s="120"/>
      <c r="B95" s="121"/>
    </row>
    <row r="96" spans="1:2" s="119" customFormat="1" hidden="1">
      <c r="A96" s="120"/>
      <c r="B96" s="121"/>
    </row>
    <row r="97" spans="1:2" s="119" customFormat="1" hidden="1">
      <c r="A97" s="120"/>
      <c r="B97" s="121"/>
    </row>
    <row r="98" spans="1:2" s="119" customFormat="1" hidden="1">
      <c r="A98" s="120"/>
      <c r="B98" s="121"/>
    </row>
    <row r="99" spans="1:2" s="119" customFormat="1" hidden="1">
      <c r="A99" s="120"/>
      <c r="B99" s="121"/>
    </row>
    <row r="100" spans="1:2" s="119" customFormat="1" hidden="1">
      <c r="A100" s="120"/>
      <c r="B100" s="121"/>
    </row>
    <row r="101" spans="1:2" s="119" customFormat="1" hidden="1">
      <c r="A101" s="120"/>
      <c r="B101" s="121"/>
    </row>
    <row r="102" spans="1:2" s="119" customFormat="1" hidden="1">
      <c r="A102" s="120"/>
      <c r="B102" s="121"/>
    </row>
    <row r="103" spans="1:2" s="119" customFormat="1" hidden="1">
      <c r="A103" s="120"/>
      <c r="B103" s="121"/>
    </row>
    <row r="104" spans="1:2" s="119" customFormat="1" hidden="1">
      <c r="A104" s="120"/>
      <c r="B104" s="121"/>
    </row>
    <row r="105" spans="1:2" s="119" customFormat="1" hidden="1">
      <c r="A105" s="120"/>
      <c r="B105" s="121"/>
    </row>
    <row r="106" spans="1:2" s="119" customFormat="1" hidden="1">
      <c r="A106" s="120"/>
      <c r="B106" s="121"/>
    </row>
    <row r="107" spans="1:2" s="119" customFormat="1" hidden="1">
      <c r="A107" s="120"/>
      <c r="B107" s="121"/>
    </row>
    <row r="108" spans="1:2" s="119" customFormat="1" hidden="1">
      <c r="A108" s="120"/>
      <c r="B108" s="121"/>
    </row>
    <row r="109" spans="1:2" s="119" customFormat="1" hidden="1">
      <c r="A109" s="120"/>
      <c r="B109" s="121"/>
    </row>
    <row r="110" spans="1:2" s="119" customFormat="1" hidden="1">
      <c r="A110" s="120"/>
      <c r="B110" s="121"/>
    </row>
    <row r="111" spans="1:2" s="119" customFormat="1" hidden="1">
      <c r="A111" s="120"/>
      <c r="B111" s="121"/>
    </row>
    <row r="112" spans="1:2" s="119" customFormat="1" hidden="1">
      <c r="A112" s="120"/>
      <c r="B112" s="121"/>
    </row>
    <row r="113" spans="1:2" s="119" customFormat="1" hidden="1">
      <c r="A113" s="120"/>
      <c r="B113" s="121"/>
    </row>
    <row r="114" spans="1:2" s="119" customFormat="1" hidden="1">
      <c r="A114" s="120"/>
      <c r="B114" s="121"/>
    </row>
    <row r="115" spans="1:2" s="119" customFormat="1" hidden="1">
      <c r="A115" s="120"/>
      <c r="B115" s="121"/>
    </row>
    <row r="116" spans="1:2" s="119" customFormat="1" hidden="1">
      <c r="A116" s="120"/>
      <c r="B116" s="121"/>
    </row>
    <row r="117" spans="1:2" s="119" customFormat="1" hidden="1">
      <c r="A117" s="120"/>
      <c r="B117" s="121"/>
    </row>
    <row r="118" spans="1:2" s="119" customFormat="1" hidden="1">
      <c r="A118" s="120"/>
      <c r="B118" s="121"/>
    </row>
    <row r="119" spans="1:2" s="119" customFormat="1" hidden="1">
      <c r="A119" s="120"/>
      <c r="B119" s="121"/>
    </row>
    <row r="120" spans="1:2" s="119" customFormat="1" hidden="1">
      <c r="A120" s="120"/>
      <c r="B120" s="121"/>
    </row>
    <row r="121" spans="1:2" s="119" customFormat="1" hidden="1">
      <c r="A121" s="120"/>
      <c r="B121" s="121"/>
    </row>
    <row r="122" spans="1:2" s="119" customFormat="1" hidden="1">
      <c r="A122" s="120"/>
      <c r="B122" s="121"/>
    </row>
    <row r="123" spans="1:2" s="119" customFormat="1" hidden="1">
      <c r="A123" s="120"/>
      <c r="B123" s="121"/>
    </row>
    <row r="124" spans="1:2" s="119" customFormat="1" hidden="1">
      <c r="A124" s="120"/>
      <c r="B124" s="121"/>
    </row>
    <row r="125" spans="1:2" s="119" customFormat="1" hidden="1">
      <c r="A125" s="120"/>
      <c r="B125" s="121"/>
    </row>
    <row r="126" spans="1:2" s="119" customFormat="1" hidden="1">
      <c r="A126" s="120"/>
      <c r="B126" s="121"/>
    </row>
    <row r="127" spans="1:2" s="119" customFormat="1" hidden="1">
      <c r="A127" s="120"/>
      <c r="B127" s="121"/>
    </row>
    <row r="128" spans="1:2" s="119" customFormat="1" hidden="1">
      <c r="A128" s="120"/>
      <c r="B128" s="121"/>
    </row>
    <row r="129" spans="1:2" s="119" customFormat="1" hidden="1">
      <c r="A129" s="120"/>
      <c r="B129" s="121"/>
    </row>
    <row r="130" spans="1:2" s="119" customFormat="1" hidden="1">
      <c r="A130" s="120"/>
      <c r="B130" s="121"/>
    </row>
    <row r="131" spans="1:2" s="119" customFormat="1" hidden="1">
      <c r="A131" s="120"/>
      <c r="B131" s="121"/>
    </row>
    <row r="132" spans="1:2" s="119" customFormat="1" hidden="1">
      <c r="A132" s="120"/>
      <c r="B132" s="121"/>
    </row>
    <row r="133" spans="1:2" s="119" customFormat="1" hidden="1">
      <c r="A133" s="120"/>
      <c r="B133" s="121"/>
    </row>
    <row r="134" spans="1:2" s="119" customFormat="1" hidden="1">
      <c r="A134" s="120"/>
      <c r="B134" s="121"/>
    </row>
    <row r="135" spans="1:2" s="119" customFormat="1" hidden="1">
      <c r="A135" s="120"/>
      <c r="B135" s="121"/>
    </row>
    <row r="136" spans="1:2" s="119" customFormat="1" hidden="1">
      <c r="A136" s="120"/>
      <c r="B136" s="121"/>
    </row>
    <row r="137" spans="1:2" s="119" customFormat="1" hidden="1">
      <c r="A137" s="120"/>
      <c r="B137" s="121"/>
    </row>
    <row r="138" spans="1:2" s="119" customFormat="1" hidden="1">
      <c r="A138" s="120"/>
      <c r="B138" s="121"/>
    </row>
    <row r="139" spans="1:2" s="119" customFormat="1" hidden="1">
      <c r="A139" s="120"/>
      <c r="B139" s="121"/>
    </row>
    <row r="140" spans="1:2" s="119" customFormat="1" hidden="1">
      <c r="A140" s="120"/>
      <c r="B140" s="121"/>
    </row>
    <row r="141" spans="1:2" s="119" customFormat="1" hidden="1">
      <c r="A141" s="120"/>
      <c r="B141" s="121"/>
    </row>
    <row r="142" spans="1:2" s="119" customFormat="1" hidden="1">
      <c r="A142" s="120"/>
      <c r="B142" s="121"/>
    </row>
    <row r="143" spans="1:2" s="119" customFormat="1" hidden="1">
      <c r="A143" s="120"/>
      <c r="B143" s="121"/>
    </row>
    <row r="144" spans="1:2" s="119" customFormat="1" hidden="1">
      <c r="A144" s="120"/>
      <c r="B144" s="121"/>
    </row>
    <row r="145" spans="1:2" s="119" customFormat="1" hidden="1">
      <c r="A145" s="120"/>
      <c r="B145" s="121"/>
    </row>
    <row r="146" spans="1:2" s="119" customFormat="1" hidden="1">
      <c r="A146" s="120"/>
      <c r="B146" s="121"/>
    </row>
    <row r="147" spans="1:2" s="119" customFormat="1" hidden="1">
      <c r="A147" s="120"/>
      <c r="B147" s="121"/>
    </row>
    <row r="148" spans="1:2" s="119" customFormat="1" hidden="1">
      <c r="A148" s="120"/>
      <c r="B148" s="121"/>
    </row>
    <row r="149" spans="1:2" s="119" customFormat="1" hidden="1">
      <c r="A149" s="120"/>
      <c r="B149" s="121"/>
    </row>
    <row r="150" spans="1:2" s="119" customFormat="1" hidden="1">
      <c r="A150" s="120"/>
      <c r="B150" s="121"/>
    </row>
    <row r="151" spans="1:2" s="119" customFormat="1" hidden="1">
      <c r="A151" s="120"/>
      <c r="B151" s="121"/>
    </row>
    <row r="152" spans="1:2" s="119" customFormat="1" hidden="1">
      <c r="A152" s="120"/>
      <c r="B152" s="121"/>
    </row>
    <row r="153" spans="1:2" s="119" customFormat="1" hidden="1">
      <c r="A153" s="120"/>
      <c r="B153" s="121"/>
    </row>
    <row r="154" spans="1:2" s="119" customFormat="1" hidden="1">
      <c r="A154" s="120"/>
      <c r="B154" s="121"/>
    </row>
    <row r="155" spans="1:2" s="119" customFormat="1" hidden="1">
      <c r="A155" s="120"/>
      <c r="B155" s="121"/>
    </row>
    <row r="156" spans="1:2" s="119" customFormat="1" hidden="1">
      <c r="A156" s="120"/>
      <c r="B156" s="121"/>
    </row>
    <row r="157" spans="1:2" s="119" customFormat="1" hidden="1">
      <c r="A157" s="120"/>
      <c r="B157" s="121"/>
    </row>
    <row r="158" spans="1:2" s="119" customFormat="1" hidden="1">
      <c r="A158" s="120"/>
      <c r="B158" s="121"/>
    </row>
    <row r="159" spans="1:2" s="119" customFormat="1" hidden="1">
      <c r="A159" s="120"/>
      <c r="B159" s="121"/>
    </row>
    <row r="160" spans="1:2" s="119" customFormat="1" hidden="1">
      <c r="A160" s="120"/>
      <c r="B160" s="121"/>
    </row>
    <row r="161" spans="1:2" s="119" customFormat="1" hidden="1">
      <c r="A161" s="120"/>
      <c r="B161" s="121"/>
    </row>
    <row r="162" spans="1:2" s="119" customFormat="1" hidden="1">
      <c r="A162" s="120"/>
      <c r="B162" s="121"/>
    </row>
    <row r="163" spans="1:2" s="119" customFormat="1" hidden="1">
      <c r="A163" s="120"/>
      <c r="B163" s="121"/>
    </row>
    <row r="164" spans="1:2" s="119" customFormat="1" hidden="1">
      <c r="A164" s="120"/>
      <c r="B164" s="121"/>
    </row>
    <row r="165" spans="1:2" s="119" customFormat="1" hidden="1">
      <c r="A165" s="120"/>
      <c r="B165" s="121"/>
    </row>
    <row r="166" spans="1:2" s="119" customFormat="1" hidden="1">
      <c r="A166" s="120"/>
      <c r="B166" s="121"/>
    </row>
    <row r="167" spans="1:2" s="119" customFormat="1" hidden="1">
      <c r="A167" s="120"/>
      <c r="B167" s="121"/>
    </row>
    <row r="168" spans="1:2" s="119" customFormat="1" hidden="1">
      <c r="A168" s="120"/>
      <c r="B168" s="121"/>
    </row>
    <row r="169" spans="1:2" s="119" customFormat="1" hidden="1">
      <c r="A169" s="120"/>
      <c r="B169" s="121"/>
    </row>
    <row r="170" spans="1:2" s="119" customFormat="1" hidden="1">
      <c r="A170" s="120"/>
      <c r="B170" s="121"/>
    </row>
    <row r="171" spans="1:2" s="119" customFormat="1" hidden="1">
      <c r="A171" s="120"/>
      <c r="B171" s="121"/>
    </row>
    <row r="172" spans="1:2" s="119" customFormat="1" hidden="1">
      <c r="A172" s="120"/>
      <c r="B172" s="121"/>
    </row>
    <row r="173" spans="1:2" s="119" customFormat="1" hidden="1">
      <c r="A173" s="120"/>
      <c r="B173" s="121"/>
    </row>
    <row r="174" spans="1:2" s="119" customFormat="1" hidden="1">
      <c r="A174" s="120"/>
      <c r="B174" s="121"/>
    </row>
    <row r="175" spans="1:2" s="119" customFormat="1" hidden="1">
      <c r="A175" s="120"/>
      <c r="B175" s="121"/>
    </row>
    <row r="176" spans="1:2" s="119" customFormat="1" hidden="1">
      <c r="A176" s="120"/>
      <c r="B176" s="121"/>
    </row>
    <row r="177" spans="1:2" s="119" customFormat="1" hidden="1">
      <c r="A177" s="120"/>
      <c r="B177" s="121"/>
    </row>
    <row r="178" spans="1:2" s="119" customFormat="1" hidden="1">
      <c r="A178" s="120"/>
      <c r="B178" s="121"/>
    </row>
    <row r="179" spans="1:2" s="119" customFormat="1" hidden="1">
      <c r="A179" s="120"/>
      <c r="B179" s="121"/>
    </row>
    <row r="180" spans="1:2" s="119" customFormat="1" hidden="1">
      <c r="A180" s="120"/>
      <c r="B180" s="121"/>
    </row>
    <row r="181" spans="1:2" s="119" customFormat="1" hidden="1">
      <c r="A181" s="120"/>
      <c r="B181" s="121"/>
    </row>
    <row r="182" spans="1:2" hidden="1">
      <c r="A182" s="28"/>
      <c r="B182" s="29"/>
    </row>
    <row r="183" spans="1:2" hidden="1">
      <c r="A183" s="28"/>
      <c r="B183" s="29"/>
    </row>
    <row r="184" spans="1:2" hidden="1">
      <c r="A184" s="28"/>
      <c r="B184" s="29"/>
    </row>
    <row r="185" spans="1:2" hidden="1">
      <c r="A185" s="28"/>
      <c r="B185" s="29"/>
    </row>
    <row r="186" spans="1:2" hidden="1">
      <c r="A186" s="28"/>
      <c r="B186" s="29"/>
    </row>
    <row r="187" spans="1:2" hidden="1">
      <c r="A187" s="28"/>
      <c r="B187" s="29"/>
    </row>
    <row r="188" spans="1:2" hidden="1">
      <c r="A188" s="28"/>
      <c r="B188" s="29"/>
    </row>
    <row r="189" spans="1:2" hidden="1">
      <c r="A189" s="28"/>
      <c r="B189" s="29"/>
    </row>
    <row r="190" spans="1:2" hidden="1">
      <c r="A190" s="28"/>
      <c r="B190" s="29"/>
    </row>
    <row r="191" spans="1:2" hidden="1">
      <c r="A191" s="28"/>
      <c r="B191" s="29"/>
    </row>
    <row r="192" spans="1:2" hidden="1">
      <c r="A192" s="28"/>
      <c r="B192" s="29"/>
    </row>
    <row r="193" spans="1:2" hidden="1">
      <c r="A193" s="28"/>
      <c r="B193" s="29"/>
    </row>
    <row r="194" spans="1:2" hidden="1">
      <c r="A194" s="28"/>
      <c r="B194" s="29"/>
    </row>
    <row r="195" spans="1:2" hidden="1">
      <c r="A195" s="28"/>
      <c r="B195" s="29"/>
    </row>
    <row r="196" spans="1:2" hidden="1">
      <c r="A196" s="28"/>
      <c r="B196" s="29"/>
    </row>
    <row r="197" spans="1:2" hidden="1">
      <c r="A197" s="28"/>
      <c r="B197" s="29"/>
    </row>
    <row r="198" spans="1:2" hidden="1">
      <c r="A198" s="28"/>
      <c r="B198" s="29"/>
    </row>
    <row r="199" spans="1:2" hidden="1">
      <c r="A199" s="28"/>
      <c r="B199" s="29"/>
    </row>
    <row r="200" spans="1:2" hidden="1">
      <c r="A200" s="28"/>
      <c r="B200" s="29"/>
    </row>
    <row r="201" spans="1:2" hidden="1">
      <c r="A201" s="28"/>
      <c r="B201" s="29"/>
    </row>
    <row r="202" spans="1:2" hidden="1">
      <c r="A202" s="28"/>
      <c r="B202" s="29"/>
    </row>
    <row r="203" spans="1:2" hidden="1">
      <c r="A203" s="28"/>
      <c r="B203" s="29"/>
    </row>
    <row r="204" spans="1:2" hidden="1">
      <c r="A204" s="28"/>
      <c r="B204" s="29"/>
    </row>
    <row r="205" spans="1:2" hidden="1">
      <c r="A205" s="28"/>
      <c r="B205" s="29"/>
    </row>
    <row r="206" spans="1:2" hidden="1">
      <c r="A206" s="28"/>
      <c r="B206" s="29"/>
    </row>
    <row r="207" spans="1:2" hidden="1">
      <c r="A207" s="28"/>
      <c r="B207" s="29"/>
    </row>
    <row r="208" spans="1:2" hidden="1">
      <c r="A208" s="28"/>
      <c r="B208" s="29"/>
    </row>
    <row r="209" spans="1:2" hidden="1">
      <c r="A209" s="28"/>
      <c r="B209" s="29"/>
    </row>
    <row r="210" spans="1:2" hidden="1">
      <c r="A210" s="28"/>
      <c r="B210" s="29"/>
    </row>
    <row r="211" spans="1:2" hidden="1">
      <c r="A211" s="28"/>
      <c r="B211" s="29"/>
    </row>
    <row r="212" spans="1:2" hidden="1">
      <c r="A212" s="28"/>
      <c r="B212" s="29"/>
    </row>
    <row r="213" spans="1:2" hidden="1">
      <c r="A213" s="28"/>
      <c r="B213" s="29"/>
    </row>
    <row r="214" spans="1:2" hidden="1">
      <c r="A214" s="28"/>
      <c r="B214" s="29"/>
    </row>
    <row r="215" spans="1:2" hidden="1">
      <c r="A215" s="28"/>
      <c r="B215" s="29"/>
    </row>
    <row r="216" spans="1:2" hidden="1">
      <c r="A216" s="28"/>
      <c r="B216" s="29"/>
    </row>
    <row r="217" spans="1:2" hidden="1">
      <c r="A217" s="28"/>
      <c r="B217" s="29"/>
    </row>
    <row r="218" spans="1:2" hidden="1">
      <c r="A218" s="28"/>
      <c r="B218" s="29"/>
    </row>
    <row r="219" spans="1:2" hidden="1">
      <c r="A219" s="28"/>
      <c r="B219" s="29"/>
    </row>
    <row r="220" spans="1:2" hidden="1">
      <c r="A220" s="28"/>
      <c r="B220" s="29"/>
    </row>
    <row r="221" spans="1:2" hidden="1">
      <c r="A221" s="28"/>
      <c r="B221" s="29"/>
    </row>
    <row r="222" spans="1:2" hidden="1">
      <c r="A222" s="28"/>
      <c r="B222" s="29"/>
    </row>
    <row r="223" spans="1:2" hidden="1">
      <c r="A223" s="28"/>
      <c r="B223" s="29"/>
    </row>
    <row r="224" spans="1:2" hidden="1">
      <c r="A224" s="28"/>
      <c r="B224" s="29"/>
    </row>
    <row r="225" spans="1:2" hidden="1">
      <c r="A225" s="28"/>
      <c r="B225" s="29"/>
    </row>
  </sheetData>
  <sheetProtection password="EF32" sheet="1" objects="1" scenarios="1"/>
  <phoneticPr fontId="0" type="noConversion"/>
  <conditionalFormatting sqref="A4">
    <cfRule type="expression" dxfId="0" priority="1" stopIfTrue="1">
      <formula>$D$1="ERROR!"</formula>
    </cfRule>
  </conditionalFormatting>
  <pageMargins left="0.1" right="0.1" top="0.1" bottom="0.1" header="0.34" footer="0.28000000000000003"/>
  <pageSetup scale="97" orientation="landscape" r:id="rId1"/>
  <headerFooter alignWithMargins="0">
    <oddFooter>&amp;L&amp;8Page &amp;P of &amp;N&amp;C&amp;8&amp;D &amp;T&amp;R&amp;8&amp;A sheet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2:C97"/>
  <sheetViews>
    <sheetView workbookViewId="0">
      <selection activeCell="B2" sqref="B2:B3"/>
    </sheetView>
  </sheetViews>
  <sheetFormatPr defaultRowHeight="12.75"/>
  <cols>
    <col min="1" max="1" width="16" customWidth="1"/>
    <col min="2" max="2" width="37.28515625" customWidth="1"/>
    <col min="4" max="4" width="11.28515625" customWidth="1"/>
    <col min="5" max="5" width="16.5703125" customWidth="1"/>
    <col min="6" max="6" width="29.42578125" customWidth="1"/>
  </cols>
  <sheetData>
    <row r="2" spans="1:2">
      <c r="A2" t="s">
        <v>3</v>
      </c>
      <c r="B2" s="130" t="s">
        <v>162</v>
      </c>
    </row>
    <row r="3" spans="1:2">
      <c r="B3" s="130" t="s">
        <v>163</v>
      </c>
    </row>
    <row r="4" spans="1:2">
      <c r="A4" t="s">
        <v>13</v>
      </c>
    </row>
    <row r="9" spans="1:2">
      <c r="B9" s="131" t="s">
        <v>37</v>
      </c>
    </row>
    <row r="10" spans="1:2">
      <c r="B10" s="130" t="s">
        <v>38</v>
      </c>
    </row>
    <row r="29" spans="2:2">
      <c r="B29" s="130" t="s">
        <v>116</v>
      </c>
    </row>
    <row r="30" spans="2:2">
      <c r="B30" s="130" t="s">
        <v>117</v>
      </c>
    </row>
    <row r="31" spans="2:2">
      <c r="B31" s="130" t="s">
        <v>118</v>
      </c>
    </row>
    <row r="38" spans="2:2">
      <c r="B38" s="5" t="s">
        <v>58</v>
      </c>
    </row>
    <row r="39" spans="2:2">
      <c r="B39" s="5" t="s">
        <v>59</v>
      </c>
    </row>
    <row r="40" spans="2:2">
      <c r="B40" s="7" t="s">
        <v>27</v>
      </c>
    </row>
    <row r="41" spans="2:2">
      <c r="B41" s="8"/>
    </row>
    <row r="42" spans="2:2">
      <c r="B42" s="5" t="s">
        <v>60</v>
      </c>
    </row>
    <row r="43" spans="2:2">
      <c r="B43" s="5" t="s">
        <v>59</v>
      </c>
    </row>
    <row r="44" spans="2:2">
      <c r="B44" s="7" t="s">
        <v>27</v>
      </c>
    </row>
    <row r="45" spans="2:2">
      <c r="B45" s="8"/>
    </row>
    <row r="46" spans="2:2">
      <c r="B46" s="8"/>
    </row>
    <row r="47" spans="2:2">
      <c r="B47" s="5" t="s">
        <v>24</v>
      </c>
    </row>
    <row r="48" spans="2:2">
      <c r="B48" s="125" t="s">
        <v>104</v>
      </c>
    </row>
    <row r="49" spans="2:2">
      <c r="B49" s="125" t="s">
        <v>105</v>
      </c>
    </row>
    <row r="50" spans="2:2">
      <c r="B50" s="6" t="s">
        <v>22</v>
      </c>
    </row>
    <row r="51" spans="2:2">
      <c r="B51" s="7" t="s">
        <v>54</v>
      </c>
    </row>
    <row r="56" spans="2:2">
      <c r="B56" s="2" t="s">
        <v>32</v>
      </c>
    </row>
    <row r="57" spans="2:2">
      <c r="B57" s="3" t="s">
        <v>33</v>
      </c>
    </row>
    <row r="58" spans="2:2">
      <c r="B58" s="2"/>
    </row>
    <row r="59" spans="2:2">
      <c r="B59" s="3"/>
    </row>
    <row r="61" spans="2:2">
      <c r="B61" s="1"/>
    </row>
    <row r="73" spans="2:3">
      <c r="B73" s="4" t="s">
        <v>11</v>
      </c>
    </row>
    <row r="74" spans="2:3">
      <c r="B74" s="4" t="s">
        <v>12</v>
      </c>
    </row>
    <row r="77" spans="2:3">
      <c r="B77" s="10"/>
    </row>
    <row r="78" spans="2:3">
      <c r="B78" s="10"/>
      <c r="C78" s="1" t="s">
        <v>5</v>
      </c>
    </row>
    <row r="79" spans="2:3">
      <c r="B79" s="10"/>
      <c r="C79" s="1" t="s">
        <v>6</v>
      </c>
    </row>
    <row r="80" spans="2:3">
      <c r="B80" s="10"/>
      <c r="C80" s="1" t="s">
        <v>7</v>
      </c>
    </row>
    <row r="81" spans="2:3">
      <c r="B81" s="10"/>
      <c r="C81" s="1" t="s">
        <v>8</v>
      </c>
    </row>
    <row r="84" spans="2:3">
      <c r="B84" t="s">
        <v>0</v>
      </c>
    </row>
    <row r="85" spans="2:3">
      <c r="B85" t="s">
        <v>10</v>
      </c>
      <c r="C85" t="s">
        <v>0</v>
      </c>
    </row>
    <row r="86" spans="2:3">
      <c r="B86" t="s">
        <v>1</v>
      </c>
      <c r="C86">
        <v>1</v>
      </c>
    </row>
    <row r="87" spans="2:3">
      <c r="B87" t="s">
        <v>14</v>
      </c>
      <c r="C87">
        <v>0.5</v>
      </c>
    </row>
    <row r="88" spans="2:3">
      <c r="B88" t="s">
        <v>2</v>
      </c>
      <c r="C88">
        <v>0.3</v>
      </c>
    </row>
    <row r="89" spans="2:3">
      <c r="C89" t="s">
        <v>17</v>
      </c>
    </row>
    <row r="90" spans="2:3">
      <c r="B90" s="9"/>
    </row>
    <row r="91" spans="2:3">
      <c r="B91" s="9"/>
    </row>
    <row r="92" spans="2:3">
      <c r="B92" s="9"/>
    </row>
    <row r="93" spans="2:3">
      <c r="B93" s="9"/>
    </row>
    <row r="94" spans="2:3">
      <c r="B94" s="9"/>
    </row>
    <row r="95" spans="2:3">
      <c r="B95" s="9"/>
    </row>
    <row r="96" spans="2:3">
      <c r="B96" s="9"/>
    </row>
    <row r="97" spans="2:2">
      <c r="B97" s="9"/>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26</vt:i4>
      </vt:variant>
    </vt:vector>
  </HeadingPairs>
  <TitlesOfParts>
    <vt:vector size="36" baseType="lpstr">
      <vt:lpstr>Federal Guidance</vt:lpstr>
      <vt:lpstr>Instructions</vt:lpstr>
      <vt:lpstr>1-Cover Page</vt:lpstr>
      <vt:lpstr>2a - Budget Detail</vt:lpstr>
      <vt:lpstr>3a - Staff Detail</vt:lpstr>
      <vt:lpstr>4a - Budget Summary</vt:lpstr>
      <vt:lpstr>Corrections % Summary</vt:lpstr>
      <vt:lpstr>5a-Error Checking</vt:lpstr>
      <vt:lpstr>6a-Comments</vt:lpstr>
      <vt:lpstr>Other</vt:lpstr>
      <vt:lpstr>Active_Inactive</vt:lpstr>
      <vt:lpstr>bdg_fmp</vt:lpstr>
      <vt:lpstr>bdgCost</vt:lpstr>
      <vt:lpstr>bdgObj</vt:lpstr>
      <vt:lpstr>bdgProg</vt:lpstr>
      <vt:lpstr>'1-Cover Page'!cderange</vt:lpstr>
      <vt:lpstr>Federal_Match_ProgramIncome</vt:lpstr>
      <vt:lpstr>'4a - Budget Summary'!line1_6a</vt:lpstr>
      <vt:lpstr>'Corrections % Summary'!line1_6a</vt:lpstr>
      <vt:lpstr>look2</vt:lpstr>
      <vt:lpstr>object</vt:lpstr>
      <vt:lpstr>'1-Cover Page'!Print_Area</vt:lpstr>
      <vt:lpstr>'5a-Error Checking'!Print_Area</vt:lpstr>
      <vt:lpstr>'6a-Comments'!Print_Area</vt:lpstr>
      <vt:lpstr>Instructions!Print_Area</vt:lpstr>
      <vt:lpstr>'3a - Staff Detail'!Print_Titles</vt:lpstr>
      <vt:lpstr>program</vt:lpstr>
      <vt:lpstr>report</vt:lpstr>
      <vt:lpstr>source1</vt:lpstr>
      <vt:lpstr>staff_fmp</vt:lpstr>
      <vt:lpstr>staffCostIA</vt:lpstr>
      <vt:lpstr>staffobj</vt:lpstr>
      <vt:lpstr>staffprog</vt:lpstr>
      <vt:lpstr>transfers</vt:lpstr>
      <vt:lpstr>Yes_No</vt:lpstr>
      <vt:lpstr>yesnocap</vt:lpstr>
    </vt:vector>
  </TitlesOfParts>
  <Company>Colorado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CDE</dc:creator>
  <dc:description>Created from File: Title_X_Homeless_v0506b.xls</dc:description>
  <cp:lastModifiedBy>Fawcett, Debra</cp:lastModifiedBy>
  <cp:lastPrinted>2014-01-22T22:03:09Z</cp:lastPrinted>
  <dcterms:created xsi:type="dcterms:W3CDTF">2000-01-06T20:07:35Z</dcterms:created>
  <dcterms:modified xsi:type="dcterms:W3CDTF">2014-02-20T16:19:01Z</dcterms:modified>
</cp:coreProperties>
</file>