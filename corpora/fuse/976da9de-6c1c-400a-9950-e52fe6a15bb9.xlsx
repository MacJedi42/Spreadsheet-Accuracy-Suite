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3955" windowHeight="9270"/>
  </bookViews>
  <sheets>
    <sheet name="Allocations" sheetId="4" r:id="rId1"/>
    <sheet name="Entitlement Details" sheetId="5" r:id="rId2"/>
    <sheet name="Data" sheetId="6" state="hidden" r:id="rId3"/>
  </sheets>
  <externalReferences>
    <externalReference r:id="rId4"/>
  </externalReferences>
  <definedNames>
    <definedName name="Beef">Allocations!$J$60</definedName>
    <definedName name="Brown_Rice">Allocations!$J$86</definedName>
    <definedName name="Cheese">Allocations!$J$28</definedName>
    <definedName name="Chicken">Allocations!$J$41</definedName>
    <definedName name="Corn">Allocations!$J$84</definedName>
    <definedName name="Eggs">Allocations!$J$32</definedName>
    <definedName name="Flour">Allocations!$J$82</definedName>
    <definedName name="Fruit_Juice">Allocations!$J$72</definedName>
    <definedName name="Peanut_Butter">Allocations!$J$76</definedName>
    <definedName name="Pollock">Allocations!$J$89</definedName>
    <definedName name="Pork">Allocations!$J$65</definedName>
    <definedName name="Potatoes">Allocations!$J$98</definedName>
    <definedName name="_xlnm.Print_Area" localSheetId="0">Allocations!$A$1:$F$105</definedName>
    <definedName name="_xlnm.Print_Area" localSheetId="1">'Entitlement Details'!$B$1:$D$25</definedName>
    <definedName name="_xlnm.Print_Titles" localSheetId="0">Allocations!$6:$6</definedName>
    <definedName name="sepdsflour">[1]Sheet8!$A$310:$J$600,[1]Sheet8!$A$309:$J$310</definedName>
    <definedName name="Tomato_Paste">Allocations!$J$74</definedName>
    <definedName name="Turkey">Allocations!$J$49</definedName>
  </definedNames>
  <calcPr calcId="125725"/>
</workbook>
</file>

<file path=xl/calcChain.xml><?xml version="1.0" encoding="utf-8"?>
<calcChain xmlns="http://schemas.openxmlformats.org/spreadsheetml/2006/main">
  <c r="J98" i="4"/>
  <c r="J84"/>
  <c r="J74"/>
  <c r="J41"/>
  <c r="F5"/>
  <c r="E43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C3" i="5"/>
  <c r="C2"/>
  <c r="E99" i="4"/>
  <c r="E98"/>
  <c r="E97"/>
  <c r="E96"/>
  <c r="E95"/>
  <c r="E94"/>
  <c r="E93"/>
  <c r="E92"/>
  <c r="E91"/>
  <c r="E89"/>
  <c r="E88"/>
  <c r="E86"/>
  <c r="J86" s="1"/>
  <c r="C20" i="5" s="1"/>
  <c r="E84" i="4"/>
  <c r="C19" i="5" s="1"/>
  <c r="E82" i="4"/>
  <c r="E81"/>
  <c r="E80"/>
  <c r="E79"/>
  <c r="E78"/>
  <c r="E76"/>
  <c r="J76" s="1"/>
  <c r="C17" i="5" s="1"/>
  <c r="E74" i="4"/>
  <c r="E73"/>
  <c r="C16" i="5" s="1"/>
  <c r="E71" i="4"/>
  <c r="E70"/>
  <c r="E69"/>
  <c r="E68"/>
  <c r="E67"/>
  <c r="E66"/>
  <c r="E64"/>
  <c r="E63"/>
  <c r="E62"/>
  <c r="E61"/>
  <c r="E59"/>
  <c r="E58"/>
  <c r="E57"/>
  <c r="E56"/>
  <c r="E55"/>
  <c r="E54"/>
  <c r="E53"/>
  <c r="E52"/>
  <c r="E51"/>
  <c r="E50"/>
  <c r="E48"/>
  <c r="E47"/>
  <c r="E46"/>
  <c r="E45"/>
  <c r="E44"/>
  <c r="E42"/>
  <c r="E40"/>
  <c r="E39"/>
  <c r="E38"/>
  <c r="E37"/>
  <c r="E36"/>
  <c r="E35"/>
  <c r="E34"/>
  <c r="E33"/>
  <c r="E31"/>
  <c r="E30"/>
  <c r="J32" s="1"/>
  <c r="C10" i="5" s="1"/>
  <c r="E29" i="4"/>
  <c r="E9"/>
  <c r="C22" i="5" l="1"/>
  <c r="J82" i="4"/>
  <c r="C18" i="5" s="1"/>
  <c r="J65" i="4"/>
  <c r="C14" i="5" s="1"/>
  <c r="J49" i="4"/>
  <c r="C12" i="5" s="1"/>
  <c r="J28" i="4"/>
  <c r="C9" i="5" s="1"/>
  <c r="J60" i="4"/>
  <c r="C13" i="5" s="1"/>
  <c r="J89" i="4"/>
  <c r="C21" i="5" s="1"/>
  <c r="C11"/>
  <c r="J72" i="4"/>
  <c r="C15" i="5" s="1"/>
  <c r="C23" l="1"/>
  <c r="C4" s="1"/>
  <c r="C5" l="1"/>
  <c r="D12" s="1"/>
  <c r="E101" i="4"/>
  <c r="F101" l="1"/>
</calcChain>
</file>

<file path=xl/comments1.xml><?xml version="1.0" encoding="utf-8"?>
<comments xmlns="http://schemas.openxmlformats.org/spreadsheetml/2006/main">
  <authors>
    <author>Sarah White</author>
  </authors>
  <commentList>
    <comment ref="B11" authorId="0">
      <text>
        <r>
          <rPr>
            <b/>
            <sz val="9"/>
            <color indexed="81"/>
            <rFont val="Tahoma"/>
            <family val="2"/>
          </rPr>
          <t>Sarah White:</t>
        </r>
        <r>
          <rPr>
            <sz val="9"/>
            <color indexed="81"/>
            <rFont val="Tahoma"/>
            <family val="2"/>
          </rPr>
          <t xml:space="preserve">
can also use 254</t>
        </r>
      </text>
    </comment>
    <comment ref="B50" authorId="0">
      <text>
        <r>
          <rPr>
            <b/>
            <sz val="9"/>
            <color indexed="81"/>
            <rFont val="Tahoma"/>
            <family val="2"/>
          </rPr>
          <t>Sarah White:</t>
        </r>
        <r>
          <rPr>
            <sz val="9"/>
            <color indexed="81"/>
            <rFont val="Tahoma"/>
            <family val="2"/>
          </rPr>
          <t xml:space="preserve">
can use 155</t>
        </r>
      </text>
    </comment>
    <comment ref="B51" authorId="0">
      <text>
        <r>
          <rPr>
            <b/>
            <sz val="9"/>
            <color indexed="81"/>
            <rFont val="Tahoma"/>
            <family val="2"/>
          </rPr>
          <t>Sarah White:</t>
        </r>
        <r>
          <rPr>
            <sz val="9"/>
            <color indexed="81"/>
            <rFont val="Tahoma"/>
            <family val="2"/>
          </rPr>
          <t xml:space="preserve">
can use 155</t>
        </r>
      </text>
    </comment>
  </commentList>
</comments>
</file>

<file path=xl/sharedStrings.xml><?xml version="1.0" encoding="utf-8"?>
<sst xmlns="http://schemas.openxmlformats.org/spreadsheetml/2006/main" count="2192" uniqueCount="1037">
  <si>
    <t>Choose Name of SFA From Drop Down:</t>
  </si>
  <si>
    <t>Adair-Casey Comm School District</t>
  </si>
  <si>
    <t>Agreement Number:</t>
  </si>
  <si>
    <t>Adel DeSoto Minburn Comm School District</t>
  </si>
  <si>
    <t>AEA 267</t>
  </si>
  <si>
    <t>Contact e-mail:</t>
  </si>
  <si>
    <t>AGWSR Comm School District</t>
  </si>
  <si>
    <t>Pounds</t>
  </si>
  <si>
    <t>Broker</t>
  </si>
  <si>
    <t>A-H-S-T Comm School District</t>
  </si>
  <si>
    <t>Akron Westfield Comm School District</t>
  </si>
  <si>
    <t>Albert City-Truesdale Comm School District</t>
  </si>
  <si>
    <t xml:space="preserve">1. Bongard's Cheese </t>
  </si>
  <si>
    <t xml:space="preserve">Wolff Group </t>
  </si>
  <si>
    <t>Albia Comm School District</t>
  </si>
  <si>
    <t>2. ES Foods</t>
  </si>
  <si>
    <t>Alburnett Comm School District</t>
  </si>
  <si>
    <t xml:space="preserve">3. JTM Food Group </t>
  </si>
  <si>
    <t>Alden Comm School District</t>
  </si>
  <si>
    <t xml:space="preserve">4. Land O Lakes </t>
  </si>
  <si>
    <t xml:space="preserve">Advantage Waypoint </t>
  </si>
  <si>
    <t>Algona Comm School District</t>
  </si>
  <si>
    <t xml:space="preserve">5. Windsor Foods </t>
  </si>
  <si>
    <t>All Saints Catholic School</t>
  </si>
  <si>
    <t xml:space="preserve">6. Tasty Brands </t>
  </si>
  <si>
    <t>All Saints School</t>
  </si>
  <si>
    <t xml:space="preserve">7. Alpha Foods Co.  </t>
  </si>
  <si>
    <t xml:space="preserve">GVM Food Marketing </t>
  </si>
  <si>
    <t>Allamakee Comm School District</t>
  </si>
  <si>
    <t xml:space="preserve">8. Nardone Brothers </t>
  </si>
  <si>
    <t>Food Marketing Service</t>
  </si>
  <si>
    <t>Alta Comm School District</t>
  </si>
  <si>
    <t xml:space="preserve">9. Rich's Products Corp. </t>
  </si>
  <si>
    <t xml:space="preserve">Elite Foodservice </t>
  </si>
  <si>
    <t>Ames Comm School District</t>
  </si>
  <si>
    <t xml:space="preserve">10. Schwans Foodservice </t>
  </si>
  <si>
    <t>Anamosa Comm School District</t>
  </si>
  <si>
    <t xml:space="preserve">11. Bosco Pizza </t>
  </si>
  <si>
    <t>Andrew Comm School District</t>
  </si>
  <si>
    <t xml:space="preserve">12. Café Favorites </t>
  </si>
  <si>
    <t xml:space="preserve">Café Favorites </t>
  </si>
  <si>
    <t>Ankeny Comm School District</t>
  </si>
  <si>
    <t xml:space="preserve">13. Con Agra/Max Pizza </t>
  </si>
  <si>
    <t>Aplington-Parkersburg Comm School District</t>
  </si>
  <si>
    <t>14. Integrated Foods</t>
  </si>
  <si>
    <t>Hockenberg Newburgh</t>
  </si>
  <si>
    <t>Aquin Elementary School</t>
  </si>
  <si>
    <t xml:space="preserve">15. Highliner </t>
  </si>
  <si>
    <t>Area Substnce Abuse Coun System</t>
  </si>
  <si>
    <t xml:space="preserve">16. Café Favorites </t>
  </si>
  <si>
    <t>Armstrong-Ringsted Comm School District</t>
  </si>
  <si>
    <t>17. Integrated Foods</t>
  </si>
  <si>
    <t>Ar-We-Va Comm School District</t>
  </si>
  <si>
    <t>18. MCI/Los Cabos</t>
  </si>
  <si>
    <t>Assumption High School</t>
  </si>
  <si>
    <t xml:space="preserve">19. McCain Foods USA </t>
  </si>
  <si>
    <t>Assumption School</t>
  </si>
  <si>
    <t xml:space="preserve">Eggs </t>
  </si>
  <si>
    <t>Atlantic Comm School District</t>
  </si>
  <si>
    <t xml:space="preserve">20. Café Favorites </t>
  </si>
  <si>
    <t>Audubon Comm School District</t>
  </si>
  <si>
    <t xml:space="preserve">21. Cargill Kitchen Solutions </t>
  </si>
  <si>
    <t>Aurelia Comm School District</t>
  </si>
  <si>
    <t xml:space="preserve">22. Michael Foods </t>
  </si>
  <si>
    <t>Ballard Comm School District</t>
  </si>
  <si>
    <t>Battle Creek-Ida Grove Comm School District</t>
  </si>
  <si>
    <t>23. Asian Food Solutions</t>
  </si>
  <si>
    <t>Baxter Comm School District</t>
  </si>
  <si>
    <t xml:space="preserve">24. Ling's 5th Taste </t>
  </si>
  <si>
    <t>BCLUW Comm School District</t>
  </si>
  <si>
    <t xml:space="preserve">25. Schwans Foodservice </t>
  </si>
  <si>
    <t>Beckman High School</t>
  </si>
  <si>
    <t>26. Pilgrim's Pride</t>
  </si>
  <si>
    <t>Bedford Comm School District</t>
  </si>
  <si>
    <t xml:space="preserve">27. Tyson </t>
  </si>
  <si>
    <t>Belle Plaine Comm School District</t>
  </si>
  <si>
    <t xml:space="preserve">28. Quantum Foods  </t>
  </si>
  <si>
    <t>Bellevue Comm School District</t>
  </si>
  <si>
    <t>29. Pilgrim's Pride</t>
  </si>
  <si>
    <t>Belmond-Klemme Comm School District</t>
  </si>
  <si>
    <t xml:space="preserve">30. Tyson </t>
  </si>
  <si>
    <t>Bennett Comm School District</t>
  </si>
  <si>
    <t>Benton Comm School District</t>
  </si>
  <si>
    <t xml:space="preserve">31. Café Favorites </t>
  </si>
  <si>
    <t>Bettendorf Comm School District</t>
  </si>
  <si>
    <t xml:space="preserve">32. Cargill Value Added Meats </t>
  </si>
  <si>
    <t>Bishop Garrigan High School</t>
  </si>
  <si>
    <t>33. Jennie-O-Turkey</t>
  </si>
  <si>
    <t>Bishop Heelan Catholic  Schools</t>
  </si>
  <si>
    <t xml:space="preserve">34. Tasty Brands </t>
  </si>
  <si>
    <t>Bishop Heelan Catholic High School</t>
  </si>
  <si>
    <t>35. Jennie-O-Turkey</t>
  </si>
  <si>
    <t>Blackhawk Co Youth Shelt Youth Shelter</t>
  </si>
  <si>
    <t xml:space="preserve">36. JTM Food Group </t>
  </si>
  <si>
    <t>Bondurant-Farrar Comm School District</t>
  </si>
  <si>
    <t>37. AdvancePierre Foods, Inc.</t>
  </si>
  <si>
    <t>Boone Comm School District</t>
  </si>
  <si>
    <t>Boyden-Hull Comm School District</t>
  </si>
  <si>
    <t xml:space="preserve">38. American Foods Group </t>
  </si>
  <si>
    <t>Boyer Valley Comm School District</t>
  </si>
  <si>
    <t>39. AdvancePierre Foods, Inc.</t>
  </si>
  <si>
    <t>Boys &amp; Girls Home</t>
  </si>
  <si>
    <t xml:space="preserve">40. Integrated Food Service </t>
  </si>
  <si>
    <t>Bremwood-Lchs System</t>
  </si>
  <si>
    <t xml:space="preserve">41. JTM Food Group </t>
  </si>
  <si>
    <t>Brooklyn-Guernsey-Malcom Comm School District</t>
  </si>
  <si>
    <t xml:space="preserve">42. Rich Products </t>
  </si>
  <si>
    <t>Burlington Comm School District</t>
  </si>
  <si>
    <t>43. Quantum Foods</t>
  </si>
  <si>
    <t>Burlington Notre Dame  Schools</t>
  </si>
  <si>
    <t>44.  JTM Food Group</t>
  </si>
  <si>
    <t>CAL Comm School District</t>
  </si>
  <si>
    <t>45. Quantum Foods</t>
  </si>
  <si>
    <t>Calamus-Wheatland Comm School District</t>
  </si>
  <si>
    <t>46. Tyson</t>
  </si>
  <si>
    <t>CAM Comm School District</t>
  </si>
  <si>
    <t>47. Tyson</t>
  </si>
  <si>
    <t>Camanche Comm School District</t>
  </si>
  <si>
    <t>Cardinal Comm School District</t>
  </si>
  <si>
    <t>48. AdvancePierre Foods, Inc.</t>
  </si>
  <si>
    <t>Carlisle Comm School District</t>
  </si>
  <si>
    <t xml:space="preserve">49. JTM Food Group </t>
  </si>
  <si>
    <t>Carroll Comm School District</t>
  </si>
  <si>
    <t xml:space="preserve">50. JTM Food Group </t>
  </si>
  <si>
    <t>Cedar Falls Comm School District</t>
  </si>
  <si>
    <t>51. Quantum Foods</t>
  </si>
  <si>
    <t>Cedar Rapids Comm School District</t>
  </si>
  <si>
    <t>Cedar Valley Catholic School System</t>
  </si>
  <si>
    <t>52. AdvancePierre Foods, Inc. (applesauce)</t>
  </si>
  <si>
    <t>Center Point-Urbana Comm School District</t>
  </si>
  <si>
    <t>Centerville Comm School District</t>
  </si>
  <si>
    <t>Central City Comm School District</t>
  </si>
  <si>
    <t>Central Clinton Comm School District</t>
  </si>
  <si>
    <t>Central Comm School District</t>
  </si>
  <si>
    <t>Central Decatur Comm School District</t>
  </si>
  <si>
    <t>Central Ia Juv Det Cntr</t>
  </si>
  <si>
    <t>Central Lee Comm School District</t>
  </si>
  <si>
    <t>Red Gold</t>
  </si>
  <si>
    <t>Central Lutheran School</t>
  </si>
  <si>
    <t>Central Lyon Comm School District</t>
  </si>
  <si>
    <t>Central Springs Comm School District</t>
  </si>
  <si>
    <t>Cfs Catholic School</t>
  </si>
  <si>
    <t>Chariton Comm School District</t>
  </si>
  <si>
    <t>Charles City Comm School District</t>
  </si>
  <si>
    <t>Charter Oak-Ute Comm School District</t>
  </si>
  <si>
    <t>Cherokee Comm School District</t>
  </si>
  <si>
    <t>Children and Fams of IA</t>
  </si>
  <si>
    <t>Children'S Square Usa</t>
  </si>
  <si>
    <t>Christ The King School</t>
  </si>
  <si>
    <t>Clarinda Academy</t>
  </si>
  <si>
    <t>Clarinda Comm School District</t>
  </si>
  <si>
    <t>Clarion-Goldfield Comm School District</t>
  </si>
  <si>
    <t>Clarke Comm School District</t>
  </si>
  <si>
    <t>Clarksville Comm School District</t>
  </si>
  <si>
    <t>Clay Central-Everly Comm School District</t>
  </si>
  <si>
    <t>Clayton Ridge Comm School District</t>
  </si>
  <si>
    <t>Clear Creek Amana Comm School District</t>
  </si>
  <si>
    <t>Clear Lake Comm School District</t>
  </si>
  <si>
    <t>Clearfield Comm School District</t>
  </si>
  <si>
    <t>Clemons Lutheran School</t>
  </si>
  <si>
    <t>Clinton Comm School District</t>
  </si>
  <si>
    <t>Co Bluffs Area Cath Sch</t>
  </si>
  <si>
    <t>Colfax-Mingo Comm School District</t>
  </si>
  <si>
    <t>College Comm School District</t>
  </si>
  <si>
    <t>Collins-Maxwell Comm School District</t>
  </si>
  <si>
    <t>Total Request:</t>
  </si>
  <si>
    <t>Colo-NESCO School Comm School District</t>
  </si>
  <si>
    <t>Please complete this form and send back to the State Agency:</t>
  </si>
  <si>
    <t>Columbus Comm School District</t>
  </si>
  <si>
    <t>Jill.Stuecker@iowa.gov</t>
  </si>
  <si>
    <t>Comm Lutheran School</t>
  </si>
  <si>
    <t>Coon Rapids-Bayard Comm School District</t>
  </si>
  <si>
    <t>Corning Comm School District</t>
  </si>
  <si>
    <t>Corwith-Wesley Comm School District</t>
  </si>
  <si>
    <t>Council Bluffs Comm School District</t>
  </si>
  <si>
    <t>Creston Comm School District</t>
  </si>
  <si>
    <t>Dallas Center-Grimes Comm School District</t>
  </si>
  <si>
    <t>Danville  Comm School District</t>
  </si>
  <si>
    <t>Davenport Comm School District</t>
  </si>
  <si>
    <t>Davis County Comm School District</t>
  </si>
  <si>
    <t>De Sales Grade School</t>
  </si>
  <si>
    <t>Decorah Community School District</t>
  </si>
  <si>
    <t>Delwood Comm School District</t>
  </si>
  <si>
    <t>Denison Comm School District</t>
  </si>
  <si>
    <t>Denver Comm School District</t>
  </si>
  <si>
    <t>Des Moines Independent Comm School District</t>
  </si>
  <si>
    <t>Diagonal Comm School District</t>
  </si>
  <si>
    <t>Dike-New Hartford Comm School District</t>
  </si>
  <si>
    <t>Dowling Catholic High School</t>
  </si>
  <si>
    <t>Dows Comm School District</t>
  </si>
  <si>
    <t>Dubuque Comm School District</t>
  </si>
  <si>
    <t>Dunkerton Comm School District</t>
  </si>
  <si>
    <t>Durant Comm School District</t>
  </si>
  <si>
    <t>Eagle Grove Comm School District</t>
  </si>
  <si>
    <t>Earlham Comm School District</t>
  </si>
  <si>
    <t>East Buchanan Comm School District</t>
  </si>
  <si>
    <t>East Central Comm School District</t>
  </si>
  <si>
    <t>East Greene Comm School District</t>
  </si>
  <si>
    <t>East Marshall Comm School District</t>
  </si>
  <si>
    <t>East Mills Comm School District</t>
  </si>
  <si>
    <t>East Sac County Comm School District</t>
  </si>
  <si>
    <t>East Union Comm School District</t>
  </si>
  <si>
    <t>Eastern Allamakee Comm School District</t>
  </si>
  <si>
    <t>Eddyville-Blakesburg- Fremont CSD</t>
  </si>
  <si>
    <t>Edgewood-Colesburg Comm School District</t>
  </si>
  <si>
    <t>Eldora-New Providence Comm School District</t>
  </si>
  <si>
    <t>Elk Horn-Kimballton Comm School District</t>
  </si>
  <si>
    <t>Emmetsburg Catholic School</t>
  </si>
  <si>
    <t>Emmetsburg Comm School District</t>
  </si>
  <si>
    <t>English Valleys Comm School District</t>
  </si>
  <si>
    <t>Essex Comm School District</t>
  </si>
  <si>
    <t>Estherville Lincoln Central Com Sch Dist</t>
  </si>
  <si>
    <t>Exira Comm School District</t>
  </si>
  <si>
    <t>Fairfield Comm School District</t>
  </si>
  <si>
    <t>Family Resources Inc</t>
  </si>
  <si>
    <t>Farragut Comm School District</t>
  </si>
  <si>
    <t>Forest City Comm School District</t>
  </si>
  <si>
    <t>Fort Dodge Comm School District</t>
  </si>
  <si>
    <t>Fort Madison Comm School District</t>
  </si>
  <si>
    <t>Foundation II Youth Shelter</t>
  </si>
  <si>
    <t>Four Oaks</t>
  </si>
  <si>
    <t>Francis Lauer Youth Serv</t>
  </si>
  <si>
    <t>Fredericksburg Comm School District</t>
  </si>
  <si>
    <t>Fremont-Mills Comm School District</t>
  </si>
  <si>
    <t>Galva-Holstein Comm School District</t>
  </si>
  <si>
    <t>Garner-Hayfield Comm School District</t>
  </si>
  <si>
    <t>Gehlen Catholic School</t>
  </si>
  <si>
    <t>George-Little Rock Comm School District</t>
  </si>
  <si>
    <t>Gilbert Comm School District</t>
  </si>
  <si>
    <t>Gilmore City-Bradgate Comm School District</t>
  </si>
  <si>
    <t>Gladbrook-Reinbeck Comm School District</t>
  </si>
  <si>
    <t>Glenwood Comm School District</t>
  </si>
  <si>
    <t>Glidden-Ralston Comm School District</t>
  </si>
  <si>
    <t>GMG Comm School District</t>
  </si>
  <si>
    <t>Graettinger-Terril Comm School District</t>
  </si>
  <si>
    <t>Grinnell-Newburg Comm School District</t>
  </si>
  <si>
    <t>Griswold Comm School District</t>
  </si>
  <si>
    <t>Grundy Center Comm School District</t>
  </si>
  <si>
    <t>Guthrie Center Comm School District</t>
  </si>
  <si>
    <t>Hamburg Comm School District</t>
  </si>
  <si>
    <t>Hampton-Dumont Comm School District</t>
  </si>
  <si>
    <t>Harlan Comm School District</t>
  </si>
  <si>
    <t>Harmony Comm School District</t>
  </si>
  <si>
    <t>Harris-Lake Park Comm School District</t>
  </si>
  <si>
    <t>Hartley-Melvin-Sanborn Comm School District</t>
  </si>
  <si>
    <t>Hennessy Catholic School Petersburg Center</t>
  </si>
  <si>
    <t>Highland  Comm School District</t>
  </si>
  <si>
    <t>Hillcrest Family Serv</t>
  </si>
  <si>
    <t>Hinton Comm School District</t>
  </si>
  <si>
    <t>H-L-V Comm School District</t>
  </si>
  <si>
    <t>Holy Cross Blessed Sacrament School</t>
  </si>
  <si>
    <t>Holy Cross Center</t>
  </si>
  <si>
    <t>Holy Cross St Michael School</t>
  </si>
  <si>
    <t>Holy Family School System</t>
  </si>
  <si>
    <t>Holy Family Schools</t>
  </si>
  <si>
    <t>Holy Family System (Dubuque)</t>
  </si>
  <si>
    <t>Holy Trinity Catholic Schools Inc</t>
  </si>
  <si>
    <t>Holy Trinity School</t>
  </si>
  <si>
    <t>Howard-Winneshiek Comm School District</t>
  </si>
  <si>
    <t>Hubbard-Radcliffe Comm School District</t>
  </si>
  <si>
    <t>Hudson Comm School District</t>
  </si>
  <si>
    <t>Hull Christian School</t>
  </si>
  <si>
    <t>Humboldt Comm School District</t>
  </si>
  <si>
    <t>IKM-Manning Comm School District</t>
  </si>
  <si>
    <t>Independence Comm School District</t>
  </si>
  <si>
    <t>Indianola Comm School District</t>
  </si>
  <si>
    <t>Interstate 35 Comm School District</t>
  </si>
  <si>
    <t>Inwood Christian School</t>
  </si>
  <si>
    <t>Iowa City Comm School District</t>
  </si>
  <si>
    <t>Iowa Falls Comm School District</t>
  </si>
  <si>
    <t>Iowa Mennonite School</t>
  </si>
  <si>
    <t>Iowa School For The Deaf</t>
  </si>
  <si>
    <t>Iowa Valley Comm School District</t>
  </si>
  <si>
    <t>Ireton Christian School</t>
  </si>
  <si>
    <t>Janesville Consolidated School District</t>
  </si>
  <si>
    <t>Jefferson-Scranton Comm School District</t>
  </si>
  <si>
    <t>Jesup Comm School District</t>
  </si>
  <si>
    <t>John F Kennedy Cath Sch</t>
  </si>
  <si>
    <t>Johnston Comm School District</t>
  </si>
  <si>
    <t>Kanawha Christian School</t>
  </si>
  <si>
    <t>Keokuk Comm School District</t>
  </si>
  <si>
    <t>Keota Comm School District</t>
  </si>
  <si>
    <t>Kingsley-Pierson Comm School District</t>
  </si>
  <si>
    <t>Knoxville Comm School District</t>
  </si>
  <si>
    <t>Kuemper Catholic School System</t>
  </si>
  <si>
    <t>Lake Mills Comm School District</t>
  </si>
  <si>
    <t>Lamoni Comm School District</t>
  </si>
  <si>
    <t>Laurens-Marathon Comm School District</t>
  </si>
  <si>
    <t>Lawton-Bronson Comm School District</t>
  </si>
  <si>
    <t>Le Mars Comm School District</t>
  </si>
  <si>
    <t>Lenox Comm School District</t>
  </si>
  <si>
    <t>Lewis Central Comm School District</t>
  </si>
  <si>
    <t>Linn-Mar Comm School District</t>
  </si>
  <si>
    <t>Lisbon Comm School District</t>
  </si>
  <si>
    <t>Logan-Magnolia Comm School District</t>
  </si>
  <si>
    <t>Lone Tree Comm School District</t>
  </si>
  <si>
    <t>Louisa-Muscatine Comm School District</t>
  </si>
  <si>
    <t>LSS Beloit</t>
  </si>
  <si>
    <t>Lutheran Interparish School</t>
  </si>
  <si>
    <t>LuVerne Comm School District</t>
  </si>
  <si>
    <t>Lynnville-Sully Comm School District</t>
  </si>
  <si>
    <t>Madrid Comm School District</t>
  </si>
  <si>
    <t>Manson Northwest Webster Comm School District</t>
  </si>
  <si>
    <t>Maple Valley-Anthon Oto Comm School District</t>
  </si>
  <si>
    <t>Maquoketa Comm School District</t>
  </si>
  <si>
    <t>Maquoketa Valley Comm School District</t>
  </si>
  <si>
    <t>Marcus-Meriden-Cleghorn Comm School District</t>
  </si>
  <si>
    <t>Marion Independent School District</t>
  </si>
  <si>
    <t>Marquette Academy</t>
  </si>
  <si>
    <t>Marquette Catholic School System</t>
  </si>
  <si>
    <t>Marshalltown Catholic Sd</t>
  </si>
  <si>
    <t>Marshalltown Comm School District</t>
  </si>
  <si>
    <t>Martensdale-St Marys Comm School District</t>
  </si>
  <si>
    <t>Mason City Comm School District</t>
  </si>
  <si>
    <t>Mediapolis Comm School District</t>
  </si>
  <si>
    <t>Melcher-Dallas Comm School District</t>
  </si>
  <si>
    <t>Mental Health Institute</t>
  </si>
  <si>
    <t>MFL MarMac Comm School District</t>
  </si>
  <si>
    <t>Midland Comm School District</t>
  </si>
  <si>
    <t>Mid-Prairie Comm School District</t>
  </si>
  <si>
    <t>Missouri Valley Comm School District</t>
  </si>
  <si>
    <t>MOC-Floyd Valley Comm School District</t>
  </si>
  <si>
    <t>Montezuma Comm School District</t>
  </si>
  <si>
    <t>Monticello Comm School District</t>
  </si>
  <si>
    <t>Moravia Comm School District</t>
  </si>
  <si>
    <t>Mormon Trail Comm School District</t>
  </si>
  <si>
    <t>Morning Sun Comm School District</t>
  </si>
  <si>
    <t>Mosaic in North Central IA</t>
  </si>
  <si>
    <t>Moulton-Udell Comm School District</t>
  </si>
  <si>
    <t>Mount Ayr Comm School District</t>
  </si>
  <si>
    <t>Mount Pleasant Comm School District</t>
  </si>
  <si>
    <t>Mount Vernon Comm School District</t>
  </si>
  <si>
    <t>Murray Comm School District</t>
  </si>
  <si>
    <t>Muscatine Comm School District</t>
  </si>
  <si>
    <t>Nashua-Plainfield Comm School District</t>
  </si>
  <si>
    <t>Netherlands Reformed Christian School</t>
  </si>
  <si>
    <t>Nevada Comm School District</t>
  </si>
  <si>
    <t>New Hampton Comm School District</t>
  </si>
  <si>
    <t>New London Comm School District</t>
  </si>
  <si>
    <t>Newell-Fonda Comm School District</t>
  </si>
  <si>
    <t>Newman Catholic School System</t>
  </si>
  <si>
    <t>Newton Comm School District</t>
  </si>
  <si>
    <t>No Ia Detention Serv</t>
  </si>
  <si>
    <t>Nodaway Valley Comm School District</t>
  </si>
  <si>
    <t>North Butler Comm School District</t>
  </si>
  <si>
    <t>North Cedar Comm School District</t>
  </si>
  <si>
    <t>North Fayette Comm School District</t>
  </si>
  <si>
    <t>North Iowa Christian School</t>
  </si>
  <si>
    <t>North Iowa Comm School District</t>
  </si>
  <si>
    <t>North Kossuth Comm School District</t>
  </si>
  <si>
    <t>North Linn Comm School District</t>
  </si>
  <si>
    <t>North Mahaska Comm School District</t>
  </si>
  <si>
    <t>North Polk Comm School District</t>
  </si>
  <si>
    <t>North Scott Comm School District</t>
  </si>
  <si>
    <t>North Tama County Comm School District</t>
  </si>
  <si>
    <t>North Winneshiek Comm School District</t>
  </si>
  <si>
    <t>Northeast Comm School District</t>
  </si>
  <si>
    <t>Northeast Hamilton Comm School District</t>
  </si>
  <si>
    <t>Northwood-Kensett Comm School District</t>
  </si>
  <si>
    <t>Norwalk Comm School District</t>
  </si>
  <si>
    <t>Notre Dame School System</t>
  </si>
  <si>
    <t>Nw Iowa Yes Center</t>
  </si>
  <si>
    <t>Odebolt-Arthur Comm School District</t>
  </si>
  <si>
    <t>Oelwein Comm School District</t>
  </si>
  <si>
    <t>Ogden Comm School District</t>
  </si>
  <si>
    <t>Okoboji Comm School District</t>
  </si>
  <si>
    <t>Olin Consolidated School District</t>
  </si>
  <si>
    <t>Orange City Christian School</t>
  </si>
  <si>
    <t>Orchard Place</t>
  </si>
  <si>
    <t>Orient-Macksburg Comm School District</t>
  </si>
  <si>
    <t>Osage Comm School District</t>
  </si>
  <si>
    <t>Oskaloosa Christian School</t>
  </si>
  <si>
    <t>Oskaloosa Comm School District</t>
  </si>
  <si>
    <t>Ottumwa Comm School District</t>
  </si>
  <si>
    <t>Panorama Comm School District</t>
  </si>
  <si>
    <t>Paton-Churdan Comm School District</t>
  </si>
  <si>
    <t>PCM Comm School District</t>
  </si>
  <si>
    <t>Pekin Comm School District</t>
  </si>
  <si>
    <t>Pella Christian Grade School</t>
  </si>
  <si>
    <t>Pella Christian High School</t>
  </si>
  <si>
    <t>Pella Comm School District</t>
  </si>
  <si>
    <t>Perry Comm School District</t>
  </si>
  <si>
    <t>Pleasant Valley Comm School District</t>
  </si>
  <si>
    <t>Pleasantville Comm School District</t>
  </si>
  <si>
    <t>Pocahontas Area Comm School District</t>
  </si>
  <si>
    <t>Polk Co Youth Services</t>
  </si>
  <si>
    <t>Postville Comm School District</t>
  </si>
  <si>
    <t>Prairie Valley Comm School District</t>
  </si>
  <si>
    <t>Prescott Comm School District</t>
  </si>
  <si>
    <t>Preston  Comm School District</t>
  </si>
  <si>
    <t>Prince Of Peace Catholic Education System</t>
  </si>
  <si>
    <t>Quakerdale Home</t>
  </si>
  <si>
    <t>Rabiner Treatment Center</t>
  </si>
  <si>
    <t>Red Oak Comm School District</t>
  </si>
  <si>
    <t>Regina Schools</t>
  </si>
  <si>
    <t>Regis Middle School</t>
  </si>
  <si>
    <t>Remsen-Union Comm School District</t>
  </si>
  <si>
    <t>Riceville Comm School District</t>
  </si>
  <si>
    <t>River Valley Comm School District</t>
  </si>
  <si>
    <t>Riverside Comm School District</t>
  </si>
  <si>
    <t>Rock Valley Christian School</t>
  </si>
  <si>
    <t>Rock Valley Comm School District</t>
  </si>
  <si>
    <t>Rockwell City-Lytton Comm School District</t>
  </si>
  <si>
    <t>Roland-Story Comm School District</t>
  </si>
  <si>
    <t>Rudd-Rockford-Marble Rk Comm School District</t>
  </si>
  <si>
    <t>Ruthven-Ayrshire Comm School District</t>
  </si>
  <si>
    <t>Sacred Heart Elementary School</t>
  </si>
  <si>
    <t>Sacred Heart School</t>
  </si>
  <si>
    <t>Sanborn Christian School</t>
  </si>
  <si>
    <t>Saydel Comm School District</t>
  </si>
  <si>
    <t>Schaller-Crestland Comm School District</t>
  </si>
  <si>
    <t>Schleswig Comm School District</t>
  </si>
  <si>
    <t>Scott County Juvenile Detention Center</t>
  </si>
  <si>
    <t>Sentral Comm School District</t>
  </si>
  <si>
    <t>Sergeant Bluff-Luton Comm School District</t>
  </si>
  <si>
    <t>Seton Catholic School System</t>
  </si>
  <si>
    <t>Seton Grade School</t>
  </si>
  <si>
    <t>Seymour Comm School District</t>
  </si>
  <si>
    <t>Shelby County Catholic School System</t>
  </si>
  <si>
    <t>Sheldon Christian School</t>
  </si>
  <si>
    <t>Sheldon Comm School District</t>
  </si>
  <si>
    <t>Shenandoah Comm School District</t>
  </si>
  <si>
    <t>Sibley-Ocheyedan Comm School District</t>
  </si>
  <si>
    <t>Sidney Comm School District</t>
  </si>
  <si>
    <t>Sigourney Comm School District</t>
  </si>
  <si>
    <t>Sioux Center Christian School</t>
  </si>
  <si>
    <t>Sioux Center Comm School District</t>
  </si>
  <si>
    <t>Sioux Central Comm School District</t>
  </si>
  <si>
    <t>Sioux City Comm School District</t>
  </si>
  <si>
    <t>Solon Comm School District</t>
  </si>
  <si>
    <t>South Hamilton Comm School District</t>
  </si>
  <si>
    <t>South O'Brien  Comm School District</t>
  </si>
  <si>
    <t>South Page Comm School District</t>
  </si>
  <si>
    <t>South Tama County Comm School District</t>
  </si>
  <si>
    <t>South Winneshiek Comm School District</t>
  </si>
  <si>
    <t>Southeast Polk Comm School District</t>
  </si>
  <si>
    <t>Southeast Warren Comm School District</t>
  </si>
  <si>
    <t>Southeast Webster Grand Comm School District</t>
  </si>
  <si>
    <t>Southern Cal Comm School District</t>
  </si>
  <si>
    <t>Spalding Catholic School System</t>
  </si>
  <si>
    <t>Spalding Catholic St Anthony Center</t>
  </si>
  <si>
    <t>Spalding Catholic St Mary's Center</t>
  </si>
  <si>
    <t>Spencer Comm School District</t>
  </si>
  <si>
    <t>Spirit Lake Comm School District</t>
  </si>
  <si>
    <t>Springville Comm School District</t>
  </si>
  <si>
    <t>St Ansgar Comm School District</t>
  </si>
  <si>
    <t>St Anthony School</t>
  </si>
  <si>
    <t>St Athanasius School</t>
  </si>
  <si>
    <t>St Augustin School</t>
  </si>
  <si>
    <t>St Cecilia School</t>
  </si>
  <si>
    <t>St Francis of Assisi School</t>
  </si>
  <si>
    <t>St Francis Xavier School</t>
  </si>
  <si>
    <t>St James Elem School</t>
  </si>
  <si>
    <t>St John Elementary School</t>
  </si>
  <si>
    <t>St Joseph Community  School</t>
  </si>
  <si>
    <t>St Joseph Elementary School</t>
  </si>
  <si>
    <t>St Joseph School</t>
  </si>
  <si>
    <t>St Malachy School</t>
  </si>
  <si>
    <t>St Mary School</t>
  </si>
  <si>
    <t>St Mary\Catherine</t>
  </si>
  <si>
    <t>St Mary's High School</t>
  </si>
  <si>
    <t>St Marys School</t>
  </si>
  <si>
    <t>St Matthew School</t>
  </si>
  <si>
    <t>St Patrick School</t>
  </si>
  <si>
    <t>St Patrick's School</t>
  </si>
  <si>
    <t>St Paul School</t>
  </si>
  <si>
    <t>St Pauls Lutheran School</t>
  </si>
  <si>
    <t>St Pius X School</t>
  </si>
  <si>
    <t>St Rose Of Lima School</t>
  </si>
  <si>
    <t>St Theresa School</t>
  </si>
  <si>
    <t>St Thomas Aquinas School</t>
  </si>
  <si>
    <t>St. Edmond Catholic  Schools</t>
  </si>
  <si>
    <t>Stanton Comm School District</t>
  </si>
  <si>
    <t>Starmont Comm School District</t>
  </si>
  <si>
    <t>State Juvenile Home Sch</t>
  </si>
  <si>
    <t>State Training School</t>
  </si>
  <si>
    <t>Storm Lake Comm School District</t>
  </si>
  <si>
    <t>Stratford Comm School District</t>
  </si>
  <si>
    <t>Sully Christian School</t>
  </si>
  <si>
    <t>Sumner Comm School District</t>
  </si>
  <si>
    <t>Tanager Place System</t>
  </si>
  <si>
    <t>The Bosco System</t>
  </si>
  <si>
    <t>Timothy Christian School</t>
  </si>
  <si>
    <t>Tipton Comm School District</t>
  </si>
  <si>
    <t>Titonka Consolidated School District</t>
  </si>
  <si>
    <t>Treynor Comm School District</t>
  </si>
  <si>
    <t>Tri-Center Comm School District</t>
  </si>
  <si>
    <t>Tri-County Comm School District</t>
  </si>
  <si>
    <t>Trinity Catholic School</t>
  </si>
  <si>
    <t>Trinity Lutheran School</t>
  </si>
  <si>
    <t>Tripoli Comm School District</t>
  </si>
  <si>
    <t>Turkey Valley Comm School District</t>
  </si>
  <si>
    <t>Twin Cedars Comm School District</t>
  </si>
  <si>
    <t>Twin Rivers Comm School District</t>
  </si>
  <si>
    <t>Underwood Comm School District</t>
  </si>
  <si>
    <t>Union Comm School District</t>
  </si>
  <si>
    <t>United Comm School District</t>
  </si>
  <si>
    <t>Unity Christian High School</t>
  </si>
  <si>
    <t>Urbandale Comm School District</t>
  </si>
  <si>
    <t>Valley Comm School District</t>
  </si>
  <si>
    <t>Van Buren Comm School District</t>
  </si>
  <si>
    <t>Van Meter Comm School District</t>
  </si>
  <si>
    <t>Ventura Comm School District</t>
  </si>
  <si>
    <t>Villisca Comm School District</t>
  </si>
  <si>
    <t>Vinton-Shellsburg Comm School District</t>
  </si>
  <si>
    <t>Waco Comm School District</t>
  </si>
  <si>
    <t>Walnut Comm School District</t>
  </si>
  <si>
    <t>Wapello Comm School District</t>
  </si>
  <si>
    <t>Wapsie Valley Comm School District</t>
  </si>
  <si>
    <t>Washington Comm School District</t>
  </si>
  <si>
    <t>Waterloo Comm School District</t>
  </si>
  <si>
    <t>Waukee Comm School District</t>
  </si>
  <si>
    <t>Waverly-Shell Rock Comm School District</t>
  </si>
  <si>
    <t>Wayne Comm School District</t>
  </si>
  <si>
    <t>Webster City Comm School District</t>
  </si>
  <si>
    <t>West Bend-Mallard Comm School District</t>
  </si>
  <si>
    <t>West Branch Comm School District</t>
  </si>
  <si>
    <t>West Burlington Ind School District</t>
  </si>
  <si>
    <t>West Central Comm School District</t>
  </si>
  <si>
    <t>West Central Valley Comm School District</t>
  </si>
  <si>
    <t>West Delaware County Comm School District</t>
  </si>
  <si>
    <t>West Des Moines Comm School District</t>
  </si>
  <si>
    <t>West Fork CSD</t>
  </si>
  <si>
    <t>West Hancock Comm School District</t>
  </si>
  <si>
    <t>West Harrison Comm School District</t>
  </si>
  <si>
    <t>West Liberty Comm School District</t>
  </si>
  <si>
    <t>West Lyon Comm School District</t>
  </si>
  <si>
    <t>West Marshall Comm School District</t>
  </si>
  <si>
    <t>West Monona Comm School District</t>
  </si>
  <si>
    <t>West Sioux Comm School District</t>
  </si>
  <si>
    <t>Western Christian High School</t>
  </si>
  <si>
    <t>Western Dubuque Comm School District</t>
  </si>
  <si>
    <t>Westwood Comm School District</t>
  </si>
  <si>
    <t>Whiting Comm School District</t>
  </si>
  <si>
    <t>Williamsburg Comm School District</t>
  </si>
  <si>
    <t>Wilton Comm School District</t>
  </si>
  <si>
    <t>Winfield-Mt Union Comm School District</t>
  </si>
  <si>
    <t>Winterset Comm School District</t>
  </si>
  <si>
    <t>Woodbine Comm School District</t>
  </si>
  <si>
    <t>Woodbury Central Comm School District</t>
  </si>
  <si>
    <t>Woodbury Co Juvenile Detention Center</t>
  </si>
  <si>
    <t>Woodward Resource Center</t>
  </si>
  <si>
    <t>Woodward-Granger Comm School District</t>
  </si>
  <si>
    <t>Xavier High School</t>
  </si>
  <si>
    <t>Youth Emcy Serv &amp; Sheltr</t>
  </si>
  <si>
    <t>Youth Homes Of Mid-Amer</t>
  </si>
  <si>
    <t>Youth Service Of Linn Co</t>
  </si>
  <si>
    <t>Youth Shelter Care Nci</t>
  </si>
  <si>
    <t>YSS</t>
  </si>
  <si>
    <t>Zion Lutheran School</t>
  </si>
  <si>
    <t>Zion-St. John Lutheran School</t>
  </si>
  <si>
    <t>Dollars</t>
  </si>
  <si>
    <t>Cheese</t>
  </si>
  <si>
    <t>Eggs</t>
  </si>
  <si>
    <t>Tomato Paste</t>
  </si>
  <si>
    <t>District</t>
  </si>
  <si>
    <t>School</t>
  </si>
  <si>
    <t>Name</t>
  </si>
  <si>
    <t>ADP</t>
  </si>
  <si>
    <t>CalcEntitle</t>
  </si>
  <si>
    <t>DoD Amount</t>
  </si>
  <si>
    <t>0018</t>
  </si>
  <si>
    <t>0000</t>
  </si>
  <si>
    <t>0027</t>
  </si>
  <si>
    <t>9207</t>
  </si>
  <si>
    <t>0009</t>
  </si>
  <si>
    <t>0441</t>
  </si>
  <si>
    <t>0063</t>
  </si>
  <si>
    <t>0072</t>
  </si>
  <si>
    <t>0081</t>
  </si>
  <si>
    <t>0099</t>
  </si>
  <si>
    <t>0108</t>
  </si>
  <si>
    <t>0126</t>
  </si>
  <si>
    <t>1611</t>
  </si>
  <si>
    <t>8103</t>
  </si>
  <si>
    <t>1053</t>
  </si>
  <si>
    <t>8101</t>
  </si>
  <si>
    <t>0135</t>
  </si>
  <si>
    <t>0171</t>
  </si>
  <si>
    <t>0225</t>
  </si>
  <si>
    <t>0234</t>
  </si>
  <si>
    <t>0243</t>
  </si>
  <si>
    <t>0261</t>
  </si>
  <si>
    <t>0279</t>
  </si>
  <si>
    <t>6961</t>
  </si>
  <si>
    <t>8150</t>
  </si>
  <si>
    <t>8006</t>
  </si>
  <si>
    <t>0333</t>
  </si>
  <si>
    <t>0355</t>
  </si>
  <si>
    <t>7110</t>
  </si>
  <si>
    <t>0387</t>
  </si>
  <si>
    <t>0414</t>
  </si>
  <si>
    <t>0423</t>
  </si>
  <si>
    <t>0472</t>
  </si>
  <si>
    <t>0504</t>
  </si>
  <si>
    <t>0513</t>
  </si>
  <si>
    <t>0540</t>
  </si>
  <si>
    <t>8146</t>
  </si>
  <si>
    <t>0549</t>
  </si>
  <si>
    <t>0576</t>
  </si>
  <si>
    <t>0585</t>
  </si>
  <si>
    <t>0594</t>
  </si>
  <si>
    <t>0603</t>
  </si>
  <si>
    <t>0609</t>
  </si>
  <si>
    <t>0621</t>
  </si>
  <si>
    <t>8108</t>
  </si>
  <si>
    <t>6039</t>
  </si>
  <si>
    <t>8000</t>
  </si>
  <si>
    <t>8106</t>
  </si>
  <si>
    <t>6795</t>
  </si>
  <si>
    <t>8601</t>
  </si>
  <si>
    <t>0720</t>
  </si>
  <si>
    <t>0729</t>
  </si>
  <si>
    <t>0747</t>
  </si>
  <si>
    <t>1917</t>
  </si>
  <si>
    <t>8003</t>
  </si>
  <si>
    <t>6840</t>
  </si>
  <si>
    <t>0846</t>
  </si>
  <si>
    <t>0882</t>
  </si>
  <si>
    <t>0916</t>
  </si>
  <si>
    <t>0918</t>
  </si>
  <si>
    <t>0914</t>
  </si>
  <si>
    <t>0936</t>
  </si>
  <si>
    <t>0977</t>
  </si>
  <si>
    <t>0981</t>
  </si>
  <si>
    <t>0999</t>
  </si>
  <si>
    <t>1044</t>
  </si>
  <si>
    <t>8007</t>
  </si>
  <si>
    <t>1062</t>
  </si>
  <si>
    <t>1071</t>
  </si>
  <si>
    <t>1089</t>
  </si>
  <si>
    <t>1082</t>
  </si>
  <si>
    <t>1080</t>
  </si>
  <si>
    <t>1093</t>
  </si>
  <si>
    <t>2007</t>
  </si>
  <si>
    <t>8607</t>
  </si>
  <si>
    <t>1079</t>
  </si>
  <si>
    <t>1095</t>
  </si>
  <si>
    <t>4772</t>
  </si>
  <si>
    <t>6100</t>
  </si>
  <si>
    <t>1107</t>
  </si>
  <si>
    <t>1116</t>
  </si>
  <si>
    <t>1134</t>
  </si>
  <si>
    <t>1152</t>
  </si>
  <si>
    <t>1737</t>
  </si>
  <si>
    <t>8011</t>
  </si>
  <si>
    <t>1476</t>
  </si>
  <si>
    <t>8117</t>
  </si>
  <si>
    <t>1197</t>
  </si>
  <si>
    <t>1206</t>
  </si>
  <si>
    <t>1211</t>
  </si>
  <si>
    <t>1215</t>
  </si>
  <si>
    <t>1218</t>
  </si>
  <si>
    <t>2763</t>
  </si>
  <si>
    <t>1221</t>
  </si>
  <si>
    <t>1233</t>
  </si>
  <si>
    <t>1224</t>
  </si>
  <si>
    <t>6985</t>
  </si>
  <si>
    <t>8201</t>
  </si>
  <si>
    <t>1278</t>
  </si>
  <si>
    <t>8002</t>
  </si>
  <si>
    <t>1332</t>
  </si>
  <si>
    <t>1337</t>
  </si>
  <si>
    <t>1350</t>
  </si>
  <si>
    <t>1359</t>
  </si>
  <si>
    <t>1368</t>
  </si>
  <si>
    <t>6762</t>
  </si>
  <si>
    <t>1413</t>
  </si>
  <si>
    <t>1431</t>
  </si>
  <si>
    <t>1449</t>
  </si>
  <si>
    <t>1503</t>
  </si>
  <si>
    <t>1576</t>
  </si>
  <si>
    <t>1602</t>
  </si>
  <si>
    <t>1619</t>
  </si>
  <si>
    <t>8105</t>
  </si>
  <si>
    <t>1638</t>
  </si>
  <si>
    <t>1675</t>
  </si>
  <si>
    <t>1701</t>
  </si>
  <si>
    <t>1719</t>
  </si>
  <si>
    <t>1782</t>
  </si>
  <si>
    <t>1791</t>
  </si>
  <si>
    <t>6957</t>
  </si>
  <si>
    <t>1854</t>
  </si>
  <si>
    <t>1863</t>
  </si>
  <si>
    <t>1908</t>
  </si>
  <si>
    <t>1926</t>
  </si>
  <si>
    <t>1944</t>
  </si>
  <si>
    <t>1953</t>
  </si>
  <si>
    <t>1963</t>
  </si>
  <si>
    <t>1965</t>
  </si>
  <si>
    <t>1967</t>
  </si>
  <si>
    <t>1968</t>
  </si>
  <si>
    <t>3978</t>
  </si>
  <si>
    <t>6741</t>
  </si>
  <si>
    <t>1970</t>
  </si>
  <si>
    <t>1972</t>
  </si>
  <si>
    <t>0657</t>
  </si>
  <si>
    <t>1989</t>
  </si>
  <si>
    <t>2016</t>
  </si>
  <si>
    <t>2088</t>
  </si>
  <si>
    <t>8102</t>
  </si>
  <si>
    <t>2097</t>
  </si>
  <si>
    <t>2113</t>
  </si>
  <si>
    <t>2124</t>
  </si>
  <si>
    <t>2151</t>
  </si>
  <si>
    <t>2169</t>
  </si>
  <si>
    <t>2205</t>
  </si>
  <si>
    <t>2295</t>
  </si>
  <si>
    <t>2313</t>
  </si>
  <si>
    <t>2322</t>
  </si>
  <si>
    <t>8615</t>
  </si>
  <si>
    <t>8001</t>
  </si>
  <si>
    <t>4131</t>
  </si>
  <si>
    <t>2349</t>
  </si>
  <si>
    <t>2369</t>
  </si>
  <si>
    <t>2376</t>
  </si>
  <si>
    <t>2403</t>
  </si>
  <si>
    <t>3600</t>
  </si>
  <si>
    <t>2457</t>
  </si>
  <si>
    <t>2466</t>
  </si>
  <si>
    <t>2493</t>
  </si>
  <si>
    <t>2502</t>
  </si>
  <si>
    <t>2511</t>
  </si>
  <si>
    <t>2520</t>
  </si>
  <si>
    <t>2682</t>
  </si>
  <si>
    <t>2556</t>
  </si>
  <si>
    <t>2709</t>
  </si>
  <si>
    <t>2718</t>
  </si>
  <si>
    <t>2727</t>
  </si>
  <si>
    <t>2754</t>
  </si>
  <si>
    <t>2772</t>
  </si>
  <si>
    <t>2781</t>
  </si>
  <si>
    <t>2826</t>
  </si>
  <si>
    <t>2834</t>
  </si>
  <si>
    <t>2846</t>
  </si>
  <si>
    <t>2862</t>
  </si>
  <si>
    <t>8137</t>
  </si>
  <si>
    <t>2977</t>
  </si>
  <si>
    <t>2988</t>
  </si>
  <si>
    <t>2766</t>
  </si>
  <si>
    <t>8104</t>
  </si>
  <si>
    <t>8158</t>
  </si>
  <si>
    <t>8114</t>
  </si>
  <si>
    <t>8119</t>
  </si>
  <si>
    <t>3029</t>
  </si>
  <si>
    <t>3033</t>
  </si>
  <si>
    <t>3042</t>
  </si>
  <si>
    <t>8305</t>
  </si>
  <si>
    <t>3060</t>
  </si>
  <si>
    <t>3168</t>
  </si>
  <si>
    <t>3105</t>
  </si>
  <si>
    <t>3114</t>
  </si>
  <si>
    <t>3119</t>
  </si>
  <si>
    <t>6983</t>
  </si>
  <si>
    <t>8303</t>
  </si>
  <si>
    <t>3141</t>
  </si>
  <si>
    <t>3150</t>
  </si>
  <si>
    <t>4271</t>
  </si>
  <si>
    <t>8506</t>
  </si>
  <si>
    <t>3154</t>
  </si>
  <si>
    <t>6990</t>
  </si>
  <si>
    <t>8311</t>
  </si>
  <si>
    <t>3186</t>
  </si>
  <si>
    <t>3195</t>
  </si>
  <si>
    <t>3204</t>
  </si>
  <si>
    <t>8115</t>
  </si>
  <si>
    <t>3231</t>
  </si>
  <si>
    <t>0819</t>
  </si>
  <si>
    <t>8302</t>
  </si>
  <si>
    <t>3312</t>
  </si>
  <si>
    <t>3330</t>
  </si>
  <si>
    <t>3348</t>
  </si>
  <si>
    <t>3375</t>
  </si>
  <si>
    <t>3420</t>
  </si>
  <si>
    <t>3465</t>
  </si>
  <si>
    <t>3537</t>
  </si>
  <si>
    <t>3555</t>
  </si>
  <si>
    <t>3609</t>
  </si>
  <si>
    <t>3645</t>
  </si>
  <si>
    <t>3715</t>
  </si>
  <si>
    <t>3744</t>
  </si>
  <si>
    <t>3798</t>
  </si>
  <si>
    <t>3816</t>
  </si>
  <si>
    <t>3841</t>
  </si>
  <si>
    <t>7029</t>
  </si>
  <si>
    <t>8204</t>
  </si>
  <si>
    <t>3897</t>
  </si>
  <si>
    <t>3906</t>
  </si>
  <si>
    <t>3942</t>
  </si>
  <si>
    <t>4023</t>
  </si>
  <si>
    <t>4033</t>
  </si>
  <si>
    <t>4041</t>
  </si>
  <si>
    <t>4043</t>
  </si>
  <si>
    <t>4068</t>
  </si>
  <si>
    <t>4086</t>
  </si>
  <si>
    <t>4104</t>
  </si>
  <si>
    <t>4122</t>
  </si>
  <si>
    <t>4203</t>
  </si>
  <si>
    <t>4212</t>
  </si>
  <si>
    <t>9611</t>
  </si>
  <si>
    <t>4419</t>
  </si>
  <si>
    <t>4269</t>
  </si>
  <si>
    <t>4356</t>
  </si>
  <si>
    <t>4149</t>
  </si>
  <si>
    <t>4437</t>
  </si>
  <si>
    <t>4446</t>
  </si>
  <si>
    <t>4491</t>
  </si>
  <si>
    <t>4505</t>
  </si>
  <si>
    <t>4509</t>
  </si>
  <si>
    <t>4518</t>
  </si>
  <si>
    <t>4527</t>
  </si>
  <si>
    <t>4536</t>
  </si>
  <si>
    <t>4554</t>
  </si>
  <si>
    <t>4572</t>
  </si>
  <si>
    <t>4581</t>
  </si>
  <si>
    <t>4599</t>
  </si>
  <si>
    <t>5607</t>
  </si>
  <si>
    <t>8319</t>
  </si>
  <si>
    <t>4617</t>
  </si>
  <si>
    <t>4662</t>
  </si>
  <si>
    <t>4689</t>
  </si>
  <si>
    <t>4644</t>
  </si>
  <si>
    <t>4725</t>
  </si>
  <si>
    <t>8602</t>
  </si>
  <si>
    <t>2673</t>
  </si>
  <si>
    <t>0153</t>
  </si>
  <si>
    <t>3691</t>
  </si>
  <si>
    <t>4774</t>
  </si>
  <si>
    <t>8401</t>
  </si>
  <si>
    <t>0873</t>
  </si>
  <si>
    <t>4778</t>
  </si>
  <si>
    <t>4777</t>
  </si>
  <si>
    <t>4776</t>
  </si>
  <si>
    <t>4779</t>
  </si>
  <si>
    <t>4784</t>
  </si>
  <si>
    <t>4785</t>
  </si>
  <si>
    <t>4787</t>
  </si>
  <si>
    <t>4773</t>
  </si>
  <si>
    <t>4775</t>
  </si>
  <si>
    <t>4788</t>
  </si>
  <si>
    <t>4797</t>
  </si>
  <si>
    <t>4860</t>
  </si>
  <si>
    <t>4869</t>
  </si>
  <si>
    <t>4878</t>
  </si>
  <si>
    <t>4890</t>
  </si>
  <si>
    <t>4905</t>
  </si>
  <si>
    <t>8308</t>
  </si>
  <si>
    <t>8625</t>
  </si>
  <si>
    <t>4978</t>
  </si>
  <si>
    <t>4995</t>
  </si>
  <si>
    <t>5013</t>
  </si>
  <si>
    <t>8301</t>
  </si>
  <si>
    <t>5049</t>
  </si>
  <si>
    <t>5121</t>
  </si>
  <si>
    <t>5139</t>
  </si>
  <si>
    <t>5160</t>
  </si>
  <si>
    <t>5163</t>
  </si>
  <si>
    <t>5166</t>
  </si>
  <si>
    <t>5184</t>
  </si>
  <si>
    <t>5250</t>
  </si>
  <si>
    <t>5256</t>
  </si>
  <si>
    <t>5283</t>
  </si>
  <si>
    <t>5310</t>
  </si>
  <si>
    <t>5325</t>
  </si>
  <si>
    <t>5328</t>
  </si>
  <si>
    <t>5337</t>
  </si>
  <si>
    <t>5463</t>
  </si>
  <si>
    <t>8216</t>
  </si>
  <si>
    <t>5486</t>
  </si>
  <si>
    <t>5508</t>
  </si>
  <si>
    <t>1975</t>
  </si>
  <si>
    <t>5510</t>
  </si>
  <si>
    <t>8315</t>
  </si>
  <si>
    <t>5625</t>
  </si>
  <si>
    <t>5643</t>
  </si>
  <si>
    <t>5697</t>
  </si>
  <si>
    <t>5724</t>
  </si>
  <si>
    <t>8111</t>
  </si>
  <si>
    <t>6102</t>
  </si>
  <si>
    <t>8304</t>
  </si>
  <si>
    <t>5805</t>
  </si>
  <si>
    <t>5823</t>
  </si>
  <si>
    <t>5832</t>
  </si>
  <si>
    <t>5868</t>
  </si>
  <si>
    <t>5877</t>
  </si>
  <si>
    <t>5895</t>
  </si>
  <si>
    <t>5949</t>
  </si>
  <si>
    <t>5976</t>
  </si>
  <si>
    <t>5994</t>
  </si>
  <si>
    <t>6003</t>
  </si>
  <si>
    <t>6012</t>
  </si>
  <si>
    <t>6030</t>
  </si>
  <si>
    <t>8314</t>
  </si>
  <si>
    <t>6035</t>
  </si>
  <si>
    <t>6093</t>
  </si>
  <si>
    <t>6095</t>
  </si>
  <si>
    <t>6099</t>
  </si>
  <si>
    <t>6097</t>
  </si>
  <si>
    <t>6098</t>
  </si>
  <si>
    <t>6101</t>
  </si>
  <si>
    <t>6094</t>
  </si>
  <si>
    <t>6096</t>
  </si>
  <si>
    <t>6091</t>
  </si>
  <si>
    <t>6120</t>
  </si>
  <si>
    <t>6138</t>
  </si>
  <si>
    <t>5751</t>
  </si>
  <si>
    <t>8107</t>
  </si>
  <si>
    <t>6822</t>
  </si>
  <si>
    <t>6768</t>
  </si>
  <si>
    <t>8110</t>
  </si>
  <si>
    <t>6219</t>
  </si>
  <si>
    <t>6950</t>
  </si>
  <si>
    <t>8109</t>
  </si>
  <si>
    <t>8113</t>
  </si>
  <si>
    <t>8217</t>
  </si>
  <si>
    <t>8116</t>
  </si>
  <si>
    <t>6579</t>
  </si>
  <si>
    <t>8112</t>
  </si>
  <si>
    <t>6867</t>
  </si>
  <si>
    <t>6165</t>
  </si>
  <si>
    <t>6175</t>
  </si>
  <si>
    <t>8603</t>
  </si>
  <si>
    <t>6246</t>
  </si>
  <si>
    <t>6273</t>
  </si>
  <si>
    <t>8005</t>
  </si>
  <si>
    <t>8008</t>
  </si>
  <si>
    <t>6408</t>
  </si>
  <si>
    <t>6417</t>
  </si>
  <si>
    <t>6453</t>
  </si>
  <si>
    <t>6460</t>
  </si>
  <si>
    <t>6462</t>
  </si>
  <si>
    <t>6509</t>
  </si>
  <si>
    <t>8214</t>
  </si>
  <si>
    <t>6471</t>
  </si>
  <si>
    <t>6512</t>
  </si>
  <si>
    <t>6516</t>
  </si>
  <si>
    <t>6534</t>
  </si>
  <si>
    <t>6536</t>
  </si>
  <si>
    <t>6561</t>
  </si>
  <si>
    <t>8317</t>
  </si>
  <si>
    <t>6591</t>
  </si>
  <si>
    <t>6592</t>
  </si>
  <si>
    <t>6615</t>
  </si>
  <si>
    <t>6633</t>
  </si>
  <si>
    <t>6651</t>
  </si>
  <si>
    <t>6660</t>
  </si>
  <si>
    <t>6700</t>
  </si>
  <si>
    <t>6750</t>
  </si>
  <si>
    <t>6759</t>
  </si>
  <si>
    <t>6854</t>
  </si>
  <si>
    <t>6921</t>
  </si>
  <si>
    <t>6930</t>
  </si>
  <si>
    <t>6937</t>
  </si>
  <si>
    <t>6943</t>
  </si>
  <si>
    <t>6264</t>
  </si>
  <si>
    <t>5922</t>
  </si>
  <si>
    <t>6969</t>
  </si>
  <si>
    <t>6975</t>
  </si>
  <si>
    <t>6987</t>
  </si>
  <si>
    <t>8309</t>
  </si>
  <si>
    <t>6992</t>
  </si>
  <si>
    <t>7002</t>
  </si>
  <si>
    <t>7038</t>
  </si>
  <si>
    <t>7047</t>
  </si>
  <si>
    <t>7056</t>
  </si>
  <si>
    <t>7092</t>
  </si>
  <si>
    <t>7098</t>
  </si>
  <si>
    <t>8628</t>
  </si>
  <si>
    <t>9610</t>
  </si>
  <si>
    <t>8606</t>
  </si>
  <si>
    <t>8203</t>
  </si>
  <si>
    <t>Entitlement Balance Remaining for 6 state orders</t>
  </si>
  <si>
    <t>53. AdvancePierre Foods, Inc. (peaches)</t>
  </si>
  <si>
    <t>54. AdvancePierre Foods, Inc. (pears)</t>
  </si>
  <si>
    <t>55. Citrus Systems (orange juice)</t>
  </si>
  <si>
    <t>56. Horizon Foods (apples slices frozen)</t>
  </si>
  <si>
    <t>57. Horizon Foods (cherries IQF frozen)</t>
  </si>
  <si>
    <t xml:space="preserve">58. Schwans Foodservice </t>
  </si>
  <si>
    <t>59. Red Gold</t>
  </si>
  <si>
    <t>60. AdvancePierre, Inc.</t>
  </si>
  <si>
    <t xml:space="preserve">61. Asian Food Solutions </t>
  </si>
  <si>
    <t xml:space="preserve">62. Country Home Bakers </t>
  </si>
  <si>
    <t xml:space="preserve">63. J&amp;J Snack Foods </t>
  </si>
  <si>
    <t xml:space="preserve">64. Rich's Products Corp. </t>
  </si>
  <si>
    <t xml:space="preserve">65. Schwans Foodservice </t>
  </si>
  <si>
    <t>66. Barrel of Fun</t>
  </si>
  <si>
    <t xml:space="preserve">67. Asian Food Solutions </t>
  </si>
  <si>
    <t xml:space="preserve">68. Highliner </t>
  </si>
  <si>
    <t xml:space="preserve">69. Trident Seafoods Corp </t>
  </si>
  <si>
    <t>68. Basic American Foods (for dehy)</t>
  </si>
  <si>
    <t>69. Idahoan Foods (for dehy)</t>
  </si>
  <si>
    <t>70. J.R. Simplot (for dehy)</t>
  </si>
  <si>
    <t>71. J.R. Simplot (for frozen)</t>
  </si>
  <si>
    <t>72. Lamb Weston (for frozen)</t>
  </si>
  <si>
    <t>73. Mc Cain Foods, USA (for frozen)</t>
  </si>
  <si>
    <t>74. J. R. Simplot (sweet potatoes)</t>
  </si>
  <si>
    <t>75. Lamb Weston (sweet potatoes)</t>
  </si>
  <si>
    <t>76. Mc Cain Foods, USA (sweet potatoes)</t>
  </si>
  <si>
    <t>Due: March 8th, 2013</t>
  </si>
  <si>
    <t xml:space="preserve">Total NOI Request </t>
  </si>
  <si>
    <t xml:space="preserve"> DoD Budget, SY 14</t>
  </si>
  <si>
    <t xml:space="preserve"> NOI Request, SY 14</t>
  </si>
  <si>
    <t>Estimated Entitlement Budget Overview, SY 14</t>
  </si>
  <si>
    <t xml:space="preserve"> NOI Request Form</t>
  </si>
  <si>
    <t>Phone:  515-725-2887</t>
  </si>
  <si>
    <t>NOI Request Overview</t>
  </si>
  <si>
    <t xml:space="preserve">Estimated Total Entitlement Budget (taken from SY 13) </t>
  </si>
  <si>
    <t>Processor Name</t>
  </si>
  <si>
    <t>Material #</t>
  </si>
  <si>
    <t xml:space="preserve">Total $ Value </t>
  </si>
  <si>
    <t>$ Value</t>
  </si>
  <si>
    <t>Estimated Entitlement Budget</t>
  </si>
  <si>
    <t>Contact Name:</t>
  </si>
  <si>
    <t xml:space="preserve">Potatoes </t>
  </si>
  <si>
    <t xml:space="preserve">Pollock </t>
  </si>
  <si>
    <t xml:space="preserve">Brown Rice  </t>
  </si>
  <si>
    <t xml:space="preserve">Corn  </t>
  </si>
  <si>
    <t xml:space="preserve">Flour </t>
  </si>
  <si>
    <t xml:space="preserve">Peanut Butter </t>
  </si>
  <si>
    <t xml:space="preserve">Tomato Paste  </t>
  </si>
  <si>
    <t xml:space="preserve">Fruit/Juice </t>
  </si>
  <si>
    <t xml:space="preserve">Pork </t>
  </si>
  <si>
    <t xml:space="preserve">Beef </t>
  </si>
  <si>
    <t xml:space="preserve">Turkey </t>
  </si>
  <si>
    <t xml:space="preserve">Chicken </t>
  </si>
  <si>
    <t xml:space="preserve">Cheese </t>
  </si>
  <si>
    <t>Chicken</t>
  </si>
  <si>
    <t>Turkey</t>
  </si>
  <si>
    <t>Beef</t>
  </si>
  <si>
    <t>Pork</t>
  </si>
  <si>
    <t xml:space="preserve">Fruit Juice </t>
  </si>
  <si>
    <t xml:space="preserve">Brown Rice </t>
  </si>
  <si>
    <t>Flour</t>
  </si>
  <si>
    <t>Corn</t>
  </si>
  <si>
    <t>Peanut Butter</t>
  </si>
  <si>
    <t>Pollock</t>
  </si>
  <si>
    <t>Fax: 515-242-5988</t>
  </si>
</sst>
</file>

<file path=xl/styles.xml><?xml version="1.0" encoding="utf-8"?>
<styleSheet xmlns="http://schemas.openxmlformats.org/spreadsheetml/2006/main">
  <numFmts count="10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??_);_(@_)"/>
    <numFmt numFmtId="165" formatCode="&quot;$&quot;#,##0.00"/>
    <numFmt numFmtId="166" formatCode="_(* #,##0.0000_);_(* \(#,##0.0000\);_(* &quot;-&quot;??_);_(@_)"/>
    <numFmt numFmtId="167" formatCode="&quot;$&quot;#,##0.0000"/>
    <numFmt numFmtId="168" formatCode="_(* #,##0.00_);_(* \(#,##0.00\);_(* \-??_);_(@_)"/>
    <numFmt numFmtId="169" formatCode="_(* #,##0_);_(* \(#,##0\);_(* &quot;-&quot;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indexed="8"/>
      <name val="Calibri"/>
      <family val="2"/>
    </font>
    <font>
      <sz val="10"/>
      <name val="MS Sans Serif"/>
      <family val="2"/>
    </font>
    <font>
      <b/>
      <sz val="8"/>
      <color rgb="FF000000"/>
      <name val="Arial"/>
      <family val="2"/>
    </font>
    <font>
      <b/>
      <sz val="11"/>
      <color indexed="8"/>
      <name val="Calibri"/>
      <family val="2"/>
    </font>
    <font>
      <sz val="8"/>
      <color rgb="FF000000"/>
      <name val="Arial"/>
      <family val="2"/>
    </font>
    <font>
      <i/>
      <sz val="11"/>
      <color indexed="8"/>
      <name val="Calibri"/>
      <family val="2"/>
    </font>
    <font>
      <b/>
      <i/>
      <sz val="11"/>
      <color indexed="8"/>
      <name val="Calibri"/>
      <family val="2"/>
    </font>
    <font>
      <u/>
      <sz val="11"/>
      <color theme="10"/>
      <name val="Calibri"/>
      <family val="2"/>
    </font>
    <font>
      <u/>
      <sz val="11"/>
      <color indexed="12"/>
      <name val="Calibri"/>
      <family val="2"/>
    </font>
    <font>
      <sz val="11"/>
      <color indexed="8"/>
      <name val="Calibri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Calibri"/>
      <family val="2"/>
    </font>
    <font>
      <sz val="11"/>
      <color indexed="49"/>
      <name val="Calibri"/>
      <family val="2"/>
    </font>
    <font>
      <b/>
      <sz val="11"/>
      <color rgb="FFFF0000"/>
      <name val="Calibri"/>
      <family val="2"/>
      <scheme val="minor"/>
    </font>
    <font>
      <sz val="14"/>
      <color indexed="8"/>
      <name val="Arial"/>
      <family val="2"/>
    </font>
    <font>
      <i/>
      <sz val="11.5"/>
      <color indexed="10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4"/>
      <color indexed="6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Book Antiqua"/>
      <family val="1"/>
    </font>
    <font>
      <sz val="10"/>
      <name val="Verdana"/>
      <family val="2"/>
    </font>
    <font>
      <sz val="10"/>
      <name val="Helv"/>
    </font>
    <font>
      <u/>
      <sz val="10"/>
      <color indexed="12"/>
      <name val="Arial"/>
      <family val="2"/>
    </font>
    <font>
      <u/>
      <sz val="10.45"/>
      <color indexed="12"/>
      <name val="Arial"/>
      <family val="2"/>
    </font>
    <font>
      <u/>
      <sz val="6"/>
      <color indexed="12"/>
      <name val="Arial"/>
      <family val="2"/>
    </font>
    <font>
      <u/>
      <sz val="10"/>
      <color theme="10"/>
      <name val="Arial"/>
      <family val="2"/>
    </font>
    <font>
      <sz val="12"/>
      <name val="Arial Narrow"/>
      <family val="2"/>
    </font>
    <font>
      <i/>
      <sz val="11.5"/>
      <name val="Calibri"/>
      <family val="2"/>
    </font>
    <font>
      <b/>
      <sz val="18"/>
      <color rgb="FFFF0000"/>
      <name val="Calibri"/>
      <family val="2"/>
    </font>
    <font>
      <b/>
      <sz val="14"/>
      <color indexed="8"/>
      <name val="Arial"/>
      <family val="2"/>
    </font>
    <font>
      <sz val="11"/>
      <name val="Calibri"/>
      <family val="2"/>
    </font>
    <font>
      <b/>
      <u/>
      <sz val="11"/>
      <color indexed="8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medium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23"/>
      </right>
      <top style="medium">
        <color indexed="64"/>
      </top>
      <bottom style="thin">
        <color theme="0" tint="-0.499984740745262"/>
      </bottom>
      <diagonal/>
    </border>
    <border>
      <left style="thin">
        <color indexed="23"/>
      </left>
      <right style="thin">
        <color indexed="23"/>
      </right>
      <top style="medium">
        <color indexed="64"/>
      </top>
      <bottom style="thin">
        <color indexed="23"/>
      </bottom>
      <diagonal/>
    </border>
    <border>
      <left style="medium">
        <color indexed="64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indexed="23"/>
      </right>
      <top style="thin">
        <color theme="0" tint="-0.499984740745262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medium">
        <color indexed="64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medium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indexed="23"/>
      </right>
      <top style="medium">
        <color indexed="64"/>
      </top>
      <bottom style="thin">
        <color theme="0" tint="-0.499984740745262"/>
      </bottom>
      <diagonal/>
    </border>
    <border>
      <left/>
      <right style="thin">
        <color indexed="23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23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7">
    <xf numFmtId="0" fontId="0" fillId="0" borderId="0"/>
    <xf numFmtId="0" fontId="1" fillId="11" borderId="0" applyNumberFormat="0" applyBorder="0" applyAlignment="0" applyProtection="0"/>
    <xf numFmtId="0" fontId="3" fillId="13" borderId="0" applyNumberFormat="0" applyBorder="0" applyAlignment="0" applyProtection="0"/>
    <xf numFmtId="0" fontId="5" fillId="0" borderId="0"/>
    <xf numFmtId="0" fontId="11" fillId="0" borderId="0" applyNumberFormat="0" applyFill="0" applyBorder="0" applyAlignment="0" applyProtection="0">
      <alignment vertical="top"/>
      <protection locked="0"/>
    </xf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8" fontId="29" fillId="0" borderId="0" applyFill="0" applyBorder="0" applyAlignment="0" applyProtection="0"/>
    <xf numFmtId="43" fontId="1" fillId="0" borderId="0" applyFont="0" applyFill="0" applyBorder="0" applyAlignment="0" applyProtection="0"/>
    <xf numFmtId="8" fontId="30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7" fillId="0" borderId="0"/>
    <xf numFmtId="0" fontId="1" fillId="0" borderId="0"/>
    <xf numFmtId="0" fontId="30" fillId="0" borderId="0"/>
    <xf numFmtId="0" fontId="26" fillId="0" borderId="0"/>
    <xf numFmtId="0" fontId="27" fillId="0" borderId="0"/>
    <xf numFmtId="0" fontId="1" fillId="0" borderId="0"/>
    <xf numFmtId="0" fontId="30" fillId="0" borderId="0"/>
    <xf numFmtId="0" fontId="27" fillId="0" borderId="0"/>
    <xf numFmtId="0" fontId="27" fillId="0" borderId="0"/>
    <xf numFmtId="0" fontId="13" fillId="0" borderId="0"/>
    <xf numFmtId="0" fontId="28" fillId="0" borderId="0"/>
    <xf numFmtId="0" fontId="28" fillId="0" borderId="0"/>
    <xf numFmtId="0" fontId="27" fillId="0" borderId="0"/>
    <xf numFmtId="0" fontId="35" fillId="0" borderId="0"/>
    <xf numFmtId="0" fontId="29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4">
    <xf numFmtId="0" fontId="0" fillId="0" borderId="0" xfId="0"/>
    <xf numFmtId="0" fontId="4" fillId="0" borderId="0" xfId="0" applyFont="1" applyAlignment="1">
      <alignment horizontal="center" vertical="center"/>
    </xf>
    <xf numFmtId="0" fontId="6" fillId="16" borderId="2" xfId="3" applyFont="1" applyFill="1" applyBorder="1" applyAlignment="1" applyProtection="1">
      <alignment horizontal="center" vertical="center"/>
    </xf>
    <xf numFmtId="0" fontId="7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3" xfId="3" applyFont="1" applyFill="1" applyBorder="1" applyAlignment="1" applyProtection="1">
      <alignment vertical="center" wrapText="1"/>
    </xf>
    <xf numFmtId="0" fontId="9" fillId="0" borderId="0" xfId="0" applyFont="1" applyBorder="1" applyAlignment="1">
      <alignment horizontal="left" wrapText="1"/>
    </xf>
    <xf numFmtId="0" fontId="10" fillId="18" borderId="2" xfId="0" applyFont="1" applyFill="1" applyBorder="1" applyAlignment="1">
      <alignment horizontal="center" vertical="center" wrapText="1"/>
    </xf>
    <xf numFmtId="0" fontId="7" fillId="19" borderId="5" xfId="0" applyFont="1" applyFill="1" applyBorder="1" applyAlignment="1">
      <alignment horizontal="center" vertical="center"/>
    </xf>
    <xf numFmtId="0" fontId="7" fillId="19" borderId="5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 wrapText="1"/>
    </xf>
    <xf numFmtId="0" fontId="7" fillId="19" borderId="0" xfId="0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0" xfId="0" applyBorder="1" applyAlignment="1">
      <alignment horizontal="center" vertical="center"/>
    </xf>
    <xf numFmtId="0" fontId="7" fillId="20" borderId="0" xfId="0" applyFont="1" applyFill="1"/>
    <xf numFmtId="0" fontId="0" fillId="18" borderId="13" xfId="0" applyFont="1" applyFill="1" applyBorder="1" applyAlignment="1">
      <alignment horizontal="center"/>
    </xf>
    <xf numFmtId="0" fontId="0" fillId="18" borderId="0" xfId="0" applyFont="1" applyFill="1" applyBorder="1" applyAlignment="1">
      <alignment horizontal="center"/>
    </xf>
    <xf numFmtId="0" fontId="14" fillId="20" borderId="14" xfId="0" applyFont="1" applyFill="1" applyBorder="1" applyAlignment="1">
      <alignment horizontal="center"/>
    </xf>
    <xf numFmtId="164" fontId="14" fillId="20" borderId="14" xfId="0" applyNumberFormat="1" applyFont="1" applyFill="1" applyBorder="1" applyAlignment="1">
      <alignment horizontal="center"/>
    </xf>
    <xf numFmtId="164" fontId="0" fillId="20" borderId="14" xfId="0" applyNumberFormat="1" applyFill="1" applyBorder="1" applyProtection="1">
      <protection hidden="1"/>
    </xf>
    <xf numFmtId="0" fontId="11" fillId="20" borderId="15" xfId="4" applyFill="1" applyBorder="1" applyAlignment="1" applyProtection="1">
      <alignment horizontal="left" indent="1"/>
    </xf>
    <xf numFmtId="0" fontId="11" fillId="20" borderId="0" xfId="4" applyFill="1" applyBorder="1" applyAlignment="1" applyProtection="1">
      <alignment horizontal="left" indent="1"/>
    </xf>
    <xf numFmtId="0" fontId="0" fillId="20" borderId="0" xfId="0" applyFill="1"/>
    <xf numFmtId="0" fontId="14" fillId="20" borderId="16" xfId="0" applyFont="1" applyFill="1" applyBorder="1" applyAlignment="1">
      <alignment horizontal="center"/>
    </xf>
    <xf numFmtId="164" fontId="14" fillId="0" borderId="16" xfId="0" applyNumberFormat="1" applyFont="1" applyBorder="1" applyAlignment="1">
      <alignment horizontal="center"/>
    </xf>
    <xf numFmtId="164" fontId="0" fillId="20" borderId="16" xfId="0" applyNumberFormat="1" applyFill="1" applyBorder="1" applyProtection="1">
      <protection hidden="1"/>
    </xf>
    <xf numFmtId="0" fontId="11" fillId="0" borderId="15" xfId="4" applyBorder="1" applyAlignment="1" applyProtection="1">
      <alignment horizontal="left" indent="1"/>
    </xf>
    <xf numFmtId="0" fontId="11" fillId="0" borderId="0" xfId="4" applyBorder="1" applyAlignment="1" applyProtection="1">
      <alignment horizontal="left" indent="1"/>
    </xf>
    <xf numFmtId="164" fontId="0" fillId="0" borderId="16" xfId="0" applyNumberFormat="1" applyBorder="1" applyProtection="1">
      <protection hidden="1"/>
    </xf>
    <xf numFmtId="0" fontId="14" fillId="20" borderId="17" xfId="0" applyFont="1" applyFill="1" applyBorder="1" applyAlignment="1">
      <alignment horizontal="center"/>
    </xf>
    <xf numFmtId="164" fontId="14" fillId="0" borderId="17" xfId="0" applyNumberFormat="1" applyFont="1" applyBorder="1" applyAlignment="1">
      <alignment horizontal="center"/>
    </xf>
    <xf numFmtId="164" fontId="0" fillId="0" borderId="17" xfId="0" applyNumberFormat="1" applyBorder="1" applyProtection="1">
      <protection hidden="1"/>
    </xf>
    <xf numFmtId="164" fontId="14" fillId="20" borderId="16" xfId="0" applyNumberFormat="1" applyFont="1" applyFill="1" applyBorder="1" applyAlignment="1">
      <alignment horizontal="center"/>
    </xf>
    <xf numFmtId="0" fontId="14" fillId="21" borderId="16" xfId="0" applyFont="1" applyFill="1" applyBorder="1" applyAlignment="1">
      <alignment horizontal="center"/>
    </xf>
    <xf numFmtId="0" fontId="16" fillId="18" borderId="13" xfId="0" applyFont="1" applyFill="1" applyBorder="1" applyAlignment="1">
      <alignment horizontal="left" indent="1"/>
    </xf>
    <xf numFmtId="0" fontId="16" fillId="18" borderId="0" xfId="0" applyFont="1" applyFill="1" applyBorder="1" applyAlignment="1">
      <alignment horizontal="left" indent="1"/>
    </xf>
    <xf numFmtId="164" fontId="17" fillId="0" borderId="2" xfId="0" applyNumberFormat="1" applyFont="1" applyBorder="1"/>
    <xf numFmtId="0" fontId="14" fillId="21" borderId="14" xfId="0" applyFont="1" applyFill="1" applyBorder="1" applyAlignment="1">
      <alignment horizontal="center"/>
    </xf>
    <xf numFmtId="164" fontId="14" fillId="0" borderId="14" xfId="0" applyNumberFormat="1" applyFont="1" applyBorder="1" applyAlignment="1">
      <alignment horizontal="center"/>
    </xf>
    <xf numFmtId="164" fontId="0" fillId="0" borderId="14" xfId="0" applyNumberFormat="1" applyBorder="1" applyProtection="1">
      <protection hidden="1"/>
    </xf>
    <xf numFmtId="164" fontId="17" fillId="20" borderId="0" xfId="0" applyNumberFormat="1" applyFont="1" applyFill="1" applyBorder="1"/>
    <xf numFmtId="0" fontId="14" fillId="21" borderId="17" xfId="0" applyFont="1" applyFill="1" applyBorder="1" applyAlignment="1">
      <alignment horizontal="center"/>
    </xf>
    <xf numFmtId="0" fontId="14" fillId="21" borderId="18" xfId="0" applyFont="1" applyFill="1" applyBorder="1" applyAlignment="1">
      <alignment horizontal="center"/>
    </xf>
    <xf numFmtId="164" fontId="17" fillId="0" borderId="0" xfId="0" applyNumberFormat="1" applyFont="1" applyBorder="1"/>
    <xf numFmtId="0" fontId="11" fillId="0" borderId="18" xfId="4" applyBorder="1" applyAlignment="1" applyProtection="1">
      <alignment horizontal="left" indent="1"/>
    </xf>
    <xf numFmtId="0" fontId="7" fillId="18" borderId="0" xfId="0" applyFont="1" applyFill="1"/>
    <xf numFmtId="164" fontId="14" fillId="20" borderId="17" xfId="0" applyNumberFormat="1" applyFont="1" applyFill="1" applyBorder="1" applyAlignment="1">
      <alignment horizontal="center"/>
    </xf>
    <xf numFmtId="164" fontId="0" fillId="20" borderId="17" xfId="0" applyNumberFormat="1" applyFill="1" applyBorder="1" applyProtection="1">
      <protection hidden="1"/>
    </xf>
    <xf numFmtId="0" fontId="0" fillId="0" borderId="0" xfId="0" applyFill="1"/>
    <xf numFmtId="0" fontId="7" fillId="0" borderId="0" xfId="0" applyFont="1" applyBorder="1"/>
    <xf numFmtId="0" fontId="7" fillId="0" borderId="0" xfId="0" applyFont="1" applyFill="1"/>
    <xf numFmtId="0" fontId="14" fillId="0" borderId="22" xfId="0" applyFont="1" applyFill="1" applyBorder="1" applyAlignment="1" applyProtection="1">
      <alignment horizontal="center"/>
    </xf>
    <xf numFmtId="164" fontId="14" fillId="0" borderId="23" xfId="0" applyNumberFormat="1" applyFont="1" applyFill="1" applyBorder="1" applyAlignment="1" applyProtection="1">
      <alignment horizontal="center"/>
    </xf>
    <xf numFmtId="164" fontId="0" fillId="0" borderId="24" xfId="0" applyNumberFormat="1" applyFill="1" applyBorder="1" applyProtection="1"/>
    <xf numFmtId="0" fontId="0" fillId="0" borderId="0" xfId="0" applyBorder="1"/>
    <xf numFmtId="0" fontId="14" fillId="0" borderId="26" xfId="0" applyFont="1" applyFill="1" applyBorder="1" applyAlignment="1" applyProtection="1">
      <alignment horizontal="center"/>
    </xf>
    <xf numFmtId="164" fontId="14" fillId="0" borderId="27" xfId="0" applyNumberFormat="1" applyFont="1" applyFill="1" applyBorder="1" applyAlignment="1" applyProtection="1">
      <alignment horizontal="center"/>
    </xf>
    <xf numFmtId="164" fontId="0" fillId="0" borderId="28" xfId="0" applyNumberFormat="1" applyFill="1" applyBorder="1" applyProtection="1"/>
    <xf numFmtId="0" fontId="11" fillId="0" borderId="15" xfId="4" applyFill="1" applyBorder="1" applyAlignment="1" applyProtection="1">
      <alignment horizontal="left" indent="1"/>
    </xf>
    <xf numFmtId="0" fontId="16" fillId="0" borderId="0" xfId="0" applyFont="1" applyFill="1" applyBorder="1" applyAlignment="1">
      <alignment horizontal="left" indent="1"/>
    </xf>
    <xf numFmtId="164" fontId="17" fillId="0" borderId="29" xfId="0" applyNumberFormat="1" applyFont="1" applyFill="1" applyBorder="1"/>
    <xf numFmtId="0" fontId="7" fillId="0" borderId="0" xfId="0" applyFont="1" applyFill="1" applyBorder="1"/>
    <xf numFmtId="0" fontId="11" fillId="0" borderId="16" xfId="4" applyBorder="1" applyAlignment="1" applyProtection="1">
      <alignment horizontal="left" indent="1"/>
    </xf>
    <xf numFmtId="0" fontId="11" fillId="0" borderId="21" xfId="4" applyBorder="1" applyAlignment="1" applyProtection="1">
      <alignment horizontal="left" indent="1"/>
    </xf>
    <xf numFmtId="0" fontId="7" fillId="0" borderId="18" xfId="0" applyFont="1" applyBorder="1"/>
    <xf numFmtId="0" fontId="7" fillId="0" borderId="16" xfId="0" applyFont="1" applyBorder="1"/>
    <xf numFmtId="0" fontId="14" fillId="21" borderId="30" xfId="0" applyFont="1" applyFill="1" applyBorder="1" applyAlignment="1">
      <alignment horizontal="center"/>
    </xf>
    <xf numFmtId="164" fontId="14" fillId="0" borderId="30" xfId="0" applyNumberFormat="1" applyFont="1" applyBorder="1" applyAlignment="1">
      <alignment horizontal="center"/>
    </xf>
    <xf numFmtId="164" fontId="0" fillId="0" borderId="30" xfId="0" applyNumberFormat="1" applyBorder="1" applyProtection="1">
      <protection hidden="1"/>
    </xf>
    <xf numFmtId="0" fontId="11" fillId="0" borderId="30" xfId="4" applyBorder="1" applyAlignment="1" applyProtection="1">
      <alignment horizontal="left" indent="1"/>
    </xf>
    <xf numFmtId="164" fontId="17" fillId="0" borderId="29" xfId="0" applyNumberFormat="1" applyFont="1" applyBorder="1"/>
    <xf numFmtId="0" fontId="0" fillId="0" borderId="0" xfId="0" applyFill="1" applyBorder="1"/>
    <xf numFmtId="0" fontId="0" fillId="0" borderId="18" xfId="0" applyBorder="1"/>
    <xf numFmtId="0" fontId="0" fillId="0" borderId="16" xfId="0" applyBorder="1"/>
    <xf numFmtId="0" fontId="11" fillId="0" borderId="31" xfId="4" applyBorder="1" applyAlignment="1" applyProtection="1">
      <alignment horizontal="left" indent="1"/>
    </xf>
    <xf numFmtId="0" fontId="11" fillId="0" borderId="32" xfId="4" applyBorder="1" applyAlignment="1" applyProtection="1">
      <alignment horizontal="left" indent="1"/>
    </xf>
    <xf numFmtId="164" fontId="17" fillId="0" borderId="0" xfId="0" applyNumberFormat="1" applyFont="1" applyFill="1" applyBorder="1"/>
    <xf numFmtId="0" fontId="11" fillId="0" borderId="33" xfId="4" applyBorder="1" applyAlignment="1" applyProtection="1">
      <alignment horizontal="left" indent="1"/>
    </xf>
    <xf numFmtId="0" fontId="14" fillId="21" borderId="34" xfId="0" applyFont="1" applyFill="1" applyBorder="1" applyAlignment="1">
      <alignment horizontal="center"/>
    </xf>
    <xf numFmtId="164" fontId="14" fillId="0" borderId="34" xfId="0" applyNumberFormat="1" applyFont="1" applyBorder="1" applyAlignment="1">
      <alignment horizontal="center"/>
    </xf>
    <xf numFmtId="164" fontId="0" fillId="0" borderId="35" xfId="0" applyNumberFormat="1" applyBorder="1" applyProtection="1">
      <protection hidden="1"/>
    </xf>
    <xf numFmtId="0" fontId="11" fillId="0" borderId="36" xfId="4" applyBorder="1" applyAlignment="1" applyProtection="1">
      <alignment horizontal="left" indent="1"/>
    </xf>
    <xf numFmtId="0" fontId="14" fillId="21" borderId="37" xfId="0" applyFont="1" applyFill="1" applyBorder="1" applyAlignment="1">
      <alignment horizontal="center"/>
    </xf>
    <xf numFmtId="164" fontId="14" fillId="0" borderId="37" xfId="0" applyNumberFormat="1" applyFont="1" applyBorder="1" applyAlignment="1">
      <alignment horizontal="center"/>
    </xf>
    <xf numFmtId="164" fontId="0" fillId="0" borderId="38" xfId="0" applyNumberFormat="1" applyBorder="1" applyProtection="1">
      <protection hidden="1"/>
    </xf>
    <xf numFmtId="0" fontId="14" fillId="21" borderId="39" xfId="0" applyFont="1" applyFill="1" applyBorder="1" applyAlignment="1">
      <alignment horizontal="center"/>
    </xf>
    <xf numFmtId="164" fontId="14" fillId="0" borderId="39" xfId="0" applyNumberFormat="1" applyFont="1" applyBorder="1" applyAlignment="1">
      <alignment horizontal="center"/>
    </xf>
    <xf numFmtId="164" fontId="0" fillId="0" borderId="40" xfId="0" applyNumberFormat="1" applyBorder="1" applyProtection="1">
      <protection hidden="1"/>
    </xf>
    <xf numFmtId="0" fontId="16" fillId="18" borderId="12" xfId="0" applyFont="1" applyFill="1" applyBorder="1" applyAlignment="1">
      <alignment horizontal="left" indent="1"/>
    </xf>
    <xf numFmtId="164" fontId="14" fillId="0" borderId="41" xfId="0" applyNumberFormat="1" applyFont="1" applyBorder="1" applyAlignment="1">
      <alignment horizontal="center"/>
    </xf>
    <xf numFmtId="164" fontId="0" fillId="0" borderId="42" xfId="0" applyNumberFormat="1" applyBorder="1" applyProtection="1">
      <protection hidden="1"/>
    </xf>
    <xf numFmtId="0" fontId="14" fillId="21" borderId="41" xfId="0" applyFont="1" applyFill="1" applyBorder="1" applyAlignment="1">
      <alignment horizontal="center"/>
    </xf>
    <xf numFmtId="0" fontId="7" fillId="0" borderId="0" xfId="0" applyFont="1" applyFill="1" applyBorder="1" applyAlignment="1">
      <alignment vertical="center"/>
    </xf>
    <xf numFmtId="0" fontId="7" fillId="0" borderId="43" xfId="0" applyFont="1" applyFill="1" applyBorder="1" applyAlignment="1">
      <alignment vertical="center"/>
    </xf>
    <xf numFmtId="0" fontId="0" fillId="0" borderId="0" xfId="0" applyFont="1"/>
    <xf numFmtId="7" fontId="1" fillId="0" borderId="12" xfId="5" applyNumberFormat="1" applyFont="1" applyBorder="1"/>
    <xf numFmtId="164" fontId="0" fillId="0" borderId="0" xfId="0" applyNumberFormat="1" applyAlignment="1">
      <alignment horizontal="center"/>
    </xf>
    <xf numFmtId="0" fontId="11" fillId="0" borderId="0" xfId="4" applyAlignment="1" applyProtection="1"/>
    <xf numFmtId="0" fontId="19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165" fontId="21" fillId="0" borderId="0" xfId="0" applyNumberFormat="1" applyFont="1" applyFill="1" applyBorder="1" applyAlignment="1" applyProtection="1">
      <protection locked="0"/>
    </xf>
    <xf numFmtId="165" fontId="21" fillId="0" borderId="0" xfId="0" applyNumberFormat="1" applyFont="1" applyFill="1" applyBorder="1" applyProtection="1"/>
    <xf numFmtId="1" fontId="1" fillId="0" borderId="0" xfId="1" applyNumberFormat="1" applyFont="1" applyFill="1" applyBorder="1" applyAlignment="1" applyProtection="1"/>
    <xf numFmtId="0" fontId="22" fillId="0" borderId="0" xfId="0" applyFont="1" applyFill="1" applyBorder="1" applyAlignment="1">
      <alignment horizontal="right"/>
    </xf>
    <xf numFmtId="167" fontId="0" fillId="0" borderId="0" xfId="0" applyNumberFormat="1" applyFill="1" applyBorder="1" applyAlignment="1" applyProtection="1">
      <alignment shrinkToFit="1"/>
      <protection hidden="1"/>
    </xf>
    <xf numFmtId="167" fontId="23" fillId="0" borderId="0" xfId="0" applyNumberFormat="1" applyFont="1" applyFill="1" applyBorder="1"/>
    <xf numFmtId="0" fontId="19" fillId="0" borderId="0" xfId="0" applyFont="1" applyAlignment="1">
      <alignment horizontal="center" vertical="center"/>
    </xf>
    <xf numFmtId="0" fontId="21" fillId="21" borderId="0" xfId="0" applyFont="1" applyFill="1" applyBorder="1" applyAlignment="1">
      <alignment horizontal="left" indent="1"/>
    </xf>
    <xf numFmtId="0" fontId="22" fillId="21" borderId="0" xfId="0" applyFont="1" applyFill="1" applyBorder="1" applyAlignment="1">
      <alignment horizontal="center" wrapText="1"/>
    </xf>
    <xf numFmtId="1" fontId="13" fillId="0" borderId="25" xfId="1" applyNumberFormat="1" applyFont="1" applyFill="1" applyBorder="1" applyAlignment="1" applyProtection="1">
      <alignment horizontal="left" indent="1"/>
    </xf>
    <xf numFmtId="0" fontId="22" fillId="0" borderId="0" xfId="0" applyFont="1" applyBorder="1" applyAlignment="1">
      <alignment horizontal="center" wrapText="1"/>
    </xf>
    <xf numFmtId="0" fontId="21" fillId="0" borderId="0" xfId="0" applyFont="1" applyBorder="1" applyAlignment="1">
      <alignment horizontal="center" wrapText="1"/>
    </xf>
    <xf numFmtId="0" fontId="13" fillId="21" borderId="45" xfId="0" applyFont="1" applyFill="1" applyBorder="1"/>
    <xf numFmtId="0" fontId="21" fillId="0" borderId="0" xfId="0" applyFont="1" applyBorder="1" applyAlignment="1">
      <alignment wrapText="1"/>
    </xf>
    <xf numFmtId="167" fontId="0" fillId="21" borderId="0" xfId="0" applyNumberFormat="1" applyFill="1" applyBorder="1" applyAlignment="1" applyProtection="1">
      <alignment shrinkToFit="1"/>
      <protection hidden="1"/>
    </xf>
    <xf numFmtId="0" fontId="8" fillId="0" borderId="3" xfId="3" applyFont="1" applyFill="1" applyBorder="1" applyAlignment="1" applyProtection="1">
      <alignment horizontal="right" vertical="center" wrapText="1"/>
    </xf>
    <xf numFmtId="2" fontId="8" fillId="0" borderId="3" xfId="3" applyNumberFormat="1" applyFont="1" applyFill="1" applyBorder="1" applyAlignment="1" applyProtection="1">
      <alignment horizontal="right" vertical="center" wrapText="1"/>
    </xf>
    <xf numFmtId="0" fontId="6" fillId="16" borderId="0" xfId="3" applyFont="1" applyFill="1" applyBorder="1" applyAlignment="1" applyProtection="1">
      <alignment horizontal="center" vertical="center"/>
    </xf>
    <xf numFmtId="2" fontId="14" fillId="17" borderId="16" xfId="6" applyNumberFormat="1" applyFont="1" applyFill="1" applyBorder="1" applyAlignment="1" applyProtection="1">
      <alignment horizontal="center"/>
      <protection locked="0"/>
    </xf>
    <xf numFmtId="39" fontId="14" fillId="17" borderId="14" xfId="6" applyNumberFormat="1" applyFont="1" applyFill="1" applyBorder="1" applyAlignment="1" applyProtection="1">
      <alignment horizontal="center"/>
      <protection locked="0"/>
    </xf>
    <xf numFmtId="39" fontId="14" fillId="17" borderId="16" xfId="6" applyNumberFormat="1" applyFont="1" applyFill="1" applyBorder="1" applyAlignment="1" applyProtection="1">
      <alignment horizontal="center"/>
      <protection locked="0"/>
    </xf>
    <xf numFmtId="39" fontId="14" fillId="17" borderId="17" xfId="6" applyNumberFormat="1" applyFont="1" applyFill="1" applyBorder="1" applyAlignment="1" applyProtection="1">
      <alignment horizontal="center"/>
      <protection locked="0"/>
    </xf>
    <xf numFmtId="2" fontId="14" fillId="17" borderId="14" xfId="6" applyNumberFormat="1" applyFont="1" applyFill="1" applyBorder="1" applyAlignment="1" applyProtection="1">
      <alignment horizontal="center"/>
      <protection locked="0"/>
    </xf>
    <xf numFmtId="2" fontId="14" fillId="17" borderId="17" xfId="6" applyNumberFormat="1" applyFont="1" applyFill="1" applyBorder="1" applyAlignment="1" applyProtection="1">
      <alignment horizontal="center"/>
      <protection locked="0"/>
    </xf>
    <xf numFmtId="2" fontId="14" fillId="17" borderId="22" xfId="6" applyNumberFormat="1" applyFont="1" applyFill="1" applyBorder="1" applyAlignment="1" applyProtection="1">
      <alignment horizontal="center"/>
      <protection locked="0"/>
    </xf>
    <xf numFmtId="2" fontId="14" fillId="17" borderId="26" xfId="6" applyNumberFormat="1" applyFont="1" applyFill="1" applyBorder="1" applyAlignment="1" applyProtection="1">
      <alignment horizontal="center"/>
      <protection locked="0"/>
    </xf>
    <xf numFmtId="2" fontId="14" fillId="17" borderId="30" xfId="6" applyNumberFormat="1" applyFont="1" applyFill="1" applyBorder="1" applyAlignment="1" applyProtection="1">
      <alignment horizontal="center"/>
      <protection locked="0"/>
    </xf>
    <xf numFmtId="2" fontId="14" fillId="17" borderId="34" xfId="6" applyNumberFormat="1" applyFont="1" applyFill="1" applyBorder="1" applyAlignment="1" applyProtection="1">
      <alignment horizontal="center"/>
      <protection locked="0"/>
    </xf>
    <xf numFmtId="2" fontId="14" fillId="17" borderId="37" xfId="6" applyNumberFormat="1" applyFont="1" applyFill="1" applyBorder="1" applyAlignment="1" applyProtection="1">
      <alignment horizontal="center"/>
      <protection locked="0"/>
    </xf>
    <xf numFmtId="2" fontId="14" fillId="17" borderId="39" xfId="6" applyNumberFormat="1" applyFont="1" applyFill="1" applyBorder="1" applyAlignment="1" applyProtection="1">
      <alignment horizontal="center"/>
      <protection locked="0"/>
    </xf>
    <xf numFmtId="2" fontId="14" fillId="17" borderId="41" xfId="6" applyNumberFormat="1" applyFont="1" applyFill="1" applyBorder="1" applyAlignment="1" applyProtection="1">
      <alignment horizontal="center"/>
      <protection locked="0"/>
    </xf>
    <xf numFmtId="0" fontId="18" fillId="0" borderId="0" xfId="0" applyFont="1" applyAlignment="1">
      <alignment horizontal="center" wrapText="1"/>
    </xf>
    <xf numFmtId="0" fontId="15" fillId="21" borderId="16" xfId="0" applyFont="1" applyFill="1" applyBorder="1" applyAlignment="1">
      <alignment horizontal="left" indent="1"/>
    </xf>
    <xf numFmtId="0" fontId="0" fillId="0" borderId="20" xfId="0" applyBorder="1" applyAlignment="1">
      <alignment horizontal="left" indent="1"/>
    </xf>
    <xf numFmtId="0" fontId="0" fillId="0" borderId="18" xfId="0" applyBorder="1" applyAlignment="1">
      <alignment horizontal="left" indent="1"/>
    </xf>
    <xf numFmtId="0" fontId="0" fillId="0" borderId="19" xfId="0" applyBorder="1" applyAlignment="1">
      <alignment horizontal="left" indent="1"/>
    </xf>
    <xf numFmtId="0" fontId="14" fillId="21" borderId="47" xfId="0" applyFont="1" applyFill="1" applyBorder="1" applyAlignment="1">
      <alignment horizontal="center"/>
    </xf>
    <xf numFmtId="0" fontId="14" fillId="20" borderId="18" xfId="0" applyFont="1" applyFill="1" applyBorder="1" applyAlignment="1">
      <alignment horizontal="center"/>
    </xf>
    <xf numFmtId="0" fontId="14" fillId="21" borderId="48" xfId="0" applyFont="1" applyFill="1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49" xfId="0" applyBorder="1" applyAlignment="1">
      <alignment horizontal="left" indent="1"/>
    </xf>
    <xf numFmtId="0" fontId="0" fillId="0" borderId="50" xfId="0" applyBorder="1" applyAlignment="1">
      <alignment horizontal="left" indent="1"/>
    </xf>
    <xf numFmtId="0" fontId="0" fillId="0" borderId="51" xfId="0" applyBorder="1" applyAlignment="1">
      <alignment horizontal="left" indent="1"/>
    </xf>
    <xf numFmtId="169" fontId="6" fillId="16" borderId="52" xfId="136" applyNumberFormat="1" applyFont="1" applyFill="1" applyBorder="1" applyAlignment="1" applyProtection="1">
      <alignment horizontal="center" vertical="center"/>
    </xf>
    <xf numFmtId="169" fontId="6" fillId="16" borderId="0" xfId="136" applyNumberFormat="1" applyFont="1" applyFill="1" applyBorder="1" applyAlignment="1" applyProtection="1">
      <alignment horizontal="center" vertical="center"/>
    </xf>
    <xf numFmtId="169" fontId="5" fillId="0" borderId="0" xfId="136" applyNumberFormat="1" applyFont="1"/>
    <xf numFmtId="169" fontId="0" fillId="0" borderId="0" xfId="136" applyNumberFormat="1" applyFont="1"/>
    <xf numFmtId="1" fontId="2" fillId="20" borderId="0" xfId="1" applyNumberFormat="1" applyFont="1" applyFill="1" applyBorder="1" applyAlignment="1" applyProtection="1">
      <alignment horizontal="left" indent="1"/>
    </xf>
    <xf numFmtId="1" fontId="7" fillId="20" borderId="0" xfId="1" applyNumberFormat="1" applyFont="1" applyFill="1" applyBorder="1" applyAlignment="1" applyProtection="1">
      <alignment horizontal="left" wrapText="1" indent="1"/>
    </xf>
    <xf numFmtId="0" fontId="0" fillId="20" borderId="0" xfId="0" applyFill="1" applyBorder="1"/>
    <xf numFmtId="1" fontId="7" fillId="19" borderId="53" xfId="1" applyNumberFormat="1" applyFont="1" applyFill="1" applyBorder="1" applyAlignment="1" applyProtection="1">
      <alignment horizontal="left" wrapText="1" indent="1"/>
    </xf>
    <xf numFmtId="165" fontId="22" fillId="0" borderId="54" xfId="0" applyNumberFormat="1" applyFont="1" applyFill="1" applyBorder="1" applyAlignment="1" applyProtection="1"/>
    <xf numFmtId="1" fontId="7" fillId="19" borderId="55" xfId="1" applyNumberFormat="1" applyFont="1" applyFill="1" applyBorder="1" applyAlignment="1" applyProtection="1">
      <alignment horizontal="left" wrapText="1" indent="1"/>
    </xf>
    <xf numFmtId="165" fontId="21" fillId="0" borderId="56" xfId="0" applyNumberFormat="1" applyFont="1" applyFill="1" applyBorder="1" applyAlignment="1" applyProtection="1"/>
    <xf numFmtId="1" fontId="2" fillId="19" borderId="57" xfId="1" applyNumberFormat="1" applyFont="1" applyFill="1" applyBorder="1" applyAlignment="1" applyProtection="1">
      <alignment horizontal="left" indent="1"/>
    </xf>
    <xf numFmtId="165" fontId="21" fillId="20" borderId="58" xfId="0" applyNumberFormat="1" applyFont="1" applyFill="1" applyBorder="1" applyProtection="1"/>
    <xf numFmtId="0" fontId="36" fillId="20" borderId="59" xfId="2" applyFont="1" applyFill="1" applyBorder="1" applyAlignment="1" applyProtection="1">
      <alignment vertical="top" wrapText="1"/>
      <protection hidden="1"/>
    </xf>
    <xf numFmtId="165" fontId="22" fillId="20" borderId="59" xfId="0" applyNumberFormat="1" applyFont="1" applyFill="1" applyBorder="1" applyProtection="1"/>
    <xf numFmtId="0" fontId="36" fillId="20" borderId="4" xfId="2" applyFont="1" applyFill="1" applyBorder="1" applyAlignment="1" applyProtection="1">
      <alignment vertical="top" wrapText="1"/>
      <protection hidden="1"/>
    </xf>
    <xf numFmtId="165" fontId="22" fillId="20" borderId="4" xfId="0" applyNumberFormat="1" applyFont="1" applyFill="1" applyBorder="1" applyProtection="1"/>
    <xf numFmtId="0" fontId="13" fillId="21" borderId="44" xfId="0" applyFont="1" applyFill="1" applyBorder="1"/>
    <xf numFmtId="0" fontId="22" fillId="21" borderId="60" xfId="0" applyFont="1" applyFill="1" applyBorder="1" applyAlignment="1">
      <alignment horizontal="center"/>
    </xf>
    <xf numFmtId="0" fontId="22" fillId="21" borderId="61" xfId="0" applyFont="1" applyFill="1" applyBorder="1" applyAlignment="1">
      <alignment horizontal="center" wrapText="1"/>
    </xf>
    <xf numFmtId="0" fontId="39" fillId="0" borderId="0" xfId="4" applyFont="1" applyAlignment="1" applyProtection="1"/>
    <xf numFmtId="0" fontId="13" fillId="21" borderId="46" xfId="0" applyFont="1" applyFill="1" applyBorder="1"/>
    <xf numFmtId="167" fontId="0" fillId="21" borderId="62" xfId="0" applyNumberFormat="1" applyFill="1" applyBorder="1" applyAlignment="1" applyProtection="1">
      <alignment shrinkToFit="1"/>
      <protection hidden="1"/>
    </xf>
    <xf numFmtId="0" fontId="22" fillId="21" borderId="10" xfId="0" applyFont="1" applyFill="1" applyBorder="1" applyAlignment="1">
      <alignment horizontal="left"/>
    </xf>
    <xf numFmtId="7" fontId="13" fillId="19" borderId="44" xfId="6" applyNumberFormat="1" applyFont="1" applyFill="1" applyBorder="1" applyProtection="1">
      <protection hidden="1"/>
    </xf>
    <xf numFmtId="7" fontId="13" fillId="19" borderId="45" xfId="6" applyNumberFormat="1" applyFill="1" applyBorder="1" applyProtection="1">
      <protection hidden="1"/>
    </xf>
    <xf numFmtId="7" fontId="13" fillId="19" borderId="46" xfId="6" applyNumberFormat="1" applyFill="1" applyBorder="1" applyProtection="1">
      <protection hidden="1"/>
    </xf>
    <xf numFmtId="0" fontId="0" fillId="0" borderId="48" xfId="0" applyBorder="1" applyAlignment="1">
      <alignment horizontal="left" indent="1"/>
    </xf>
    <xf numFmtId="164" fontId="0" fillId="20" borderId="30" xfId="0" applyNumberFormat="1" applyFill="1" applyBorder="1" applyProtection="1">
      <protection hidden="1"/>
    </xf>
    <xf numFmtId="0" fontId="0" fillId="0" borderId="47" xfId="0" applyBorder="1" applyAlignment="1">
      <alignment horizontal="left" indent="1"/>
    </xf>
    <xf numFmtId="44" fontId="10" fillId="17" borderId="2" xfId="5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167" fontId="0" fillId="0" borderId="0" xfId="0" applyNumberFormat="1" applyFill="1" applyBorder="1" applyAlignment="1" applyProtection="1">
      <alignment horizontal="center" shrinkToFit="1"/>
      <protection hidden="1"/>
    </xf>
    <xf numFmtId="0" fontId="13" fillId="0" borderId="0" xfId="0" applyFont="1" applyFill="1" applyBorder="1" applyAlignment="1">
      <alignment horizontal="center"/>
    </xf>
    <xf numFmtId="166" fontId="13" fillId="0" borderId="0" xfId="6" applyNumberFormat="1" applyFill="1" applyBorder="1" applyAlignment="1" applyProtection="1">
      <alignment horizontal="center"/>
      <protection hidden="1"/>
    </xf>
    <xf numFmtId="0" fontId="22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wrapText="1"/>
    </xf>
    <xf numFmtId="166" fontId="13" fillId="0" borderId="0" xfId="6" applyNumberFormat="1" applyFont="1" applyFill="1" applyBorder="1" applyAlignment="1" applyProtection="1">
      <alignment horizontal="center"/>
      <protection hidden="1"/>
    </xf>
    <xf numFmtId="0" fontId="7" fillId="19" borderId="10" xfId="0" applyFont="1" applyFill="1" applyBorder="1" applyAlignment="1">
      <alignment horizontal="center" vertical="center"/>
    </xf>
    <xf numFmtId="0" fontId="7" fillId="19" borderId="11" xfId="0" applyFont="1" applyFill="1" applyBorder="1" applyAlignment="1">
      <alignment horizontal="center" vertical="center"/>
    </xf>
    <xf numFmtId="0" fontId="7" fillId="19" borderId="12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0" fillId="0" borderId="0" xfId="2" applyFont="1" applyFill="1" applyBorder="1" applyAlignment="1" applyProtection="1">
      <alignment horizontal="center" vertical="top" wrapText="1"/>
      <protection hidden="1"/>
    </xf>
    <xf numFmtId="1" fontId="7" fillId="0" borderId="0" xfId="1" applyNumberFormat="1" applyFont="1" applyFill="1" applyBorder="1" applyAlignment="1" applyProtection="1">
      <alignment horizontal="center" wrapText="1"/>
    </xf>
    <xf numFmtId="0" fontId="7" fillId="18" borderId="10" xfId="0" applyFont="1" applyFill="1" applyBorder="1" applyAlignment="1">
      <alignment horizontal="center" vertical="center"/>
    </xf>
    <xf numFmtId="0" fontId="7" fillId="18" borderId="11" xfId="0" applyFont="1" applyFill="1" applyBorder="1" applyAlignment="1">
      <alignment horizontal="center" vertical="center"/>
    </xf>
    <xf numFmtId="0" fontId="7" fillId="18" borderId="12" xfId="0" applyFont="1" applyFill="1" applyBorder="1" applyAlignment="1">
      <alignment horizontal="center" vertical="center"/>
    </xf>
    <xf numFmtId="0" fontId="7" fillId="20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17" borderId="2" xfId="0" applyFill="1" applyBorder="1" applyAlignment="1" applyProtection="1">
      <alignment horizontal="left" indent="1"/>
      <protection locked="0"/>
    </xf>
    <xf numFmtId="0" fontId="0" fillId="17" borderId="2" xfId="0" applyFont="1" applyFill="1" applyBorder="1" applyAlignment="1" applyProtection="1">
      <alignment horizontal="left" indent="1"/>
      <protection locked="0"/>
    </xf>
    <xf numFmtId="0" fontId="0" fillId="0" borderId="2" xfId="0" applyFont="1" applyFill="1" applyBorder="1" applyAlignment="1" applyProtection="1">
      <alignment horizontal="left" indent="1"/>
      <protection locked="0"/>
    </xf>
    <xf numFmtId="0" fontId="0" fillId="0" borderId="2" xfId="0" applyFill="1" applyBorder="1" applyAlignment="1" applyProtection="1">
      <alignment horizontal="left" indent="1"/>
      <protection locked="0"/>
    </xf>
    <xf numFmtId="0" fontId="12" fillId="0" borderId="4" xfId="4" applyFont="1" applyFill="1" applyBorder="1" applyAlignment="1" applyProtection="1">
      <alignment horizontal="left" indent="1"/>
      <protection locked="0"/>
    </xf>
    <xf numFmtId="0" fontId="0" fillId="0" borderId="4" xfId="0" applyFont="1" applyFill="1" applyBorder="1" applyAlignment="1" applyProtection="1">
      <alignment horizontal="left" indent="1"/>
      <protection locked="0"/>
    </xf>
    <xf numFmtId="0" fontId="38" fillId="0" borderId="0" xfId="0" applyFont="1" applyAlignment="1">
      <alignment horizontal="left" vertical="center"/>
    </xf>
    <xf numFmtId="167" fontId="37" fillId="0" borderId="25" xfId="0" applyNumberFormat="1" applyFont="1" applyBorder="1" applyAlignment="1">
      <alignment horizontal="center" vertical="center" wrapText="1"/>
    </xf>
  </cellXfs>
  <cellStyles count="137">
    <cellStyle name="20% - Accent1 2" xfId="7"/>
    <cellStyle name="20% - Accent1 3" xfId="8"/>
    <cellStyle name="20% - Accent1 4" xfId="9"/>
    <cellStyle name="20% - Accent1 5" xfId="10"/>
    <cellStyle name="20% - Accent1 6" xfId="11"/>
    <cellStyle name="20% - Accent1 7" xfId="12"/>
    <cellStyle name="20% - Accent1 8" xfId="13"/>
    <cellStyle name="20% - Accent2 2" xfId="14"/>
    <cellStyle name="20% - Accent2 3" xfId="15"/>
    <cellStyle name="20% - Accent2 4" xfId="16"/>
    <cellStyle name="20% - Accent2 5" xfId="17"/>
    <cellStyle name="20% - Accent2 6" xfId="18"/>
    <cellStyle name="20% - Accent2 7" xfId="19"/>
    <cellStyle name="20% - Accent2 8" xfId="20"/>
    <cellStyle name="20% - Accent3 2" xfId="21"/>
    <cellStyle name="20% - Accent3 3" xfId="22"/>
    <cellStyle name="20% - Accent3 4" xfId="23"/>
    <cellStyle name="20% - Accent3 5" xfId="24"/>
    <cellStyle name="20% - Accent3 6" xfId="25"/>
    <cellStyle name="20% - Accent3 7" xfId="26"/>
    <cellStyle name="20% - Accent3 8" xfId="27"/>
    <cellStyle name="20% - Accent4 2" xfId="28"/>
    <cellStyle name="20% - Accent4 3" xfId="29"/>
    <cellStyle name="20% - Accent4 4" xfId="30"/>
    <cellStyle name="20% - Accent4 5" xfId="31"/>
    <cellStyle name="20% - Accent4 6" xfId="32"/>
    <cellStyle name="20% - Accent4 7" xfId="33"/>
    <cellStyle name="20% - Accent4 8" xfId="34"/>
    <cellStyle name="20% - Accent5" xfId="1" builtinId="46"/>
    <cellStyle name="20% - Accent5 2" xfId="35"/>
    <cellStyle name="20% - Accent5 3" xfId="36"/>
    <cellStyle name="20% - Accent5 4" xfId="37"/>
    <cellStyle name="20% - Accent5 5" xfId="38"/>
    <cellStyle name="20% - Accent5 6" xfId="39"/>
    <cellStyle name="20% - Accent5 7" xfId="40"/>
    <cellStyle name="20% - Accent5 8" xfId="41"/>
    <cellStyle name="20% - Accent6 2" xfId="42"/>
    <cellStyle name="20% - Accent6 3" xfId="43"/>
    <cellStyle name="20% - Accent6 4" xfId="44"/>
    <cellStyle name="20% - Accent6 5" xfId="45"/>
    <cellStyle name="20% - Accent6 6" xfId="46"/>
    <cellStyle name="20% - Accent6 7" xfId="47"/>
    <cellStyle name="20% - Accent6 8" xfId="48"/>
    <cellStyle name="40% - Accent1 2" xfId="49"/>
    <cellStyle name="40% - Accent1 3" xfId="50"/>
    <cellStyle name="40% - Accent1 4" xfId="51"/>
    <cellStyle name="40% - Accent1 5" xfId="52"/>
    <cellStyle name="40% - Accent1 6" xfId="53"/>
    <cellStyle name="40% - Accent1 7" xfId="54"/>
    <cellStyle name="40% - Accent1 8" xfId="55"/>
    <cellStyle name="40% - Accent2 2" xfId="56"/>
    <cellStyle name="40% - Accent2 3" xfId="57"/>
    <cellStyle name="40% - Accent2 4" xfId="58"/>
    <cellStyle name="40% - Accent2 5" xfId="59"/>
    <cellStyle name="40% - Accent2 6" xfId="60"/>
    <cellStyle name="40% - Accent2 7" xfId="61"/>
    <cellStyle name="40% - Accent2 8" xfId="62"/>
    <cellStyle name="40% - Accent3 2" xfId="63"/>
    <cellStyle name="40% - Accent3 3" xfId="64"/>
    <cellStyle name="40% - Accent3 4" xfId="65"/>
    <cellStyle name="40% - Accent3 5" xfId="66"/>
    <cellStyle name="40% - Accent3 6" xfId="67"/>
    <cellStyle name="40% - Accent3 7" xfId="68"/>
    <cellStyle name="40% - Accent3 8" xfId="69"/>
    <cellStyle name="40% - Accent4 2" xfId="70"/>
    <cellStyle name="40% - Accent4 3" xfId="71"/>
    <cellStyle name="40% - Accent4 4" xfId="72"/>
    <cellStyle name="40% - Accent4 5" xfId="73"/>
    <cellStyle name="40% - Accent4 6" xfId="74"/>
    <cellStyle name="40% - Accent4 7" xfId="75"/>
    <cellStyle name="40% - Accent4 8" xfId="76"/>
    <cellStyle name="40% - Accent5 2" xfId="77"/>
    <cellStyle name="40% - Accent5 3" xfId="78"/>
    <cellStyle name="40% - Accent5 4" xfId="79"/>
    <cellStyle name="40% - Accent5 5" xfId="80"/>
    <cellStyle name="40% - Accent5 6" xfId="81"/>
    <cellStyle name="40% - Accent5 7" xfId="82"/>
    <cellStyle name="40% - Accent5 8" xfId="83"/>
    <cellStyle name="40% - Accent6 2" xfId="84"/>
    <cellStyle name="40% - Accent6 3" xfId="85"/>
    <cellStyle name="40% - Accent6 4" xfId="86"/>
    <cellStyle name="40% - Accent6 5" xfId="87"/>
    <cellStyle name="40% - Accent6 6" xfId="88"/>
    <cellStyle name="40% - Accent6 7" xfId="89"/>
    <cellStyle name="40% - Accent6 8" xfId="90"/>
    <cellStyle name="60% - Accent5" xfId="2" builtinId="48"/>
    <cellStyle name="Comma" xfId="136" builtinId="3"/>
    <cellStyle name="Comma 2" xfId="6"/>
    <cellStyle name="Comma 3" xfId="91"/>
    <cellStyle name="Comma 4" xfId="92"/>
    <cellStyle name="Comma 5" xfId="93"/>
    <cellStyle name="Comma 6" xfId="94"/>
    <cellStyle name="Comma 6 2" xfId="95"/>
    <cellStyle name="Comma 7" xfId="96"/>
    <cellStyle name="Comma 8" xfId="97"/>
    <cellStyle name="Currency 2" xfId="5"/>
    <cellStyle name="Currency 2 2" xfId="98"/>
    <cellStyle name="Currency 3" xfId="99"/>
    <cellStyle name="Currency 4" xfId="100"/>
    <cellStyle name="Currency 5" xfId="101"/>
    <cellStyle name="Currency 6" xfId="102"/>
    <cellStyle name="Currency 6 2" xfId="103"/>
    <cellStyle name="Hyperlink" xfId="4" builtinId="8"/>
    <cellStyle name="Hyperlink 2" xfId="104"/>
    <cellStyle name="Hyperlink 3" xfId="105"/>
    <cellStyle name="Hyperlink 4" xfId="106"/>
    <cellStyle name="Hyperlink 4 2" xfId="107"/>
    <cellStyle name="Hyperlink 5" xfId="108"/>
    <cellStyle name="Hyperlink 6" xfId="109"/>
    <cellStyle name="Normal" xfId="0" builtinId="0"/>
    <cellStyle name="Normal 2" xfId="110"/>
    <cellStyle name="Normal 2 2" xfId="111"/>
    <cellStyle name="Normal 2 3" xfId="112"/>
    <cellStyle name="Normal 2 4" xfId="113"/>
    <cellStyle name="Normal 3" xfId="114"/>
    <cellStyle name="Normal 3 2" xfId="115"/>
    <cellStyle name="Normal 3 3" xfId="116"/>
    <cellStyle name="Normal 4" xfId="117"/>
    <cellStyle name="Normal 4 2" xfId="118"/>
    <cellStyle name="Normal 5" xfId="119"/>
    <cellStyle name="Normal 5 2" xfId="120"/>
    <cellStyle name="Normal 6" xfId="121"/>
    <cellStyle name="Normal 6 2" xfId="122"/>
    <cellStyle name="Normal 7" xfId="123"/>
    <cellStyle name="Normal 7 2" xfId="124"/>
    <cellStyle name="Normal 8" xfId="125"/>
    <cellStyle name="Normal 9" xfId="3"/>
    <cellStyle name="Note 2" xfId="126"/>
    <cellStyle name="Note 3" xfId="127"/>
    <cellStyle name="Note 4" xfId="128"/>
    <cellStyle name="Note 5" xfId="129"/>
    <cellStyle name="Note 6" xfId="130"/>
    <cellStyle name="Note 7" xfId="131"/>
    <cellStyle name="Note 8" xfId="132"/>
    <cellStyle name="Percent 2" xfId="133"/>
    <cellStyle name="Percent 3" xfId="134"/>
    <cellStyle name="Percent 4" xfId="13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ood%20and%20Nutrition\Commodities\Calculators%20for%20SY%202014\Linda%20Calculators\Schwan's%20Commodity%20Calculator%20SY13-14%2011-21-201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10244 CHEESE"/>
      <sheetName val="100418 FLOUR"/>
      <sheetName val="100332 TOMATO PASTE"/>
      <sheetName val="110113 CHICKEN LEGS"/>
      <sheetName val="Sheet2"/>
      <sheetName val="Sheet3"/>
      <sheetName val="Sheet6"/>
      <sheetName val="Sheet8"/>
    </sheetNames>
    <sheetDataSet>
      <sheetData sheetId="0"/>
      <sheetData sheetId="1"/>
      <sheetData sheetId="2"/>
      <sheetData sheetId="3"/>
      <sheetData sheetId="4">
        <row r="8">
          <cell r="A8" t="str">
            <v>RISING CRUST PIZZA</v>
          </cell>
        </row>
      </sheetData>
      <sheetData sheetId="5">
        <row r="1">
          <cell r="A1" t="str">
            <v>Product Code and Description</v>
          </cell>
        </row>
      </sheetData>
      <sheetData sheetId="6"/>
      <sheetData sheetId="7">
        <row r="1">
          <cell r="A1">
            <v>55208</v>
          </cell>
        </row>
        <row r="309">
          <cell r="A309">
            <v>55208</v>
          </cell>
          <cell r="B309" t="str">
            <v>Tony's Grilled Cheese Sandwich (Bulk)</v>
          </cell>
          <cell r="C309">
            <v>25</v>
          </cell>
          <cell r="D309">
            <v>80</v>
          </cell>
          <cell r="E309">
            <v>5</v>
          </cell>
          <cell r="F309" t="str">
            <v>B286</v>
          </cell>
          <cell r="G309">
            <v>100418</v>
          </cell>
          <cell r="H309" t="str">
            <v>FLOUR BAKER 
HARD WHT UNBLCH BULK</v>
          </cell>
          <cell r="I309">
            <v>8.8000000000000007</v>
          </cell>
        </row>
        <row r="310">
          <cell r="A310">
            <v>55220</v>
          </cell>
          <cell r="B310" t="str">
            <v>Tony's Whole Grain 1.5 oz Grilled Cheese</v>
          </cell>
          <cell r="C310">
            <v>16.34</v>
          </cell>
          <cell r="D310">
            <v>72</v>
          </cell>
          <cell r="E310">
            <v>3.63</v>
          </cell>
          <cell r="F310" t="str">
            <v>B286</v>
          </cell>
          <cell r="G310">
            <v>100418</v>
          </cell>
          <cell r="H310" t="str">
            <v>FLOUR BAKER 
HARD WHT UNBLCH BULK</v>
          </cell>
          <cell r="I310">
            <v>0</v>
          </cell>
        </row>
        <row r="311">
          <cell r="A311">
            <v>55221</v>
          </cell>
          <cell r="B311" t="str">
            <v>Tony's Whole Grain 1.5 oz Grilled Cheese Am Style</v>
          </cell>
          <cell r="C311">
            <v>16.34</v>
          </cell>
          <cell r="D311">
            <v>72</v>
          </cell>
          <cell r="E311">
            <v>3.63</v>
          </cell>
          <cell r="F311" t="str">
            <v>B286</v>
          </cell>
          <cell r="G311">
            <v>100418</v>
          </cell>
          <cell r="H311" t="str">
            <v>FLOUR BAKER 
HARD WHT UNBLCH BULK</v>
          </cell>
          <cell r="I311">
            <v>0</v>
          </cell>
        </row>
        <row r="312">
          <cell r="A312">
            <v>55222</v>
          </cell>
          <cell r="B312" t="str">
            <v>SFS TN Whole Grain  Grilled Cheese (ARAMARK)</v>
          </cell>
          <cell r="C312">
            <v>19.350000000000001</v>
          </cell>
          <cell r="D312">
            <v>72</v>
          </cell>
          <cell r="E312">
            <v>4.3</v>
          </cell>
          <cell r="F312" t="str">
            <v>B286</v>
          </cell>
          <cell r="G312">
            <v>100418</v>
          </cell>
          <cell r="H312" t="str">
            <v>FLOUR BAKER 
HARD WHT UNBLCH BULK</v>
          </cell>
          <cell r="I312">
            <v>0</v>
          </cell>
        </row>
        <row r="313">
          <cell r="A313">
            <v>55223</v>
          </cell>
          <cell r="B313" t="str">
            <v>Tony's Whole Grain Spicy Grilled Cheese (Aramark)approved need to set up BOM</v>
          </cell>
          <cell r="C313">
            <v>12.9</v>
          </cell>
          <cell r="D313">
            <v>48</v>
          </cell>
          <cell r="E313">
            <v>4.3</v>
          </cell>
          <cell r="F313" t="str">
            <v>B286</v>
          </cell>
          <cell r="G313">
            <v>100418</v>
          </cell>
          <cell r="H313" t="str">
            <v>FLOUR BAKER 
HARD WHT UNBLCH BULK</v>
          </cell>
          <cell r="I313">
            <v>0</v>
          </cell>
        </row>
        <row r="314">
          <cell r="A314">
            <v>55224</v>
          </cell>
          <cell r="B314" t="str">
            <v>Tony's Whole Grain Grilled Chs Sand Bulk</v>
          </cell>
          <cell r="C314">
            <v>12.9</v>
          </cell>
          <cell r="D314">
            <v>48</v>
          </cell>
          <cell r="E314">
            <v>4.3</v>
          </cell>
          <cell r="F314" t="str">
            <v>B286</v>
          </cell>
          <cell r="G314">
            <v>100418</v>
          </cell>
          <cell r="H314" t="str">
            <v>FLOUR BAKER 
HARD WHT UNBLCH BULK</v>
          </cell>
          <cell r="I314">
            <v>0</v>
          </cell>
        </row>
        <row r="315">
          <cell r="A315">
            <v>55225</v>
          </cell>
          <cell r="B315" t="str">
            <v>Tony's Whole Grain Cheese Sandwich IW</v>
          </cell>
          <cell r="C315">
            <v>12.9</v>
          </cell>
          <cell r="D315">
            <v>48</v>
          </cell>
          <cell r="E315">
            <v>4.3</v>
          </cell>
          <cell r="F315" t="str">
            <v>B286</v>
          </cell>
          <cell r="G315">
            <v>100418</v>
          </cell>
          <cell r="H315" t="str">
            <v>FLOUR BAKER 
HARD WHT UNBLCH BULK</v>
          </cell>
          <cell r="I315">
            <v>0</v>
          </cell>
        </row>
        <row r="316">
          <cell r="A316">
            <v>61545</v>
          </cell>
          <cell r="B316" t="str">
            <v>Tony's Cinnamon Breakfast Biscuit</v>
          </cell>
          <cell r="C316">
            <v>20.239999999999998</v>
          </cell>
          <cell r="D316">
            <v>128</v>
          </cell>
          <cell r="E316">
            <v>2.5299999999999998</v>
          </cell>
          <cell r="F316" t="str">
            <v>B286</v>
          </cell>
          <cell r="G316">
            <v>100418</v>
          </cell>
          <cell r="H316" t="str">
            <v>FLOUR BAKER 
HARD WHT UNBLCH BULK</v>
          </cell>
          <cell r="I316">
            <v>8.25</v>
          </cell>
        </row>
        <row r="317">
          <cell r="A317">
            <v>62009</v>
          </cell>
          <cell r="B317" t="str">
            <v>Chili &amp; Cheese Quesadilla</v>
          </cell>
          <cell r="C317">
            <v>26.4</v>
          </cell>
          <cell r="D317">
            <v>96</v>
          </cell>
          <cell r="E317">
            <v>4.4000000000000004</v>
          </cell>
          <cell r="F317" t="str">
            <v>B286</v>
          </cell>
          <cell r="G317">
            <v>100418</v>
          </cell>
          <cell r="H317" t="str">
            <v>FLOUR BAKER 
HARD WHT UNBLCH BULK</v>
          </cell>
          <cell r="I317">
            <v>7.19</v>
          </cell>
        </row>
        <row r="318">
          <cell r="A318">
            <v>62050</v>
          </cell>
          <cell r="B318" t="str">
            <v>Beef Fiestada</v>
          </cell>
          <cell r="C318">
            <v>31.8</v>
          </cell>
          <cell r="D318">
            <v>96</v>
          </cell>
          <cell r="E318">
            <v>5.3</v>
          </cell>
          <cell r="F318" t="str">
            <v>B286</v>
          </cell>
          <cell r="G318">
            <v>100418</v>
          </cell>
          <cell r="H318" t="str">
            <v>FLOUR BAKER 
HARD WHT UNBLCH BULK</v>
          </cell>
          <cell r="I318">
            <v>7.22</v>
          </cell>
        </row>
        <row r="319">
          <cell r="A319">
            <v>63088</v>
          </cell>
          <cell r="B319" t="str">
            <v>Tony's Cheese/Sub Cheese 5" DD Pizza</v>
          </cell>
          <cell r="C319">
            <v>18.75</v>
          </cell>
          <cell r="D319">
            <v>60</v>
          </cell>
          <cell r="E319">
            <v>5</v>
          </cell>
          <cell r="F319" t="str">
            <v>B286</v>
          </cell>
          <cell r="G319">
            <v>100418</v>
          </cell>
          <cell r="H319" t="str">
            <v>FLOUR BAKER 
HARD WHT UNBLCH BULK</v>
          </cell>
          <cell r="I319">
            <v>6.71</v>
          </cell>
        </row>
        <row r="320">
          <cell r="A320">
            <v>63091</v>
          </cell>
          <cell r="B320" t="str">
            <v>Tony's Deluxe 5" DD Pizza/IW</v>
          </cell>
          <cell r="C320">
            <v>19.91</v>
          </cell>
          <cell r="D320">
            <v>60</v>
          </cell>
          <cell r="E320">
            <v>5.31</v>
          </cell>
          <cell r="F320" t="str">
            <v>B286</v>
          </cell>
          <cell r="G320">
            <v>100418</v>
          </cell>
          <cell r="H320" t="str">
            <v>FLOUR BAKER 
HARD WHT UNBLCH BULK</v>
          </cell>
          <cell r="I320">
            <v>6.71</v>
          </cell>
        </row>
        <row r="321">
          <cell r="A321">
            <v>63164</v>
          </cell>
          <cell r="B321" t="str">
            <v>Tony's Breakfast Sq Sausage &amp; Gravy</v>
          </cell>
          <cell r="C321">
            <v>24</v>
          </cell>
          <cell r="D321">
            <v>128</v>
          </cell>
          <cell r="E321">
            <v>3</v>
          </cell>
          <cell r="F321" t="str">
            <v>B286</v>
          </cell>
          <cell r="G321">
            <v>100418</v>
          </cell>
          <cell r="H321" t="str">
            <v>FLOUR BAKER 
HARD WHT UNBLCH BULK</v>
          </cell>
          <cell r="I321">
            <v>8.1</v>
          </cell>
        </row>
        <row r="322">
          <cell r="A322">
            <v>63266</v>
          </cell>
          <cell r="B322" t="str">
            <v>3.2x5 Pepperoni Pizza</v>
          </cell>
          <cell r="C322">
            <v>30.31</v>
          </cell>
          <cell r="D322">
            <v>100</v>
          </cell>
          <cell r="E322">
            <v>4.8499999999999996</v>
          </cell>
          <cell r="F322" t="str">
            <v>B286</v>
          </cell>
          <cell r="G322">
            <v>100418</v>
          </cell>
          <cell r="H322" t="str">
            <v>FLOUR BAKER 
HARD WHT UNBLCH BULK</v>
          </cell>
          <cell r="I322">
            <v>6.65</v>
          </cell>
        </row>
        <row r="323">
          <cell r="A323">
            <v>63276</v>
          </cell>
          <cell r="B323" t="str">
            <v>Red Baron 3x5 Cheese Pizza</v>
          </cell>
          <cell r="C323">
            <v>12.19</v>
          </cell>
          <cell r="D323">
            <v>60</v>
          </cell>
          <cell r="E323">
            <v>3.25</v>
          </cell>
          <cell r="F323" t="str">
            <v>B286</v>
          </cell>
          <cell r="G323">
            <v>100418</v>
          </cell>
          <cell r="H323" t="str">
            <v>FLOUR BAKER 
HARD WHT UNBLCH BULK</v>
          </cell>
          <cell r="I323">
            <v>2.5499999999999998</v>
          </cell>
        </row>
        <row r="324">
          <cell r="A324">
            <v>63490</v>
          </cell>
          <cell r="B324" t="str">
            <v>Tony's Thin Crust 4 x 6 Sausage Pizza</v>
          </cell>
          <cell r="C324">
            <v>27.35</v>
          </cell>
          <cell r="D324">
            <v>96</v>
          </cell>
          <cell r="E324">
            <v>4.5599999999999996</v>
          </cell>
          <cell r="F324" t="str">
            <v>B286</v>
          </cell>
          <cell r="G324">
            <v>100418</v>
          </cell>
          <cell r="H324" t="str">
            <v>FLOUR BAKER 
HARD WHT UNBLCH BULK</v>
          </cell>
          <cell r="I324">
            <v>6.63</v>
          </cell>
        </row>
        <row r="325">
          <cell r="A325">
            <v>63494</v>
          </cell>
          <cell r="B325" t="str">
            <v>4x6 Pepperoni 50/50</v>
          </cell>
          <cell r="C325">
            <v>25.45</v>
          </cell>
          <cell r="D325">
            <v>96</v>
          </cell>
          <cell r="E325">
            <v>4.24</v>
          </cell>
          <cell r="F325" t="str">
            <v>B286</v>
          </cell>
          <cell r="G325">
            <v>100418</v>
          </cell>
          <cell r="H325" t="str">
            <v>FLOUR BAKER 
HARD WHT UNBLCH BULK</v>
          </cell>
          <cell r="I325">
            <v>6.56</v>
          </cell>
        </row>
        <row r="326">
          <cell r="A326">
            <v>63495</v>
          </cell>
          <cell r="B326" t="str">
            <v>4x6 Pepperoni</v>
          </cell>
          <cell r="C326">
            <v>26.58</v>
          </cell>
          <cell r="D326">
            <v>96</v>
          </cell>
          <cell r="E326">
            <v>4.43</v>
          </cell>
          <cell r="F326" t="str">
            <v>B286</v>
          </cell>
          <cell r="G326">
            <v>100418</v>
          </cell>
          <cell r="H326" t="str">
            <v>FLOUR BAKER 
HARD WHT UNBLCH BULK</v>
          </cell>
          <cell r="I326">
            <v>6.54</v>
          </cell>
        </row>
        <row r="327">
          <cell r="A327">
            <v>63496</v>
          </cell>
          <cell r="B327" t="str">
            <v>4x6 Cheese Pizza</v>
          </cell>
          <cell r="C327">
            <v>24.4</v>
          </cell>
          <cell r="D327">
            <v>96</v>
          </cell>
          <cell r="E327">
            <v>4.07</v>
          </cell>
          <cell r="F327" t="str">
            <v>B286</v>
          </cell>
          <cell r="G327">
            <v>100418</v>
          </cell>
          <cell r="H327" t="str">
            <v>FLOUR BAKER 
HARD WHT UNBLCH BULK</v>
          </cell>
          <cell r="I327">
            <v>6.63</v>
          </cell>
        </row>
        <row r="328">
          <cell r="A328">
            <v>63500</v>
          </cell>
          <cell r="B328" t="str">
            <v>Tony's Wedge Pizza Cheese</v>
          </cell>
          <cell r="C328">
            <v>28.14</v>
          </cell>
          <cell r="D328">
            <v>96</v>
          </cell>
          <cell r="E328">
            <v>4.6900000000000004</v>
          </cell>
          <cell r="F328" t="str">
            <v>B286</v>
          </cell>
          <cell r="G328">
            <v>100418</v>
          </cell>
          <cell r="H328" t="str">
            <v>FLOUR BAKER 
HARD WHT UNBLCH BULK</v>
          </cell>
          <cell r="I328">
            <v>6.99</v>
          </cell>
        </row>
        <row r="329">
          <cell r="A329">
            <v>63501</v>
          </cell>
          <cell r="B329" t="str">
            <v>4x6 Thick Crust Cheese Pizza</v>
          </cell>
          <cell r="C329">
            <v>33.119999999999997</v>
          </cell>
          <cell r="D329">
            <v>96</v>
          </cell>
          <cell r="E329">
            <v>5.52</v>
          </cell>
          <cell r="F329" t="str">
            <v>B286</v>
          </cell>
          <cell r="G329">
            <v>100418</v>
          </cell>
          <cell r="H329" t="str">
            <v>FLOUR BAKER 
HARD WHT UNBLCH BULK</v>
          </cell>
          <cell r="I329">
            <v>6.54</v>
          </cell>
        </row>
        <row r="330">
          <cell r="A330">
            <v>63510</v>
          </cell>
          <cell r="B330" t="str">
            <v>Tony's 4x6 Thick Crust Cheese 100% 2 oz</v>
          </cell>
          <cell r="C330">
            <v>32.4</v>
          </cell>
          <cell r="D330">
            <v>96</v>
          </cell>
          <cell r="E330">
            <v>5.4</v>
          </cell>
          <cell r="F330" t="str">
            <v>B286</v>
          </cell>
          <cell r="G330">
            <v>100418</v>
          </cell>
          <cell r="H330" t="str">
            <v>FLOUR BAKER 
HARD WHT UNBLCH BULK</v>
          </cell>
          <cell r="I330">
            <v>8.68</v>
          </cell>
        </row>
        <row r="331">
          <cell r="A331">
            <v>63511</v>
          </cell>
          <cell r="B331" t="str">
            <v>Tony's Thick Crust Pepp 100%</v>
          </cell>
          <cell r="C331">
            <v>32.520000000000003</v>
          </cell>
          <cell r="D331">
            <v>96</v>
          </cell>
          <cell r="E331">
            <v>5.42</v>
          </cell>
          <cell r="F331" t="str">
            <v>B286</v>
          </cell>
          <cell r="G331">
            <v>100418</v>
          </cell>
          <cell r="H331" t="str">
            <v>FLOUR BAKER 
HARD WHT UNBLCH BULK</v>
          </cell>
          <cell r="I331">
            <v>8.68</v>
          </cell>
        </row>
        <row r="332">
          <cell r="A332">
            <v>63516</v>
          </cell>
          <cell r="B332" t="str">
            <v>Tony's 4x6 Thick Crust Cheese 50/50 2 oz</v>
          </cell>
          <cell r="C332">
            <v>32.4</v>
          </cell>
          <cell r="D332">
            <v>96</v>
          </cell>
          <cell r="E332">
            <v>5.4</v>
          </cell>
          <cell r="F332" t="str">
            <v>B286</v>
          </cell>
          <cell r="G332">
            <v>100418</v>
          </cell>
          <cell r="H332" t="str">
            <v>FLOUR BAKER 
HARD WHT UNBLCH BULK</v>
          </cell>
          <cell r="I332">
            <v>8.68</v>
          </cell>
        </row>
        <row r="333">
          <cell r="A333">
            <v>63519</v>
          </cell>
          <cell r="B333" t="str">
            <v>Tony's 5" Pizza Bulk Cheese</v>
          </cell>
          <cell r="C333">
            <v>18.559999999999999</v>
          </cell>
          <cell r="D333">
            <v>54</v>
          </cell>
          <cell r="E333">
            <v>5.5</v>
          </cell>
          <cell r="F333" t="str">
            <v>B286</v>
          </cell>
          <cell r="G333">
            <v>100418</v>
          </cell>
          <cell r="H333" t="str">
            <v>FLOUR BAKER 
HARD WHT UNBLCH BULK</v>
          </cell>
          <cell r="I333">
            <v>6.21</v>
          </cell>
        </row>
        <row r="334">
          <cell r="A334">
            <v>63520</v>
          </cell>
          <cell r="B334" t="str">
            <v>Tony's 5" Pizza Bulk Peppeorni</v>
          </cell>
          <cell r="C334">
            <v>21.09</v>
          </cell>
          <cell r="D334">
            <v>54</v>
          </cell>
          <cell r="E334">
            <v>6.25</v>
          </cell>
          <cell r="F334" t="str">
            <v>B286</v>
          </cell>
          <cell r="G334">
            <v>100418</v>
          </cell>
          <cell r="H334" t="str">
            <v>FLOUR BAKER 
HARD WHT UNBLCH BULK</v>
          </cell>
          <cell r="I334">
            <v>6.21</v>
          </cell>
        </row>
        <row r="335">
          <cell r="A335">
            <v>63564</v>
          </cell>
          <cell r="B335" t="str">
            <v>Tony's Breakfast Sq Bacon Scramble</v>
          </cell>
          <cell r="C335">
            <v>23.52</v>
          </cell>
          <cell r="D335">
            <v>128</v>
          </cell>
          <cell r="E335">
            <v>2.94</v>
          </cell>
          <cell r="F335" t="str">
            <v>B286</v>
          </cell>
          <cell r="G335">
            <v>100418</v>
          </cell>
          <cell r="H335" t="str">
            <v>FLOUR BAKER 
HARD WHT UNBLCH BULK</v>
          </cell>
          <cell r="I335">
            <v>6.83</v>
          </cell>
        </row>
        <row r="336">
          <cell r="A336">
            <v>63570</v>
          </cell>
          <cell r="B336" t="str">
            <v>Sausage &amp; TVP Pizza</v>
          </cell>
          <cell r="C336">
            <v>27.06</v>
          </cell>
          <cell r="D336">
            <v>96</v>
          </cell>
          <cell r="E336">
            <v>4.51</v>
          </cell>
          <cell r="F336" t="str">
            <v>B286</v>
          </cell>
          <cell r="G336">
            <v>100418</v>
          </cell>
          <cell r="H336" t="str">
            <v>FLOUR BAKER 
HARD WHT UNBLCH BULK</v>
          </cell>
          <cell r="I336">
            <v>6.54</v>
          </cell>
        </row>
        <row r="337">
          <cell r="A337">
            <v>63572</v>
          </cell>
          <cell r="B337" t="str">
            <v>4x6 Cheese Pizza</v>
          </cell>
          <cell r="C337">
            <v>26.58</v>
          </cell>
          <cell r="D337">
            <v>96</v>
          </cell>
          <cell r="E337">
            <v>4.43</v>
          </cell>
          <cell r="F337" t="str">
            <v>B286</v>
          </cell>
          <cell r="G337">
            <v>100418</v>
          </cell>
          <cell r="H337" t="str">
            <v>FLOUR BAKER 
HARD WHT UNBLCH BULK</v>
          </cell>
          <cell r="I337">
            <v>6.54</v>
          </cell>
        </row>
        <row r="338">
          <cell r="A338">
            <v>63582</v>
          </cell>
          <cell r="B338" t="str">
            <v>Red Baron Premio 6.5" 4 Cheese</v>
          </cell>
          <cell r="C338">
            <v>20.76</v>
          </cell>
          <cell r="D338">
            <v>54</v>
          </cell>
          <cell r="E338">
            <v>6.15</v>
          </cell>
          <cell r="F338" t="str">
            <v>B286</v>
          </cell>
          <cell r="G338">
            <v>100418</v>
          </cell>
          <cell r="H338" t="str">
            <v>FLOUR BAKER 
HARD WHT UNBLCH BULK</v>
          </cell>
          <cell r="I338">
            <v>7.41</v>
          </cell>
        </row>
        <row r="339">
          <cell r="A339">
            <v>63584</v>
          </cell>
          <cell r="B339" t="str">
            <v>Red Baron Personal Round 6.5"</v>
          </cell>
          <cell r="C339">
            <v>20.76</v>
          </cell>
          <cell r="D339">
            <v>54</v>
          </cell>
          <cell r="E339">
            <v>6.15</v>
          </cell>
          <cell r="F339" t="str">
            <v>B286</v>
          </cell>
          <cell r="G339">
            <v>100418</v>
          </cell>
          <cell r="H339" t="str">
            <v>FLOUR BAKER 
HARD WHT UNBLCH BULK</v>
          </cell>
          <cell r="I339">
            <v>7.41</v>
          </cell>
        </row>
        <row r="340">
          <cell r="A340">
            <v>63624</v>
          </cell>
          <cell r="B340" t="str">
            <v>Tony's Wedge Pepp. (CN) 100% Mozz</v>
          </cell>
          <cell r="C340">
            <v>27.48</v>
          </cell>
          <cell r="D340">
            <v>96</v>
          </cell>
          <cell r="E340">
            <v>4.58</v>
          </cell>
          <cell r="F340" t="str">
            <v>B286</v>
          </cell>
          <cell r="G340">
            <v>100418</v>
          </cell>
          <cell r="H340" t="str">
            <v>FLOUR BAKER 
HARD WHT UNBLCH BULK</v>
          </cell>
          <cell r="I340">
            <v>6.99</v>
          </cell>
        </row>
        <row r="341">
          <cell r="A341">
            <v>63743</v>
          </cell>
          <cell r="B341" t="str">
            <v>Tony's SmartPizza Cheese/Sub Cheese Pizza</v>
          </cell>
          <cell r="C341">
            <v>33.18</v>
          </cell>
          <cell r="D341">
            <v>96</v>
          </cell>
          <cell r="E341">
            <v>5.53</v>
          </cell>
          <cell r="F341" t="str">
            <v>B286</v>
          </cell>
          <cell r="G341">
            <v>100418</v>
          </cell>
          <cell r="H341" t="str">
            <v>FLOUR BAKER 
HARD WHT UNBLCH BULK</v>
          </cell>
          <cell r="I341">
            <v>9.64</v>
          </cell>
        </row>
        <row r="342">
          <cell r="A342">
            <v>63748</v>
          </cell>
          <cell r="B342" t="str">
            <v>Tony's SmartPizza Chs/Sub Chs Red Fat Pepp</v>
          </cell>
          <cell r="C342">
            <v>33.72</v>
          </cell>
          <cell r="D342">
            <v>96</v>
          </cell>
          <cell r="E342">
            <v>5.62</v>
          </cell>
          <cell r="F342" t="str">
            <v>B286</v>
          </cell>
          <cell r="G342">
            <v>100418</v>
          </cell>
          <cell r="H342" t="str">
            <v>FLOUR BAKER 
HARD WHT UNBLCH BULK</v>
          </cell>
          <cell r="I342">
            <v>9.64</v>
          </cell>
        </row>
        <row r="343">
          <cell r="A343">
            <v>63835</v>
          </cell>
          <cell r="B343" t="str">
            <v>Wedge Sausage &amp; TVP Pizza</v>
          </cell>
          <cell r="C343">
            <v>28.14</v>
          </cell>
          <cell r="D343">
            <v>96</v>
          </cell>
          <cell r="E343">
            <v>4.6900000000000004</v>
          </cell>
          <cell r="F343" t="str">
            <v>B286</v>
          </cell>
          <cell r="G343">
            <v>100418</v>
          </cell>
          <cell r="H343" t="str">
            <v>FLOUR BAKER 
HARD WHT UNBLCH BULK</v>
          </cell>
          <cell r="I343">
            <v>6.99</v>
          </cell>
        </row>
        <row r="344">
          <cell r="A344">
            <v>63904</v>
          </cell>
          <cell r="B344" t="str">
            <v>3x4 Breakfast Sausage  Turkey</v>
          </cell>
          <cell r="C344">
            <v>25.6</v>
          </cell>
          <cell r="D344">
            <v>128</v>
          </cell>
          <cell r="E344">
            <v>3.2</v>
          </cell>
          <cell r="F344" t="str">
            <v>B286</v>
          </cell>
          <cell r="G344">
            <v>100418</v>
          </cell>
          <cell r="H344" t="str">
            <v>FLOUR BAKER 
HARD WHT UNBLCH BULK</v>
          </cell>
          <cell r="I344">
            <v>7.62</v>
          </cell>
        </row>
        <row r="345">
          <cell r="A345">
            <v>63912</v>
          </cell>
          <cell r="B345" t="str">
            <v>Sausage Breakfast Pizza</v>
          </cell>
          <cell r="C345">
            <v>26.57</v>
          </cell>
          <cell r="D345">
            <v>128</v>
          </cell>
          <cell r="E345">
            <v>3.32</v>
          </cell>
          <cell r="F345" t="str">
            <v>B286</v>
          </cell>
          <cell r="G345">
            <v>100418</v>
          </cell>
          <cell r="H345" t="str">
            <v>FLOUR BAKER 
HARD WHT UNBLCH BULK</v>
          </cell>
          <cell r="I345">
            <v>6.57</v>
          </cell>
        </row>
        <row r="346">
          <cell r="A346">
            <v>63999</v>
          </cell>
          <cell r="B346" t="str">
            <v>3.2x5 IQF Cheese 50/50</v>
          </cell>
          <cell r="C346">
            <v>30</v>
          </cell>
          <cell r="D346">
            <v>100</v>
          </cell>
          <cell r="E346">
            <v>4.8</v>
          </cell>
          <cell r="F346" t="str">
            <v>B286</v>
          </cell>
          <cell r="G346">
            <v>100418</v>
          </cell>
          <cell r="H346" t="str">
            <v>FLOUR BAKER 
HARD WHT UNBLCH BULK</v>
          </cell>
          <cell r="I346">
            <v>6.65</v>
          </cell>
        </row>
        <row r="347">
          <cell r="A347">
            <v>66230</v>
          </cell>
          <cell r="B347" t="str">
            <v>Whole Grain Pizza Bagel Bulk</v>
          </cell>
          <cell r="C347">
            <v>26.25</v>
          </cell>
          <cell r="D347">
            <v>84</v>
          </cell>
          <cell r="E347">
            <v>5</v>
          </cell>
          <cell r="F347" t="str">
            <v>B286</v>
          </cell>
          <cell r="G347">
            <v>100418</v>
          </cell>
          <cell r="H347" t="str">
            <v>FLOUR BAKER 
HARD WHT UNBLCH BULK</v>
          </cell>
          <cell r="I347">
            <v>0</v>
          </cell>
        </row>
        <row r="348">
          <cell r="A348">
            <v>66231</v>
          </cell>
          <cell r="B348" t="str">
            <v>Whole Grain Cheese Pizza Bagel Wrapped</v>
          </cell>
          <cell r="C348">
            <v>26.25</v>
          </cell>
          <cell r="D348">
            <v>84</v>
          </cell>
          <cell r="E348">
            <v>5</v>
          </cell>
          <cell r="F348" t="str">
            <v>B286</v>
          </cell>
          <cell r="G348">
            <v>100418</v>
          </cell>
          <cell r="H348" t="str">
            <v>FLOUR BAKER 
HARD WHT UNBLCH BULK</v>
          </cell>
          <cell r="I348">
            <v>0</v>
          </cell>
        </row>
        <row r="349">
          <cell r="A349">
            <v>66232</v>
          </cell>
          <cell r="B349" t="str">
            <v>Whole Grain Pepp Pizza Bagel Bulk</v>
          </cell>
          <cell r="C349">
            <v>26.25</v>
          </cell>
          <cell r="D349">
            <v>84</v>
          </cell>
          <cell r="E349">
            <v>5</v>
          </cell>
          <cell r="F349" t="str">
            <v>B286</v>
          </cell>
          <cell r="G349">
            <v>100418</v>
          </cell>
          <cell r="H349" t="str">
            <v>FLOUR BAKER 
HARD WHT UNBLCH BULK</v>
          </cell>
          <cell r="I349">
            <v>0</v>
          </cell>
        </row>
        <row r="350">
          <cell r="A350">
            <v>66233</v>
          </cell>
          <cell r="B350" t="str">
            <v>Whole Grain Pepp Pizza Bagel Wrapped</v>
          </cell>
          <cell r="C350">
            <v>26.25</v>
          </cell>
          <cell r="D350">
            <v>84</v>
          </cell>
          <cell r="E350">
            <v>5</v>
          </cell>
          <cell r="F350" t="str">
            <v>B286</v>
          </cell>
          <cell r="G350">
            <v>100418</v>
          </cell>
          <cell r="H350" t="str">
            <v>FLOUR BAKER 
HARD WHT UNBLCH BULK</v>
          </cell>
          <cell r="I350">
            <v>0</v>
          </cell>
        </row>
        <row r="351">
          <cell r="A351">
            <v>66234</v>
          </cell>
          <cell r="B351" t="str">
            <v>Whole Grain French Bread Cheese Bulk</v>
          </cell>
          <cell r="C351">
            <v>16.88</v>
          </cell>
          <cell r="D351">
            <v>60</v>
          </cell>
          <cell r="E351">
            <v>4.5</v>
          </cell>
          <cell r="F351" t="str">
            <v>B286</v>
          </cell>
          <cell r="G351">
            <v>100418</v>
          </cell>
          <cell r="H351" t="str">
            <v>FLOUR BAKER 
HARD WHT UNBLCH BULK</v>
          </cell>
          <cell r="I351">
            <v>0</v>
          </cell>
        </row>
        <row r="352">
          <cell r="A352">
            <v>66235</v>
          </cell>
          <cell r="B352" t="str">
            <v>Whole Grain French Bread Cheese Wrapped</v>
          </cell>
          <cell r="C352">
            <v>16.88</v>
          </cell>
          <cell r="D352">
            <v>60</v>
          </cell>
          <cell r="E352">
            <v>4.5</v>
          </cell>
          <cell r="F352" t="str">
            <v>B286</v>
          </cell>
          <cell r="G352">
            <v>100418</v>
          </cell>
          <cell r="H352" t="str">
            <v>FLOUR BAKER 
HARD WHT UNBLCH BULK</v>
          </cell>
          <cell r="I352">
            <v>0</v>
          </cell>
        </row>
        <row r="353">
          <cell r="A353">
            <v>66236</v>
          </cell>
          <cell r="B353" t="str">
            <v>Whole Grain French Bread Pepp Bulk</v>
          </cell>
          <cell r="C353">
            <v>16.88</v>
          </cell>
          <cell r="D353">
            <v>60</v>
          </cell>
          <cell r="E353">
            <v>4.5</v>
          </cell>
          <cell r="F353" t="str">
            <v>B286</v>
          </cell>
          <cell r="G353">
            <v>100418</v>
          </cell>
          <cell r="H353" t="str">
            <v>FLOUR BAKER 
HARD WHT UNBLCH BULK</v>
          </cell>
          <cell r="I353">
            <v>0</v>
          </cell>
        </row>
        <row r="354">
          <cell r="A354">
            <v>66237</v>
          </cell>
          <cell r="B354" t="str">
            <v>Whole Grain French Bread Pepp Wrapped</v>
          </cell>
          <cell r="C354">
            <v>16.88</v>
          </cell>
          <cell r="D354">
            <v>60</v>
          </cell>
          <cell r="E354">
            <v>4.5</v>
          </cell>
          <cell r="F354" t="str">
            <v>B286</v>
          </cell>
          <cell r="G354">
            <v>100418</v>
          </cell>
          <cell r="H354" t="str">
            <v>FLOUR BAKER 
HARD WHT UNBLCH BULK</v>
          </cell>
          <cell r="I354">
            <v>0</v>
          </cell>
        </row>
        <row r="355">
          <cell r="A355">
            <v>66238</v>
          </cell>
          <cell r="B355" t="str">
            <v>Whole Grain 4x6 Cheese Pizza Bulk</v>
          </cell>
          <cell r="C355">
            <v>30</v>
          </cell>
          <cell r="D355">
            <v>96</v>
          </cell>
          <cell r="E355">
            <v>5</v>
          </cell>
          <cell r="F355" t="str">
            <v>B286</v>
          </cell>
          <cell r="G355">
            <v>100418</v>
          </cell>
          <cell r="H355" t="str">
            <v>FLOUR BAKER 
HARD WHT UNBLCH BULK</v>
          </cell>
          <cell r="I355">
            <v>0</v>
          </cell>
        </row>
        <row r="356">
          <cell r="A356">
            <v>66239</v>
          </cell>
          <cell r="B356" t="str">
            <v>Whole Grain 4x6 Cheese Pizza Wrapped</v>
          </cell>
          <cell r="C356">
            <v>30</v>
          </cell>
          <cell r="D356">
            <v>96</v>
          </cell>
          <cell r="E356">
            <v>5</v>
          </cell>
          <cell r="F356" t="str">
            <v>B286</v>
          </cell>
          <cell r="G356">
            <v>100418</v>
          </cell>
          <cell r="H356" t="str">
            <v>FLOUR BAKER 
HARD WHT UNBLCH BULK</v>
          </cell>
          <cell r="I356">
            <v>0</v>
          </cell>
        </row>
        <row r="357">
          <cell r="A357">
            <v>66240</v>
          </cell>
          <cell r="B357" t="str">
            <v>Whole Grain 8" Garlic Cheese Toast Bulk</v>
          </cell>
          <cell r="C357">
            <v>14.55</v>
          </cell>
          <cell r="D357">
            <v>48</v>
          </cell>
          <cell r="E357">
            <v>4.8499999999999996</v>
          </cell>
          <cell r="F357" t="str">
            <v>B286</v>
          </cell>
          <cell r="G357">
            <v>100418</v>
          </cell>
          <cell r="H357" t="str">
            <v>FLOUR BAKER 
HARD WHT UNBLCH BULK</v>
          </cell>
          <cell r="I357">
            <v>0</v>
          </cell>
        </row>
        <row r="358">
          <cell r="A358">
            <v>66241</v>
          </cell>
          <cell r="B358" t="str">
            <v>Whole Grain 8" Garlic Cheese Toast Wrapped</v>
          </cell>
          <cell r="C358">
            <v>14.55</v>
          </cell>
          <cell r="D358">
            <v>48</v>
          </cell>
          <cell r="E358">
            <v>4.8499999999999996</v>
          </cell>
          <cell r="F358" t="str">
            <v>B286</v>
          </cell>
          <cell r="G358">
            <v>100418</v>
          </cell>
          <cell r="H358" t="str">
            <v>FLOUR BAKER 
HARD WHT UNBLCH BULK</v>
          </cell>
          <cell r="I358">
            <v>0</v>
          </cell>
        </row>
        <row r="359">
          <cell r="A359">
            <v>66242</v>
          </cell>
          <cell r="B359" t="str">
            <v>Whole Grain 6" Garlic Cheese Toast Bulk</v>
          </cell>
          <cell r="C359">
            <v>14.06</v>
          </cell>
          <cell r="D359">
            <v>60</v>
          </cell>
          <cell r="E359">
            <v>3.75</v>
          </cell>
          <cell r="F359" t="str">
            <v>B286</v>
          </cell>
          <cell r="G359">
            <v>100418</v>
          </cell>
          <cell r="H359" t="str">
            <v>FLOUR BAKER 
HARD WHT UNBLCH BULK</v>
          </cell>
          <cell r="I359">
            <v>0</v>
          </cell>
        </row>
        <row r="360">
          <cell r="A360">
            <v>66243</v>
          </cell>
          <cell r="B360" t="str">
            <v>Whole Grain 6" Garlic Cheese Toast Wrapped</v>
          </cell>
          <cell r="C360">
            <v>14.06</v>
          </cell>
          <cell r="D360">
            <v>60</v>
          </cell>
          <cell r="E360">
            <v>3.75</v>
          </cell>
          <cell r="F360" t="str">
            <v>B286</v>
          </cell>
          <cell r="G360">
            <v>100418</v>
          </cell>
          <cell r="H360" t="str">
            <v>FLOUR BAKER 
HARD WHT UNBLCH BULK</v>
          </cell>
          <cell r="I360">
            <v>0</v>
          </cell>
        </row>
        <row r="361">
          <cell r="A361">
            <v>68503</v>
          </cell>
          <cell r="B361" t="str">
            <v>Tony's 3x8 Ultimate Flatbread 100% Mozz</v>
          </cell>
          <cell r="C361">
            <v>35.700000000000003</v>
          </cell>
          <cell r="D361">
            <v>96</v>
          </cell>
          <cell r="E361">
            <v>5.95</v>
          </cell>
          <cell r="F361" t="str">
            <v>B286</v>
          </cell>
          <cell r="G361">
            <v>100418</v>
          </cell>
          <cell r="H361" t="str">
            <v>FLOUR BAKER 
HARD WHT UNBLCH BULK</v>
          </cell>
          <cell r="I361">
            <v>9.92</v>
          </cell>
        </row>
        <row r="362">
          <cell r="A362">
            <v>68504</v>
          </cell>
          <cell r="B362" t="str">
            <v>Tony's 3x8 Ultimate Flatbread Pepperoni</v>
          </cell>
          <cell r="C362">
            <v>35.82</v>
          </cell>
          <cell r="D362">
            <v>96</v>
          </cell>
          <cell r="E362">
            <v>5.97</v>
          </cell>
          <cell r="F362" t="str">
            <v>B286</v>
          </cell>
          <cell r="G362">
            <v>100418</v>
          </cell>
          <cell r="H362" t="str">
            <v>FLOUR BAKER 
HARD WHT UNBLCH BULK</v>
          </cell>
          <cell r="I362">
            <v>9.92</v>
          </cell>
        </row>
        <row r="363">
          <cell r="A363">
            <v>68509</v>
          </cell>
          <cell r="B363" t="str">
            <v>3x4 Breakfast Sausage (pork)</v>
          </cell>
          <cell r="C363">
            <v>25.6</v>
          </cell>
          <cell r="D363">
            <v>128</v>
          </cell>
          <cell r="E363">
            <v>3.2</v>
          </cell>
          <cell r="F363" t="str">
            <v>B286</v>
          </cell>
          <cell r="G363">
            <v>100418</v>
          </cell>
          <cell r="H363" t="str">
            <v>FLOUR BAKER 
HARD WHT UNBLCH BULK</v>
          </cell>
          <cell r="I363">
            <v>6.4</v>
          </cell>
        </row>
        <row r="364">
          <cell r="A364">
            <v>68510</v>
          </cell>
          <cell r="B364" t="str">
            <v>Breakfast Sausage &amp; TVP w/creamy gravy (pork)</v>
          </cell>
          <cell r="C364">
            <v>24</v>
          </cell>
          <cell r="D364">
            <v>128</v>
          </cell>
          <cell r="E364">
            <v>3</v>
          </cell>
          <cell r="F364" t="str">
            <v>B286</v>
          </cell>
          <cell r="G364">
            <v>100418</v>
          </cell>
          <cell r="H364" t="str">
            <v>FLOUR BAKER 
HARD WHT UNBLCH BULK</v>
          </cell>
          <cell r="I364">
            <v>6.4</v>
          </cell>
        </row>
        <row r="365">
          <cell r="A365">
            <v>68516</v>
          </cell>
          <cell r="B365" t="str">
            <v>Whole Grain Fiestada</v>
          </cell>
          <cell r="C365">
            <v>32.64</v>
          </cell>
          <cell r="D365">
            <v>96</v>
          </cell>
          <cell r="E365">
            <v>5.44</v>
          </cell>
          <cell r="F365" t="str">
            <v>B286</v>
          </cell>
          <cell r="G365">
            <v>100418</v>
          </cell>
          <cell r="H365" t="str">
            <v>FLOUR BAKER 
HARD WHT UNBLCH BULK</v>
          </cell>
          <cell r="I365">
            <v>7.28</v>
          </cell>
        </row>
        <row r="366">
          <cell r="A366">
            <v>68521</v>
          </cell>
          <cell r="B366" t="str">
            <v>Whole Grain Thick Crust Cheese Pizza</v>
          </cell>
          <cell r="C366">
            <v>31.34</v>
          </cell>
          <cell r="D366">
            <v>96</v>
          </cell>
          <cell r="E366">
            <v>5.22</v>
          </cell>
          <cell r="F366" t="str">
            <v>B286</v>
          </cell>
          <cell r="G366">
            <v>100418</v>
          </cell>
          <cell r="H366" t="str">
            <v>FLOUR BAKER 
HARD WHT UNBLCH BULK</v>
          </cell>
          <cell r="I366">
            <v>7.72</v>
          </cell>
        </row>
        <row r="367">
          <cell r="A367">
            <v>68533</v>
          </cell>
          <cell r="B367" t="str">
            <v>Gluten Free 5" Cheese Pizza</v>
          </cell>
          <cell r="C367">
            <v>7.88</v>
          </cell>
          <cell r="D367">
            <v>24</v>
          </cell>
          <cell r="E367">
            <v>5.25</v>
          </cell>
          <cell r="F367" t="str">
            <v>B286</v>
          </cell>
          <cell r="G367">
            <v>100418</v>
          </cell>
          <cell r="H367" t="str">
            <v>FLOUR BAKER 
HARD WHT UNBLCH BULK</v>
          </cell>
          <cell r="I367">
            <v>0</v>
          </cell>
        </row>
        <row r="368">
          <cell r="A368">
            <v>68543</v>
          </cell>
          <cell r="B368" t="str">
            <v>Big Daddy's WG 16" Cheese 2 BC</v>
          </cell>
          <cell r="C368">
            <v>22.24</v>
          </cell>
          <cell r="D368">
            <v>72</v>
          </cell>
          <cell r="E368">
            <v>4.9400000000000004</v>
          </cell>
          <cell r="F368" t="str">
            <v>B286</v>
          </cell>
          <cell r="G368">
            <v>100418</v>
          </cell>
          <cell r="H368" t="str">
            <v>FLOUR BAKER 
HARD WHT UNBLCH BULK</v>
          </cell>
          <cell r="I368">
            <v>5.41</v>
          </cell>
        </row>
        <row r="369">
          <cell r="A369">
            <v>68544</v>
          </cell>
          <cell r="B369" t="str">
            <v>Big Daddy's WG 16" RE Pepp 2 BC</v>
          </cell>
          <cell r="C369">
            <v>22.46</v>
          </cell>
          <cell r="D369">
            <v>72</v>
          </cell>
          <cell r="E369">
            <v>4.99</v>
          </cell>
          <cell r="F369" t="str">
            <v>B286</v>
          </cell>
          <cell r="G369">
            <v>100418</v>
          </cell>
          <cell r="H369" t="str">
            <v>FLOUR BAKER 
HARD WHT UNBLCH BULK</v>
          </cell>
          <cell r="I369">
            <v>5.41</v>
          </cell>
        </row>
        <row r="370">
          <cell r="A370">
            <v>68563</v>
          </cell>
          <cell r="B370" t="str">
            <v>TN Cheese 5% WG Flatbread-Bulk</v>
          </cell>
          <cell r="C370">
            <v>27.02</v>
          </cell>
          <cell r="D370">
            <v>96</v>
          </cell>
          <cell r="E370">
            <v>4.5</v>
          </cell>
          <cell r="F370" t="str">
            <v>B286</v>
          </cell>
          <cell r="G370">
            <v>100418</v>
          </cell>
          <cell r="H370" t="str">
            <v>FLOUR BAKER 
HARD WHT UNBLCH BULK</v>
          </cell>
          <cell r="I370">
            <v>6.91</v>
          </cell>
        </row>
        <row r="371">
          <cell r="A371">
            <v>68568</v>
          </cell>
          <cell r="B371" t="str">
            <v>TN IT Cheese 51% WG Flatbread</v>
          </cell>
          <cell r="C371">
            <v>27.02</v>
          </cell>
          <cell r="D371">
            <v>96</v>
          </cell>
          <cell r="E371">
            <v>4.5</v>
          </cell>
          <cell r="F371" t="str">
            <v>B286</v>
          </cell>
          <cell r="G371">
            <v>100418</v>
          </cell>
          <cell r="H371" t="str">
            <v>FLOUR BAKER 
HARD WHT UNBLCH BULK</v>
          </cell>
          <cell r="I371">
            <v>6.91</v>
          </cell>
        </row>
        <row r="372">
          <cell r="A372">
            <v>68571</v>
          </cell>
          <cell r="B372" t="str">
            <v>Tony's 51% WG Turkey Sausage Bagel</v>
          </cell>
          <cell r="C372">
            <v>15.72</v>
          </cell>
          <cell r="D372">
            <v>96</v>
          </cell>
          <cell r="E372">
            <v>2.62</v>
          </cell>
          <cell r="F372" t="str">
            <v>B286</v>
          </cell>
          <cell r="G372">
            <v>100418</v>
          </cell>
          <cell r="H372" t="str">
            <v>FLOUR BAKER 
HARD WHT UNBLCH BULK</v>
          </cell>
          <cell r="I372">
            <v>3</v>
          </cell>
        </row>
        <row r="373">
          <cell r="A373">
            <v>68711</v>
          </cell>
          <cell r="B373" t="str">
            <v>SFS Tony's Whole Grain Wedge Pizza 100%</v>
          </cell>
          <cell r="C373">
            <v>20</v>
          </cell>
          <cell r="D373">
            <v>64</v>
          </cell>
          <cell r="E373">
            <v>5</v>
          </cell>
          <cell r="F373" t="str">
            <v>B286</v>
          </cell>
          <cell r="G373">
            <v>100418</v>
          </cell>
          <cell r="H373" t="str">
            <v>FLOUR BAKER 
HARD WHT UNBLCH BULK</v>
          </cell>
          <cell r="I373">
            <v>4.7699999999999996</v>
          </cell>
        </row>
        <row r="374">
          <cell r="A374">
            <v>68764</v>
          </cell>
          <cell r="B374" t="str">
            <v>SFS Big Daddy's Or Chese Fill Brdstck</v>
          </cell>
          <cell r="C374">
            <v>20.25</v>
          </cell>
          <cell r="D374">
            <v>108</v>
          </cell>
          <cell r="E374">
            <v>3</v>
          </cell>
          <cell r="F374" t="str">
            <v>B286</v>
          </cell>
          <cell r="G374">
            <v>100418</v>
          </cell>
          <cell r="H374" t="str">
            <v>FLOUR BAKER 
HARD WHT UNBLCH BULK</v>
          </cell>
          <cell r="I374">
            <v>8.5399999999999991</v>
          </cell>
        </row>
        <row r="375">
          <cell r="A375">
            <v>68765</v>
          </cell>
          <cell r="B375" t="str">
            <v>SFS Big Daddy's WG Chese Fill Brdstck Blk</v>
          </cell>
          <cell r="C375">
            <v>20.25</v>
          </cell>
          <cell r="D375">
            <v>108</v>
          </cell>
          <cell r="E375">
            <v>3</v>
          </cell>
          <cell r="F375" t="str">
            <v>B286</v>
          </cell>
          <cell r="G375">
            <v>100418</v>
          </cell>
          <cell r="H375" t="str">
            <v>FLOUR BAKER 
HARD WHT UNBLCH BULK</v>
          </cell>
          <cell r="I375">
            <v>7.64</v>
          </cell>
        </row>
        <row r="376">
          <cell r="A376">
            <v>68766</v>
          </cell>
          <cell r="B376" t="str">
            <v>SFS Big Daddy's WG Chese Fill Brdstck IW</v>
          </cell>
          <cell r="C376">
            <v>20.25</v>
          </cell>
          <cell r="D376">
            <v>108</v>
          </cell>
          <cell r="E376">
            <v>3</v>
          </cell>
          <cell r="F376" t="str">
            <v>B286</v>
          </cell>
          <cell r="G376">
            <v>100418</v>
          </cell>
          <cell r="H376" t="str">
            <v>FLOUR BAKER 
HARD WHT UNBLCH BULK</v>
          </cell>
          <cell r="I376">
            <v>7.64</v>
          </cell>
        </row>
        <row r="377">
          <cell r="A377">
            <v>69063</v>
          </cell>
          <cell r="B377" t="str">
            <v>Sweet &amp;  Sour Chicken Stir Fry</v>
          </cell>
          <cell r="C377">
            <v>35</v>
          </cell>
          <cell r="D377">
            <v>142</v>
          </cell>
          <cell r="E377">
            <v>3.92</v>
          </cell>
          <cell r="F377" t="str">
            <v>B286</v>
          </cell>
          <cell r="G377">
            <v>100418</v>
          </cell>
          <cell r="H377" t="str">
            <v>FLOUR BAKER 
HARD WHT UNBLCH BULK</v>
          </cell>
          <cell r="I377">
            <v>10.92</v>
          </cell>
        </row>
        <row r="378">
          <cell r="A378">
            <v>69066</v>
          </cell>
          <cell r="B378" t="str">
            <v>Orange Chicken Stir Fry</v>
          </cell>
          <cell r="C378">
            <v>35</v>
          </cell>
          <cell r="D378">
            <v>142</v>
          </cell>
          <cell r="E378">
            <v>3.92</v>
          </cell>
          <cell r="F378" t="str">
            <v>B286</v>
          </cell>
          <cell r="G378">
            <v>100418</v>
          </cell>
          <cell r="H378" t="str">
            <v>FLOUR BAKER 
HARD WHT UNBLCH BULK</v>
          </cell>
          <cell r="I378">
            <v>10.92</v>
          </cell>
        </row>
        <row r="379">
          <cell r="A379">
            <v>72557</v>
          </cell>
          <cell r="B379" t="str">
            <v>Whole Grain 4x6 Sausage Pizza 50/50</v>
          </cell>
          <cell r="C379">
            <v>28.14</v>
          </cell>
          <cell r="D379">
            <v>96</v>
          </cell>
          <cell r="E379">
            <v>4.6900000000000004</v>
          </cell>
          <cell r="F379" t="str">
            <v>B286</v>
          </cell>
          <cell r="G379">
            <v>100418</v>
          </cell>
          <cell r="H379" t="str">
            <v>FLOUR BAKER 
HARD WHT UNBLCH BULK</v>
          </cell>
          <cell r="I379">
            <v>6.3</v>
          </cell>
        </row>
        <row r="380">
          <cell r="A380">
            <v>72558</v>
          </cell>
          <cell r="B380" t="str">
            <v>Whole Grain Wedge Cheese Pizza 100%</v>
          </cell>
          <cell r="C380">
            <v>27.6</v>
          </cell>
          <cell r="D380">
            <v>96</v>
          </cell>
          <cell r="E380">
            <v>4.5999999999999996</v>
          </cell>
          <cell r="F380" t="str">
            <v>B286</v>
          </cell>
          <cell r="G380">
            <v>100418</v>
          </cell>
          <cell r="H380" t="str">
            <v>FLOUR BAKER 
HARD WHT UNBLCH BULK</v>
          </cell>
          <cell r="I380">
            <v>6.3</v>
          </cell>
        </row>
        <row r="381">
          <cell r="A381">
            <v>72559</v>
          </cell>
          <cell r="B381" t="str">
            <v>Whole Grain Wedge Pepperoni Pizza 50/50</v>
          </cell>
          <cell r="C381">
            <v>26.88</v>
          </cell>
          <cell r="D381">
            <v>96</v>
          </cell>
          <cell r="E381">
            <v>4.4800000000000004</v>
          </cell>
          <cell r="F381" t="str">
            <v>B286</v>
          </cell>
          <cell r="G381">
            <v>100418</v>
          </cell>
          <cell r="H381" t="str">
            <v>FLOUR BAKER 
HARD WHT UNBLCH BULK</v>
          </cell>
          <cell r="I381">
            <v>6.3</v>
          </cell>
        </row>
        <row r="382">
          <cell r="A382">
            <v>72560</v>
          </cell>
          <cell r="B382" t="str">
            <v>Whole Grain Wedge Pepperoni Pizza 100%</v>
          </cell>
          <cell r="C382">
            <v>26.88</v>
          </cell>
          <cell r="D382">
            <v>96</v>
          </cell>
          <cell r="E382">
            <v>4.4800000000000004</v>
          </cell>
          <cell r="F382" t="str">
            <v>B286</v>
          </cell>
          <cell r="G382">
            <v>100418</v>
          </cell>
          <cell r="H382" t="str">
            <v>FLOUR BAKER 
HARD WHT UNBLCH BULK</v>
          </cell>
          <cell r="I382">
            <v>6.3</v>
          </cell>
        </row>
        <row r="383">
          <cell r="A383">
            <v>72561</v>
          </cell>
          <cell r="B383" t="str">
            <v>Whole Grain Right Angle Wedge Cheese 50/50</v>
          </cell>
          <cell r="C383">
            <v>27.6</v>
          </cell>
          <cell r="D383">
            <v>96</v>
          </cell>
          <cell r="E383">
            <v>4.5999999999999996</v>
          </cell>
          <cell r="F383" t="str">
            <v>B286</v>
          </cell>
          <cell r="G383">
            <v>100418</v>
          </cell>
          <cell r="H383" t="str">
            <v>FLOUR BAKER 
HARD WHT UNBLCH BULK</v>
          </cell>
          <cell r="I383">
            <v>6.3</v>
          </cell>
        </row>
        <row r="384">
          <cell r="A384">
            <v>72562</v>
          </cell>
          <cell r="B384" t="str">
            <v>Whole Grain Right Angle Wedge Pepp 50/50</v>
          </cell>
          <cell r="C384">
            <v>26.88</v>
          </cell>
          <cell r="D384">
            <v>96</v>
          </cell>
          <cell r="E384">
            <v>4.4800000000000004</v>
          </cell>
          <cell r="F384" t="str">
            <v>B286</v>
          </cell>
          <cell r="G384">
            <v>100418</v>
          </cell>
          <cell r="H384" t="str">
            <v>FLOUR BAKER 
HARD WHT UNBLCH BULK</v>
          </cell>
          <cell r="I384">
            <v>6.3</v>
          </cell>
        </row>
        <row r="385">
          <cell r="A385">
            <v>72563</v>
          </cell>
          <cell r="B385" t="str">
            <v>Whole Grain Right Angle Wedge Cheese Pizza 100%</v>
          </cell>
          <cell r="C385">
            <v>27.6</v>
          </cell>
          <cell r="D385">
            <v>96</v>
          </cell>
          <cell r="E385">
            <v>4.5999999999999996</v>
          </cell>
          <cell r="F385" t="str">
            <v>B286</v>
          </cell>
          <cell r="G385">
            <v>100418</v>
          </cell>
          <cell r="H385" t="str">
            <v>FLOUR BAKER 
HARD WHT UNBLCH BULK</v>
          </cell>
          <cell r="I385">
            <v>6.3</v>
          </cell>
        </row>
        <row r="386">
          <cell r="A386">
            <v>72564</v>
          </cell>
          <cell r="B386" t="str">
            <v>Whole Grain Right Angle Wedge Pepp Pizza 100%</v>
          </cell>
          <cell r="C386">
            <v>26.88</v>
          </cell>
          <cell r="D386">
            <v>96</v>
          </cell>
          <cell r="E386">
            <v>4.4800000000000004</v>
          </cell>
          <cell r="F386" t="str">
            <v>B286</v>
          </cell>
          <cell r="G386">
            <v>100418</v>
          </cell>
          <cell r="H386" t="str">
            <v>FLOUR BAKER 
HARD WHT UNBLCH BULK</v>
          </cell>
          <cell r="I386">
            <v>6.3</v>
          </cell>
        </row>
        <row r="387">
          <cell r="A387">
            <v>72565</v>
          </cell>
          <cell r="B387" t="str">
            <v>Whole Grain 3x8 Garlic Cheese Flatbread 50/50</v>
          </cell>
          <cell r="C387">
            <v>25.44</v>
          </cell>
          <cell r="D387">
            <v>96</v>
          </cell>
          <cell r="E387">
            <v>4.24</v>
          </cell>
          <cell r="F387" t="str">
            <v>B286</v>
          </cell>
          <cell r="G387">
            <v>100418</v>
          </cell>
          <cell r="H387" t="str">
            <v>FLOUR BAKER 
HARD WHT UNBLCH BULK</v>
          </cell>
          <cell r="I387">
            <v>6.3</v>
          </cell>
        </row>
        <row r="388">
          <cell r="A388">
            <v>72570</v>
          </cell>
          <cell r="B388" t="str">
            <v>Whole Grain  5" CC Cheese 50/50</v>
          </cell>
          <cell r="C388">
            <v>22.5</v>
          </cell>
          <cell r="D388">
            <v>80</v>
          </cell>
          <cell r="E388">
            <v>4.5</v>
          </cell>
          <cell r="F388" t="str">
            <v>B286</v>
          </cell>
          <cell r="G388">
            <v>100418</v>
          </cell>
          <cell r="H388" t="str">
            <v>FLOUR BAKER 
HARD WHT UNBLCH BULK</v>
          </cell>
          <cell r="I388">
            <v>5.25</v>
          </cell>
        </row>
        <row r="389">
          <cell r="A389">
            <v>72571</v>
          </cell>
          <cell r="B389" t="str">
            <v>Whole Grain 5" CC Pepp 50/50</v>
          </cell>
          <cell r="C389">
            <v>22.5</v>
          </cell>
          <cell r="D389">
            <v>80</v>
          </cell>
          <cell r="E389">
            <v>4.5</v>
          </cell>
          <cell r="F389" t="str">
            <v>B286</v>
          </cell>
          <cell r="G389">
            <v>100418</v>
          </cell>
          <cell r="H389" t="str">
            <v>FLOUR BAKER 
HARD WHT UNBLCH BULK</v>
          </cell>
          <cell r="I389">
            <v>5.25</v>
          </cell>
        </row>
        <row r="390">
          <cell r="A390">
            <v>72572</v>
          </cell>
          <cell r="B390" t="str">
            <v>Whole Grain 5" Deep Dish Cheese Pizza 50/50</v>
          </cell>
          <cell r="C390">
            <v>18.53</v>
          </cell>
          <cell r="D390">
            <v>60</v>
          </cell>
          <cell r="E390">
            <v>4.9400000000000004</v>
          </cell>
          <cell r="F390" t="str">
            <v>B286</v>
          </cell>
          <cell r="G390">
            <v>100418</v>
          </cell>
          <cell r="H390" t="str">
            <v>FLOUR BAKER 
HARD WHT UNBLCH BULK</v>
          </cell>
          <cell r="I390">
            <v>4.5199999999999996</v>
          </cell>
        </row>
        <row r="391">
          <cell r="A391">
            <v>72573</v>
          </cell>
          <cell r="B391" t="str">
            <v>Whole Grain 5" Deep Dish Pepp Pizza 50/50</v>
          </cell>
          <cell r="C391">
            <v>19.010000000000002</v>
          </cell>
          <cell r="D391">
            <v>60</v>
          </cell>
          <cell r="E391">
            <v>5.07</v>
          </cell>
          <cell r="F391" t="str">
            <v>B286</v>
          </cell>
          <cell r="G391">
            <v>100418</v>
          </cell>
          <cell r="H391" t="str">
            <v>FLOUR BAKER 
HARD WHT UNBLCH BULK</v>
          </cell>
          <cell r="I391">
            <v>4.5199999999999996</v>
          </cell>
        </row>
        <row r="392">
          <cell r="A392">
            <v>72574</v>
          </cell>
          <cell r="B392" t="str">
            <v>Whole Grain 5" Deep Dish Cheese Pizza IW</v>
          </cell>
          <cell r="C392">
            <v>18.53</v>
          </cell>
          <cell r="D392">
            <v>60</v>
          </cell>
          <cell r="E392">
            <v>4.9400000000000004</v>
          </cell>
          <cell r="F392" t="str">
            <v>B286</v>
          </cell>
          <cell r="G392">
            <v>100418</v>
          </cell>
          <cell r="H392" t="str">
            <v>FLOUR BAKER 
HARD WHT UNBLCH BULK</v>
          </cell>
          <cell r="I392">
            <v>4.5199999999999996</v>
          </cell>
        </row>
        <row r="393">
          <cell r="A393">
            <v>72575</v>
          </cell>
          <cell r="B393" t="str">
            <v>Whole Grain 5" Deep Dish Pepp Pizza IW</v>
          </cell>
          <cell r="C393">
            <v>18.86</v>
          </cell>
          <cell r="D393">
            <v>60</v>
          </cell>
          <cell r="E393">
            <v>5.03</v>
          </cell>
          <cell r="F393" t="str">
            <v>B286</v>
          </cell>
          <cell r="G393">
            <v>100418</v>
          </cell>
          <cell r="H393" t="str">
            <v>FLOUR BAKER 
HARD WHT UNBLCH BULK</v>
          </cell>
          <cell r="I393">
            <v>4.5199999999999996</v>
          </cell>
        </row>
        <row r="394">
          <cell r="A394">
            <v>72576</v>
          </cell>
          <cell r="B394" t="str">
            <v>Whole Grain Galaxy Cheese Pizza 50/50</v>
          </cell>
          <cell r="C394">
            <v>19.98</v>
          </cell>
          <cell r="D394">
            <v>72</v>
          </cell>
          <cell r="E394">
            <v>4.4400000000000004</v>
          </cell>
          <cell r="F394" t="str">
            <v>B286</v>
          </cell>
          <cell r="G394">
            <v>100418</v>
          </cell>
          <cell r="H394" t="str">
            <v>FLOUR BAKER 
HARD WHT UNBLCH BULK</v>
          </cell>
          <cell r="I394">
            <v>4.42</v>
          </cell>
        </row>
        <row r="395">
          <cell r="A395">
            <v>72577</v>
          </cell>
          <cell r="B395" t="str">
            <v>Whole Grain Galaxy Pepp Pizza 50/50</v>
          </cell>
          <cell r="C395">
            <v>19.940000000000001</v>
          </cell>
          <cell r="D395">
            <v>72</v>
          </cell>
          <cell r="E395">
            <v>4.43</v>
          </cell>
          <cell r="F395" t="str">
            <v>B286</v>
          </cell>
          <cell r="G395">
            <v>100418</v>
          </cell>
          <cell r="H395" t="str">
            <v>FLOUR BAKER 
HARD WHT UNBLCH BULK</v>
          </cell>
          <cell r="I395">
            <v>4.42</v>
          </cell>
        </row>
        <row r="396">
          <cell r="A396">
            <v>72578</v>
          </cell>
          <cell r="B396" t="str">
            <v>Whole Grain Galaxy Cheese Pizza 50/50 IW</v>
          </cell>
          <cell r="C396">
            <v>19.98</v>
          </cell>
          <cell r="D396">
            <v>72</v>
          </cell>
          <cell r="E396">
            <v>4.4400000000000004</v>
          </cell>
          <cell r="F396" t="str">
            <v>B286</v>
          </cell>
          <cell r="G396">
            <v>100418</v>
          </cell>
          <cell r="H396" t="str">
            <v>FLOUR BAKER 
HARD WHT UNBLCH BULK</v>
          </cell>
          <cell r="I396">
            <v>4.42</v>
          </cell>
        </row>
        <row r="397">
          <cell r="A397">
            <v>72579</v>
          </cell>
          <cell r="B397" t="str">
            <v>Whole Grain Galaxy Pepp Pizza 50/50 IW</v>
          </cell>
          <cell r="C397">
            <v>19.940000000000001</v>
          </cell>
          <cell r="D397">
            <v>72</v>
          </cell>
          <cell r="E397">
            <v>4.43</v>
          </cell>
          <cell r="F397" t="str">
            <v>B286</v>
          </cell>
          <cell r="G397">
            <v>100418</v>
          </cell>
          <cell r="H397" t="str">
            <v>FLOUR BAKER 
HARD WHT UNBLCH BULK</v>
          </cell>
          <cell r="I397">
            <v>4.42</v>
          </cell>
        </row>
        <row r="398">
          <cell r="A398">
            <v>73034</v>
          </cell>
          <cell r="B398" t="str">
            <v>SFS TN WG CL Wdg Cheese 50/50 NR</v>
          </cell>
          <cell r="C398">
            <v>27.6</v>
          </cell>
          <cell r="D398">
            <v>96</v>
          </cell>
          <cell r="E398">
            <v>4.5999999999999996</v>
          </cell>
          <cell r="F398" t="str">
            <v>B286</v>
          </cell>
          <cell r="G398">
            <v>100418</v>
          </cell>
          <cell r="H398" t="str">
            <v>FLOUR BAKER 
HARD WHT UNBLCH BULK</v>
          </cell>
          <cell r="I398">
            <v>6.3</v>
          </cell>
        </row>
        <row r="399">
          <cell r="A399">
            <v>73037</v>
          </cell>
          <cell r="B399" t="str">
            <v>Freschetta 16" Sheeted Dough</v>
          </cell>
          <cell r="C399">
            <v>29.25</v>
          </cell>
          <cell r="D399">
            <v>144</v>
          </cell>
          <cell r="E399">
            <v>3.25</v>
          </cell>
          <cell r="F399" t="str">
            <v>B286</v>
          </cell>
          <cell r="G399">
            <v>100418</v>
          </cell>
          <cell r="H399" t="str">
            <v>FLOUR BAKER 
HARD WHT UNBLCH BULK</v>
          </cell>
          <cell r="I399">
            <v>17.45</v>
          </cell>
        </row>
        <row r="400">
          <cell r="A400">
            <v>73039</v>
          </cell>
          <cell r="B400" t="str">
            <v>SFS TN WG CL Wdg Pepp 50/50 NR</v>
          </cell>
          <cell r="C400">
            <v>27.36</v>
          </cell>
          <cell r="D400">
            <v>96</v>
          </cell>
          <cell r="E400">
            <v>4.5599999999999996</v>
          </cell>
          <cell r="F400" t="str">
            <v>B286</v>
          </cell>
          <cell r="G400">
            <v>100418</v>
          </cell>
          <cell r="H400" t="str">
            <v>FLOUR BAKER 
HARD WHT UNBLCH BULK</v>
          </cell>
          <cell r="I400">
            <v>6.3</v>
          </cell>
        </row>
        <row r="401">
          <cell r="A401">
            <v>73087</v>
          </cell>
          <cell r="B401" t="str">
            <v>Freschetta 16" Rolled Edge Sheeted Dough</v>
          </cell>
          <cell r="C401">
            <v>21.75</v>
          </cell>
          <cell r="D401">
            <v>96</v>
          </cell>
          <cell r="E401">
            <v>3.63</v>
          </cell>
          <cell r="F401" t="str">
            <v>B286</v>
          </cell>
          <cell r="G401">
            <v>100418</v>
          </cell>
          <cell r="H401" t="str">
            <v>FLOUR BAKER 
HARD WHT UNBLCH BULK</v>
          </cell>
          <cell r="I401">
            <v>13.6</v>
          </cell>
        </row>
        <row r="402">
          <cell r="A402">
            <v>73142</v>
          </cell>
          <cell r="B402" t="str">
            <v>Big Daddy's Cheese Pizza Revised</v>
          </cell>
          <cell r="C402">
            <v>24.35</v>
          </cell>
          <cell r="D402">
            <v>72</v>
          </cell>
          <cell r="E402">
            <v>5.41</v>
          </cell>
          <cell r="F402" t="str">
            <v>B286</v>
          </cell>
          <cell r="G402">
            <v>100418</v>
          </cell>
          <cell r="H402" t="str">
            <v>FLOUR BAKER 
HARD WHT UNBLCH BULK</v>
          </cell>
          <cell r="I402">
            <v>6.87</v>
          </cell>
        </row>
        <row r="403">
          <cell r="A403">
            <v>73143</v>
          </cell>
          <cell r="B403" t="str">
            <v>Big Daddy's Pepperoni Pizza Revised</v>
          </cell>
          <cell r="C403">
            <v>24.49</v>
          </cell>
          <cell r="D403">
            <v>72</v>
          </cell>
          <cell r="E403">
            <v>5.44</v>
          </cell>
          <cell r="F403" t="str">
            <v>B286</v>
          </cell>
          <cell r="G403">
            <v>100418</v>
          </cell>
          <cell r="H403" t="str">
            <v>FLOUR BAKER 
HARD WHT UNBLCH BULK</v>
          </cell>
          <cell r="I403">
            <v>6.87</v>
          </cell>
        </row>
        <row r="404">
          <cell r="A404">
            <v>73150</v>
          </cell>
          <cell r="B404" t="str">
            <v>Big Daddy's SelfRising Breadstick</v>
          </cell>
          <cell r="C404">
            <v>22.5</v>
          </cell>
          <cell r="D404">
            <v>80</v>
          </cell>
          <cell r="E404">
            <v>4.5</v>
          </cell>
          <cell r="F404" t="str">
            <v>B286</v>
          </cell>
          <cell r="G404">
            <v>100418</v>
          </cell>
          <cell r="H404" t="str">
            <v>FLOUR BAKER 
HARD WHT UNBLCH BULK</v>
          </cell>
          <cell r="I404">
            <v>13.2</v>
          </cell>
        </row>
        <row r="405">
          <cell r="A405">
            <v>73158</v>
          </cell>
          <cell r="B405" t="str">
            <v>Tony's Smart Whole Grain Cheese 50/50-submit to usda with mz changing on approved sepds</v>
          </cell>
          <cell r="C405">
            <v>27.6</v>
          </cell>
          <cell r="D405">
            <v>96</v>
          </cell>
          <cell r="E405">
            <v>4.5999999999999996</v>
          </cell>
          <cell r="F405" t="str">
            <v>B286</v>
          </cell>
          <cell r="G405">
            <v>100418</v>
          </cell>
          <cell r="H405" t="str">
            <v>FLOUR BAKER 
HARD WHT UNBLCH BULK</v>
          </cell>
          <cell r="I405">
            <v>6.3</v>
          </cell>
        </row>
        <row r="406">
          <cell r="A406">
            <v>73159</v>
          </cell>
          <cell r="B406" t="str">
            <v>Tony's Smart Whole Grain Pepp 50/50-set up bom</v>
          </cell>
          <cell r="C406">
            <v>26.88</v>
          </cell>
          <cell r="D406">
            <v>96</v>
          </cell>
          <cell r="E406">
            <v>4.4800000000000004</v>
          </cell>
          <cell r="F406" t="str">
            <v>B286</v>
          </cell>
          <cell r="G406">
            <v>100418</v>
          </cell>
          <cell r="H406" t="str">
            <v>FLOUR BAKER 
HARD WHT UNBLCH BULK</v>
          </cell>
          <cell r="I406">
            <v>6.3</v>
          </cell>
        </row>
        <row r="407">
          <cell r="A407">
            <v>73160</v>
          </cell>
          <cell r="B407" t="str">
            <v>Tony's Classic Wedge WG Sausage 50/50</v>
          </cell>
          <cell r="C407">
            <v>28.14</v>
          </cell>
          <cell r="D407">
            <v>96</v>
          </cell>
          <cell r="E407">
            <v>4.6900000000000004</v>
          </cell>
          <cell r="F407" t="str">
            <v>B286</v>
          </cell>
          <cell r="G407">
            <v>100418</v>
          </cell>
          <cell r="H407" t="str">
            <v>FLOUR BAKER 
HARD WHT UNBLCH BULK</v>
          </cell>
          <cell r="I407">
            <v>6.3</v>
          </cell>
        </row>
        <row r="408">
          <cell r="A408">
            <v>73162</v>
          </cell>
          <cell r="B408" t="str">
            <v>Red Baron Proof Perfect 7" Cheese w/boxes</v>
          </cell>
          <cell r="C408">
            <v>23.74</v>
          </cell>
          <cell r="D408">
            <v>48</v>
          </cell>
          <cell r="E408">
            <v>7.91</v>
          </cell>
          <cell r="F408" t="str">
            <v>B286</v>
          </cell>
          <cell r="G408">
            <v>100418</v>
          </cell>
          <cell r="H408" t="str">
            <v>FLOUR BAKER 
HARD WHT UNBLCH BULK</v>
          </cell>
          <cell r="I408">
            <v>8.31</v>
          </cell>
        </row>
        <row r="409">
          <cell r="A409">
            <v>73163</v>
          </cell>
          <cell r="B409" t="str">
            <v>Red Baron Proof Perfect 7" Pepperoni w/boxes</v>
          </cell>
          <cell r="C409">
            <v>23.74</v>
          </cell>
          <cell r="D409">
            <v>48</v>
          </cell>
          <cell r="E409">
            <v>7.91</v>
          </cell>
          <cell r="F409" t="str">
            <v>B286</v>
          </cell>
          <cell r="G409">
            <v>100418</v>
          </cell>
          <cell r="H409" t="str">
            <v>FLOUR BAKER 
HARD WHT UNBLCH BULK</v>
          </cell>
          <cell r="I409">
            <v>8.31</v>
          </cell>
        </row>
        <row r="410">
          <cell r="A410">
            <v>73218</v>
          </cell>
          <cell r="B410" t="str">
            <v>Tony's Ham &amp; Cheese Stuffed SandIW</v>
          </cell>
          <cell r="C410">
            <v>6.75</v>
          </cell>
          <cell r="D410">
            <v>24</v>
          </cell>
          <cell r="E410">
            <v>4.5</v>
          </cell>
          <cell r="F410" t="str">
            <v>B286</v>
          </cell>
          <cell r="G410">
            <v>100418</v>
          </cell>
          <cell r="H410" t="str">
            <v>FLOUR BAKER 
HARD WHT UNBLCH BULK</v>
          </cell>
          <cell r="I410">
            <v>1.91</v>
          </cell>
        </row>
        <row r="411">
          <cell r="A411">
            <v>73316</v>
          </cell>
          <cell r="B411" t="str">
            <v>Tony's Whole Grain Stuffed Sticks 50/50 revised fl</v>
          </cell>
          <cell r="C411">
            <v>26.25</v>
          </cell>
          <cell r="D411">
            <v>100</v>
          </cell>
          <cell r="E411">
            <v>4.2</v>
          </cell>
          <cell r="F411" t="str">
            <v>B286</v>
          </cell>
          <cell r="G411">
            <v>100418</v>
          </cell>
          <cell r="H411" t="str">
            <v>FLOUR BAKER 
HARD WHT UNBLCH BULK</v>
          </cell>
          <cell r="I411">
            <v>7.11</v>
          </cell>
        </row>
        <row r="412">
          <cell r="A412">
            <v>73318</v>
          </cell>
          <cell r="B412" t="str">
            <v>Tony's 51% Whole Grain 50/50 Cheese Stick</v>
          </cell>
          <cell r="C412">
            <v>26.44</v>
          </cell>
          <cell r="D412">
            <v>100</v>
          </cell>
          <cell r="E412">
            <v>4.2300000000000004</v>
          </cell>
          <cell r="F412" t="str">
            <v>B286</v>
          </cell>
          <cell r="G412">
            <v>100418</v>
          </cell>
          <cell r="H412" t="str">
            <v>FLOUR BAKER 
HARD WHT UNBLCH BULK</v>
          </cell>
          <cell r="I412">
            <v>7.42</v>
          </cell>
        </row>
        <row r="413">
          <cell r="A413">
            <v>73325</v>
          </cell>
          <cell r="B413" t="str">
            <v>Tony's Whole Grain Stuffed Sticks 50/50</v>
          </cell>
          <cell r="C413">
            <v>26.25</v>
          </cell>
          <cell r="D413">
            <v>100</v>
          </cell>
          <cell r="E413">
            <v>4.2</v>
          </cell>
          <cell r="F413" t="str">
            <v>B286</v>
          </cell>
          <cell r="G413">
            <v>100418</v>
          </cell>
          <cell r="H413" t="str">
            <v>FLOUR BAKER 
HARD WHT UNBLCH BULK</v>
          </cell>
          <cell r="I413">
            <v>7.4</v>
          </cell>
        </row>
        <row r="414">
          <cell r="A414">
            <v>73328</v>
          </cell>
          <cell r="B414" t="str">
            <v>Tony's Stuffed Sticks  100%</v>
          </cell>
          <cell r="C414">
            <v>26.25</v>
          </cell>
          <cell r="D414">
            <v>200</v>
          </cell>
          <cell r="E414">
            <v>2.1</v>
          </cell>
          <cell r="F414" t="str">
            <v>B286</v>
          </cell>
          <cell r="G414">
            <v>100418</v>
          </cell>
          <cell r="H414" t="str">
            <v>FLOUR BAKER 
HARD WHT UNBLCH BULK</v>
          </cell>
          <cell r="I414">
            <v>0</v>
          </cell>
        </row>
        <row r="415">
          <cell r="A415">
            <v>73329</v>
          </cell>
          <cell r="B415" t="str">
            <v>Tony's Stuffed Sticks 50/50</v>
          </cell>
          <cell r="C415">
            <v>26.25</v>
          </cell>
          <cell r="D415">
            <v>200</v>
          </cell>
          <cell r="E415">
            <v>2.1</v>
          </cell>
          <cell r="F415" t="str">
            <v>B286</v>
          </cell>
          <cell r="G415">
            <v>100418</v>
          </cell>
          <cell r="H415" t="str">
            <v>FLOUR BAKER 
HARD WHT UNBLCH BULK</v>
          </cell>
          <cell r="I415">
            <v>0</v>
          </cell>
        </row>
        <row r="416">
          <cell r="A416">
            <v>73336</v>
          </cell>
          <cell r="B416" t="str">
            <v>Tony's Cheese Filled Breadstick</v>
          </cell>
          <cell r="C416">
            <v>18</v>
          </cell>
          <cell r="D416">
            <v>96</v>
          </cell>
          <cell r="E416">
            <v>3</v>
          </cell>
          <cell r="F416" t="str">
            <v>B286</v>
          </cell>
          <cell r="G416">
            <v>100418</v>
          </cell>
          <cell r="H416" t="str">
            <v>FLOUR BAKER 
HARD WHT UNBLCH BULK</v>
          </cell>
          <cell r="I416">
            <v>7.38</v>
          </cell>
        </row>
        <row r="417">
          <cell r="A417">
            <v>73338</v>
          </cell>
          <cell r="B417" t="str">
            <v>Tony's Whole Grain Stuffed Sticks 100%</v>
          </cell>
          <cell r="C417">
            <v>26.25</v>
          </cell>
          <cell r="D417">
            <v>100</v>
          </cell>
          <cell r="E417">
            <v>4.2</v>
          </cell>
          <cell r="F417" t="str">
            <v>B286</v>
          </cell>
          <cell r="G417">
            <v>100418</v>
          </cell>
          <cell r="H417" t="str">
            <v>FLOUR BAKER 
HARD WHT UNBLCH BULK</v>
          </cell>
          <cell r="I417">
            <v>7.11</v>
          </cell>
        </row>
        <row r="418">
          <cell r="A418">
            <v>73339</v>
          </cell>
          <cell r="B418" t="str">
            <v>Tony's Whole Grain Stuffed Sticks 100%</v>
          </cell>
          <cell r="C418">
            <v>26.25</v>
          </cell>
          <cell r="D418">
            <v>100</v>
          </cell>
          <cell r="E418">
            <v>4.2</v>
          </cell>
          <cell r="F418" t="str">
            <v>B286</v>
          </cell>
          <cell r="G418">
            <v>100418</v>
          </cell>
          <cell r="H418" t="str">
            <v>FLOUR BAKER 
HARD WHT UNBLCH BULK</v>
          </cell>
          <cell r="I418">
            <v>7.4</v>
          </cell>
        </row>
        <row r="419">
          <cell r="A419">
            <v>73341</v>
          </cell>
          <cell r="B419" t="str">
            <v>Tony's 3x8 Garlic Cheese Bread Pizza</v>
          </cell>
          <cell r="C419">
            <v>27.12</v>
          </cell>
          <cell r="D419">
            <v>96</v>
          </cell>
          <cell r="E419">
            <v>4.5199999999999996</v>
          </cell>
          <cell r="F419" t="str">
            <v>B286</v>
          </cell>
          <cell r="G419">
            <v>100418</v>
          </cell>
          <cell r="H419" t="str">
            <v>FLOUR BAKER 
HARD WHT UNBLCH BULK</v>
          </cell>
          <cell r="I419">
            <v>7.92</v>
          </cell>
        </row>
        <row r="420">
          <cell r="A420">
            <v>74709</v>
          </cell>
          <cell r="B420" t="str">
            <v>Tony's Smart Classic Wedge 4 Block Cheese</v>
          </cell>
          <cell r="C420">
            <v>23.05</v>
          </cell>
          <cell r="D420">
            <v>80</v>
          </cell>
          <cell r="E420">
            <v>4.6100000000000003</v>
          </cell>
          <cell r="F420" t="str">
            <v>B286</v>
          </cell>
          <cell r="G420">
            <v>100418</v>
          </cell>
          <cell r="H420" t="str">
            <v>FLOUR BAKER 
HARD WHT UNBLCH BULK</v>
          </cell>
          <cell r="I420">
            <v>5.59</v>
          </cell>
        </row>
        <row r="421">
          <cell r="A421">
            <v>74710</v>
          </cell>
          <cell r="B421" t="str">
            <v>Tony's Smart Classic Wedge 4 Block Pepp</v>
          </cell>
          <cell r="C421">
            <v>23.5</v>
          </cell>
          <cell r="D421">
            <v>80</v>
          </cell>
          <cell r="E421">
            <v>4.7</v>
          </cell>
          <cell r="F421" t="str">
            <v>B286</v>
          </cell>
          <cell r="G421">
            <v>100418</v>
          </cell>
          <cell r="H421" t="str">
            <v>FLOUR BAKER 
HARD WHT UNBLCH BULK</v>
          </cell>
          <cell r="I421">
            <v>5.59</v>
          </cell>
        </row>
        <row r="422">
          <cell r="A422">
            <v>74711</v>
          </cell>
          <cell r="B422" t="str">
            <v>Tony's Smart Right Angle Wedge Cheese/Sub</v>
          </cell>
          <cell r="C422">
            <v>28.2</v>
          </cell>
          <cell r="D422">
            <v>96</v>
          </cell>
          <cell r="E422">
            <v>4.7</v>
          </cell>
          <cell r="F422" t="str">
            <v>B286</v>
          </cell>
          <cell r="G422">
            <v>100418</v>
          </cell>
          <cell r="H422" t="str">
            <v>FLOUR BAKER 
HARD WHT UNBLCH BULK</v>
          </cell>
          <cell r="I422">
            <v>6.99</v>
          </cell>
        </row>
        <row r="423">
          <cell r="A423">
            <v>74712</v>
          </cell>
          <cell r="B423" t="str">
            <v>Tony's Smart Right Angle Wedge Pepp</v>
          </cell>
          <cell r="C423">
            <v>28.74</v>
          </cell>
          <cell r="D423">
            <v>96</v>
          </cell>
          <cell r="E423">
            <v>4.79</v>
          </cell>
          <cell r="F423" t="str">
            <v>B286</v>
          </cell>
          <cell r="G423">
            <v>100418</v>
          </cell>
          <cell r="H423" t="str">
            <v>FLOUR BAKER 
HARD WHT UNBLCH BULK</v>
          </cell>
          <cell r="I423">
            <v>6.99</v>
          </cell>
        </row>
        <row r="424">
          <cell r="A424">
            <v>74716</v>
          </cell>
          <cell r="B424" t="str">
            <v>Tony's SEW Sausage 100% Mozz</v>
          </cell>
          <cell r="C424">
            <v>23.5</v>
          </cell>
          <cell r="D424">
            <v>80</v>
          </cell>
          <cell r="E424">
            <v>4.7</v>
          </cell>
          <cell r="F424" t="str">
            <v>B286</v>
          </cell>
          <cell r="G424">
            <v>100418</v>
          </cell>
          <cell r="H424" t="str">
            <v>FLOUR BAKER 
HARD WHT UNBLCH BULK</v>
          </cell>
          <cell r="I424">
            <v>5.37</v>
          </cell>
        </row>
        <row r="425">
          <cell r="A425">
            <v>74793</v>
          </cell>
          <cell r="B425" t="str">
            <v>4x6 Cheese IW</v>
          </cell>
          <cell r="C425">
            <v>27</v>
          </cell>
          <cell r="D425">
            <v>96</v>
          </cell>
          <cell r="E425">
            <v>4.5</v>
          </cell>
          <cell r="F425" t="str">
            <v>B286</v>
          </cell>
          <cell r="G425">
            <v>100418</v>
          </cell>
          <cell r="H425" t="str">
            <v>FLOUR BAKER 
HARD WHT UNBLCH BULK</v>
          </cell>
          <cell r="I425">
            <v>0</v>
          </cell>
        </row>
        <row r="426">
          <cell r="A426">
            <v>74794</v>
          </cell>
          <cell r="B426" t="str">
            <v>4x6 Cheese Bulk</v>
          </cell>
          <cell r="C426">
            <v>27</v>
          </cell>
          <cell r="D426">
            <v>96</v>
          </cell>
          <cell r="E426">
            <v>4.5</v>
          </cell>
          <cell r="F426" t="str">
            <v>B286</v>
          </cell>
          <cell r="G426">
            <v>100418</v>
          </cell>
          <cell r="H426" t="str">
            <v>FLOUR BAKER 
HARD WHT UNBLCH BULK</v>
          </cell>
          <cell r="I426">
            <v>0</v>
          </cell>
        </row>
        <row r="427">
          <cell r="A427">
            <v>74801</v>
          </cell>
          <cell r="B427" t="str">
            <v>Whole Grain Deep Dish Pepp Pizza (TR)</v>
          </cell>
          <cell r="C427">
            <v>22.5</v>
          </cell>
          <cell r="D427">
            <v>60</v>
          </cell>
          <cell r="E427">
            <v>6</v>
          </cell>
          <cell r="F427" t="str">
            <v>B286</v>
          </cell>
          <cell r="G427">
            <v>100418</v>
          </cell>
          <cell r="H427" t="str">
            <v>FLOUR BAKER 
HARD WHT UNBLCH BULK</v>
          </cell>
          <cell r="I427">
            <v>0</v>
          </cell>
        </row>
        <row r="428">
          <cell r="A428">
            <v>74802</v>
          </cell>
          <cell r="B428" t="str">
            <v>Whole Grain Deep Dish Pepp Pizza Wraped (TR)</v>
          </cell>
          <cell r="C428">
            <v>22.5</v>
          </cell>
          <cell r="D428">
            <v>60</v>
          </cell>
          <cell r="E428">
            <v>6</v>
          </cell>
          <cell r="F428" t="str">
            <v>B286</v>
          </cell>
          <cell r="G428">
            <v>100418</v>
          </cell>
          <cell r="H428" t="str">
            <v>FLOUR BAKER 
HARD WHT UNBLCH BULK</v>
          </cell>
          <cell r="I428">
            <v>0</v>
          </cell>
        </row>
        <row r="429">
          <cell r="A429">
            <v>74803</v>
          </cell>
          <cell r="B429" t="str">
            <v>Whole Grain Deep Dish Chs Pizza  (TR)</v>
          </cell>
          <cell r="C429">
            <v>22.5</v>
          </cell>
          <cell r="D429">
            <v>60</v>
          </cell>
          <cell r="E429">
            <v>6</v>
          </cell>
          <cell r="F429" t="str">
            <v>B286</v>
          </cell>
          <cell r="G429">
            <v>100418</v>
          </cell>
          <cell r="H429" t="str">
            <v>FLOUR BAKER 
HARD WHT UNBLCH BULK</v>
          </cell>
          <cell r="I429">
            <v>0</v>
          </cell>
        </row>
        <row r="430">
          <cell r="A430">
            <v>74804</v>
          </cell>
          <cell r="B430" t="str">
            <v>Whole Grain Deep Dish Chs Pizza Wrapd (TR)</v>
          </cell>
          <cell r="C430">
            <v>22.5</v>
          </cell>
          <cell r="D430">
            <v>60</v>
          </cell>
          <cell r="E430">
            <v>6</v>
          </cell>
          <cell r="F430" t="str">
            <v>B286</v>
          </cell>
          <cell r="G430">
            <v>100418</v>
          </cell>
          <cell r="H430" t="str">
            <v>FLOUR BAKER 
HARD WHT UNBLCH BULK</v>
          </cell>
          <cell r="I430">
            <v>0</v>
          </cell>
        </row>
        <row r="431">
          <cell r="A431">
            <v>74805</v>
          </cell>
          <cell r="B431" t="str">
            <v>Rounded Edge Cheese Pizza (TR)</v>
          </cell>
          <cell r="C431">
            <v>26.25</v>
          </cell>
          <cell r="D431">
            <v>84</v>
          </cell>
          <cell r="E431">
            <v>5</v>
          </cell>
          <cell r="F431" t="str">
            <v>B286</v>
          </cell>
          <cell r="G431">
            <v>100418</v>
          </cell>
          <cell r="H431" t="str">
            <v>FLOUR BAKER 
HARD WHT UNBLCH BULK</v>
          </cell>
          <cell r="I431">
            <v>0</v>
          </cell>
        </row>
        <row r="432">
          <cell r="A432">
            <v>74806</v>
          </cell>
          <cell r="B432" t="str">
            <v>Rounded Edge Wedge Chs Pizza Wrapped (TR)</v>
          </cell>
          <cell r="C432">
            <v>26.25</v>
          </cell>
          <cell r="D432">
            <v>84</v>
          </cell>
          <cell r="E432">
            <v>5</v>
          </cell>
          <cell r="F432" t="str">
            <v>B286</v>
          </cell>
          <cell r="G432">
            <v>100418</v>
          </cell>
          <cell r="H432" t="str">
            <v>FLOUR BAKER 
HARD WHT UNBLCH BULK</v>
          </cell>
          <cell r="I432">
            <v>0</v>
          </cell>
        </row>
        <row r="433">
          <cell r="A433">
            <v>74807</v>
          </cell>
          <cell r="B433" t="str">
            <v>Rounded Edge Wedge Pepp Pizza (TR)</v>
          </cell>
          <cell r="C433">
            <v>26.25</v>
          </cell>
          <cell r="D433">
            <v>84</v>
          </cell>
          <cell r="E433">
            <v>5</v>
          </cell>
          <cell r="F433" t="str">
            <v>B286</v>
          </cell>
          <cell r="G433">
            <v>100418</v>
          </cell>
          <cell r="H433" t="str">
            <v>FLOUR BAKER 
HARD WHT UNBLCH BULK</v>
          </cell>
          <cell r="I433">
            <v>0</v>
          </cell>
        </row>
        <row r="434">
          <cell r="A434">
            <v>74808</v>
          </cell>
          <cell r="B434" t="str">
            <v>Rounded Edge Wedge Pepp Pizza Wrapd (TR)</v>
          </cell>
          <cell r="C434">
            <v>26.25</v>
          </cell>
          <cell r="D434">
            <v>84</v>
          </cell>
          <cell r="E434">
            <v>5</v>
          </cell>
          <cell r="F434" t="str">
            <v>B286</v>
          </cell>
          <cell r="G434">
            <v>100418</v>
          </cell>
          <cell r="H434" t="str">
            <v>FLOUR BAKER 
HARD WHT UNBLCH BULK</v>
          </cell>
          <cell r="I434">
            <v>0</v>
          </cell>
        </row>
        <row r="435">
          <cell r="A435">
            <v>74809</v>
          </cell>
          <cell r="B435" t="str">
            <v>Turkey Sausage Pizza (TR)</v>
          </cell>
          <cell r="C435">
            <v>19.75</v>
          </cell>
          <cell r="D435">
            <v>100</v>
          </cell>
          <cell r="E435">
            <v>3.16</v>
          </cell>
          <cell r="F435" t="str">
            <v>B286</v>
          </cell>
          <cell r="G435">
            <v>100418</v>
          </cell>
          <cell r="H435" t="str">
            <v>FLOUR BAKER 
HARD WHT UNBLCH BULK</v>
          </cell>
          <cell r="I435">
            <v>0</v>
          </cell>
        </row>
        <row r="436">
          <cell r="A436">
            <v>74810</v>
          </cell>
          <cell r="B436" t="str">
            <v>Turkey Sausage Pizza Wrapd (TR)</v>
          </cell>
          <cell r="C436">
            <v>19.75</v>
          </cell>
          <cell r="D436">
            <v>100</v>
          </cell>
          <cell r="E436">
            <v>3.16</v>
          </cell>
          <cell r="F436" t="str">
            <v>B286</v>
          </cell>
          <cell r="G436">
            <v>100418</v>
          </cell>
          <cell r="H436" t="str">
            <v>FLOUR BAKER 
HARD WHT UNBLCH BULK</v>
          </cell>
          <cell r="I436">
            <v>0</v>
          </cell>
        </row>
        <row r="437">
          <cell r="A437">
            <v>74811</v>
          </cell>
          <cell r="B437" t="str">
            <v>3x8 Garlic Cheese Toast (TR)</v>
          </cell>
          <cell r="C437">
            <v>16.05</v>
          </cell>
          <cell r="D437">
            <v>48</v>
          </cell>
          <cell r="E437">
            <v>5.35</v>
          </cell>
          <cell r="F437" t="str">
            <v>B286</v>
          </cell>
          <cell r="G437">
            <v>100418</v>
          </cell>
          <cell r="H437" t="str">
            <v>FLOUR BAKER 
HARD WHT UNBLCH BULK</v>
          </cell>
          <cell r="I437">
            <v>0</v>
          </cell>
        </row>
        <row r="438">
          <cell r="A438">
            <v>74812</v>
          </cell>
          <cell r="B438" t="str">
            <v>3x8 Garlic Cheese Toast Wrapped (TR)</v>
          </cell>
          <cell r="C438">
            <v>16.05</v>
          </cell>
          <cell r="D438">
            <v>48</v>
          </cell>
          <cell r="E438">
            <v>5.35</v>
          </cell>
          <cell r="F438" t="str">
            <v>B286</v>
          </cell>
          <cell r="G438">
            <v>100418</v>
          </cell>
          <cell r="H438" t="str">
            <v>FLOUR BAKER 
HARD WHT UNBLCH BULK</v>
          </cell>
          <cell r="I438">
            <v>0</v>
          </cell>
        </row>
        <row r="439">
          <cell r="A439">
            <v>74813</v>
          </cell>
          <cell r="B439" t="str">
            <v>3x5 Garlic Cheese Toast (TR)</v>
          </cell>
          <cell r="C439">
            <v>15.19</v>
          </cell>
          <cell r="D439">
            <v>90</v>
          </cell>
          <cell r="E439">
            <v>2.7</v>
          </cell>
          <cell r="F439" t="str">
            <v>B286</v>
          </cell>
          <cell r="G439">
            <v>100418</v>
          </cell>
          <cell r="H439" t="str">
            <v>FLOUR BAKER 
HARD WHT UNBLCH BULK</v>
          </cell>
          <cell r="I439">
            <v>0</v>
          </cell>
        </row>
        <row r="440">
          <cell r="A440">
            <v>74814</v>
          </cell>
          <cell r="B440" t="str">
            <v>3x5 Garlic Cheese Toast Wrapped (TR)</v>
          </cell>
          <cell r="C440">
            <v>15.19</v>
          </cell>
          <cell r="D440">
            <v>90</v>
          </cell>
          <cell r="E440">
            <v>2.7</v>
          </cell>
          <cell r="F440" t="str">
            <v>B286</v>
          </cell>
          <cell r="G440">
            <v>100418</v>
          </cell>
          <cell r="H440" t="str">
            <v>FLOUR BAKER 
HARD WHT UNBLCH BULK</v>
          </cell>
          <cell r="I440">
            <v>0</v>
          </cell>
        </row>
        <row r="441">
          <cell r="A441">
            <v>74815</v>
          </cell>
          <cell r="B441" t="str">
            <v>French Bread Pepp Pizza Wrapped (TR)</v>
          </cell>
          <cell r="C441">
            <v>18.75</v>
          </cell>
          <cell r="D441">
            <v>60</v>
          </cell>
          <cell r="E441">
            <v>5</v>
          </cell>
          <cell r="F441" t="str">
            <v>B286</v>
          </cell>
          <cell r="G441">
            <v>100418</v>
          </cell>
          <cell r="H441" t="str">
            <v>FLOUR BAKER 
HARD WHT UNBLCH BULK</v>
          </cell>
          <cell r="I441">
            <v>0</v>
          </cell>
        </row>
        <row r="442">
          <cell r="A442">
            <v>74816</v>
          </cell>
          <cell r="B442" t="str">
            <v>4x6 Cheese Pizza Wrapped (TR)</v>
          </cell>
          <cell r="C442">
            <v>30</v>
          </cell>
          <cell r="D442">
            <v>96</v>
          </cell>
          <cell r="E442">
            <v>5</v>
          </cell>
          <cell r="F442" t="str">
            <v>B286</v>
          </cell>
          <cell r="G442">
            <v>100418</v>
          </cell>
          <cell r="H442" t="str">
            <v>FLOUR BAKER 
HARD WHT UNBLCH BULK</v>
          </cell>
          <cell r="I442">
            <v>0</v>
          </cell>
        </row>
        <row r="443">
          <cell r="A443">
            <v>74817</v>
          </cell>
          <cell r="B443" t="str">
            <v>Pepperoni Pizza Bagel</v>
          </cell>
          <cell r="C443">
            <v>28.61</v>
          </cell>
          <cell r="D443">
            <v>84</v>
          </cell>
          <cell r="E443">
            <v>5.45</v>
          </cell>
          <cell r="F443" t="str">
            <v>B286</v>
          </cell>
          <cell r="G443">
            <v>100418</v>
          </cell>
          <cell r="H443" t="str">
            <v>FLOUR BAKER 
HARD WHT UNBLCH BULK</v>
          </cell>
          <cell r="I443">
            <v>0</v>
          </cell>
        </row>
        <row r="444">
          <cell r="A444">
            <v>74833</v>
          </cell>
          <cell r="B444" t="str">
            <v>4x6 Cheese Pizza Wrapped (TR)</v>
          </cell>
          <cell r="C444">
            <v>30</v>
          </cell>
          <cell r="D444">
            <v>96</v>
          </cell>
          <cell r="E444">
            <v>5</v>
          </cell>
          <cell r="F444" t="str">
            <v>B286</v>
          </cell>
          <cell r="G444">
            <v>100418</v>
          </cell>
          <cell r="H444" t="str">
            <v>FLOUR BAKER 
HARD WHT UNBLCH BULK</v>
          </cell>
          <cell r="I444">
            <v>0</v>
          </cell>
        </row>
        <row r="445">
          <cell r="A445">
            <v>74834</v>
          </cell>
          <cell r="B445" t="str">
            <v>Cheese Wedge Pizza (TR)</v>
          </cell>
          <cell r="C445">
            <v>27</v>
          </cell>
          <cell r="D445">
            <v>96</v>
          </cell>
          <cell r="E445">
            <v>4.5</v>
          </cell>
          <cell r="F445" t="str">
            <v>B286</v>
          </cell>
          <cell r="G445">
            <v>100418</v>
          </cell>
          <cell r="H445" t="str">
            <v>FLOUR BAKER 
HARD WHT UNBLCH BULK</v>
          </cell>
          <cell r="I445">
            <v>0</v>
          </cell>
        </row>
        <row r="446">
          <cell r="A446">
            <v>74835</v>
          </cell>
          <cell r="B446" t="str">
            <v>Tony's Pizza Strip 3.1 oz Pepp Bulk</v>
          </cell>
          <cell r="C446">
            <v>9.3000000000000007</v>
          </cell>
          <cell r="D446">
            <v>48</v>
          </cell>
          <cell r="E446">
            <v>3.1</v>
          </cell>
          <cell r="F446" t="str">
            <v>B286</v>
          </cell>
          <cell r="G446">
            <v>100418</v>
          </cell>
          <cell r="H446" t="str">
            <v>FLOUR BAKER 
HARD WHT UNBLCH BULK</v>
          </cell>
          <cell r="I446">
            <v>3.28</v>
          </cell>
        </row>
        <row r="447">
          <cell r="A447">
            <v>74836</v>
          </cell>
          <cell r="B447" t="str">
            <v>Tony's Pizza Strip 3.1 oz Pepp IW</v>
          </cell>
          <cell r="C447">
            <v>9.3000000000000007</v>
          </cell>
          <cell r="D447">
            <v>48</v>
          </cell>
          <cell r="E447">
            <v>3.1</v>
          </cell>
          <cell r="F447" t="str">
            <v>B286</v>
          </cell>
          <cell r="G447">
            <v>100418</v>
          </cell>
          <cell r="H447" t="str">
            <v>FLOUR BAKER 
HARD WHT UNBLCH BULK</v>
          </cell>
          <cell r="I447">
            <v>3.28</v>
          </cell>
        </row>
        <row r="448">
          <cell r="A448">
            <v>74837</v>
          </cell>
          <cell r="B448" t="str">
            <v>Tony's Stuffed Sandwich turkey Pepp Bulk-revised</v>
          </cell>
          <cell r="C448">
            <v>13.38</v>
          </cell>
          <cell r="D448">
            <v>48</v>
          </cell>
          <cell r="E448">
            <v>4.46</v>
          </cell>
          <cell r="F448" t="str">
            <v>B286</v>
          </cell>
          <cell r="G448">
            <v>100418</v>
          </cell>
          <cell r="H448" t="str">
            <v>FLOUR BAKER 
HARD WHT UNBLCH BULK</v>
          </cell>
          <cell r="I448">
            <v>3.71</v>
          </cell>
        </row>
        <row r="449">
          <cell r="A449">
            <v>74838</v>
          </cell>
          <cell r="B449" t="str">
            <v>Tony's Stuff Sandwich Turkey Pepp IW-revised</v>
          </cell>
          <cell r="C449">
            <v>6.69</v>
          </cell>
          <cell r="D449">
            <v>24</v>
          </cell>
          <cell r="E449">
            <v>4.46</v>
          </cell>
          <cell r="F449" t="str">
            <v>B286</v>
          </cell>
          <cell r="G449">
            <v>100418</v>
          </cell>
          <cell r="H449" t="str">
            <v>FLOUR BAKER 
HARD WHT UNBLCH BULK</v>
          </cell>
          <cell r="I449">
            <v>1.86</v>
          </cell>
        </row>
        <row r="450">
          <cell r="A450">
            <v>78329</v>
          </cell>
          <cell r="B450" t="str">
            <v>Tony's WG 4x6 Thin Crust 4x6 Pepp IW</v>
          </cell>
          <cell r="C450">
            <v>30</v>
          </cell>
          <cell r="D450">
            <v>96</v>
          </cell>
          <cell r="E450">
            <v>5</v>
          </cell>
          <cell r="F450" t="str">
            <v>B286</v>
          </cell>
          <cell r="G450">
            <v>100418</v>
          </cell>
          <cell r="H450" t="str">
            <v>FLOUR BAKER 
HARD WHT UNBLCH BULK</v>
          </cell>
          <cell r="I450">
            <v>0</v>
          </cell>
        </row>
        <row r="451">
          <cell r="A451">
            <v>78330</v>
          </cell>
          <cell r="B451" t="str">
            <v>Tony's WG Classic Wedge WG Pepp IW</v>
          </cell>
          <cell r="C451">
            <v>30.06</v>
          </cell>
          <cell r="D451">
            <v>96</v>
          </cell>
          <cell r="E451">
            <v>5.01</v>
          </cell>
          <cell r="F451" t="str">
            <v>B286</v>
          </cell>
          <cell r="G451">
            <v>100418</v>
          </cell>
          <cell r="H451" t="str">
            <v>FLOUR BAKER 
HARD WHT UNBLCH BULK</v>
          </cell>
          <cell r="I451">
            <v>0</v>
          </cell>
        </row>
        <row r="452">
          <cell r="A452">
            <v>78331</v>
          </cell>
          <cell r="B452" t="str">
            <v>Tony's WG 6" French Bread Cheese</v>
          </cell>
          <cell r="C452">
            <v>18.75</v>
          </cell>
          <cell r="D452">
            <v>60</v>
          </cell>
          <cell r="E452">
            <v>5</v>
          </cell>
          <cell r="F452" t="str">
            <v>B286</v>
          </cell>
          <cell r="G452">
            <v>100418</v>
          </cell>
          <cell r="H452" t="str">
            <v>FLOUR BAKER 
HARD WHT UNBLCH BULK</v>
          </cell>
          <cell r="I452">
            <v>0</v>
          </cell>
        </row>
        <row r="453">
          <cell r="A453">
            <v>78352</v>
          </cell>
          <cell r="B453" t="str">
            <v>3x4 Turkey Sausage Breakfast Squares</v>
          </cell>
          <cell r="C453">
            <v>24.05</v>
          </cell>
          <cell r="D453">
            <v>128</v>
          </cell>
          <cell r="E453">
            <v>3.01</v>
          </cell>
          <cell r="F453" t="str">
            <v>B286</v>
          </cell>
          <cell r="G453">
            <v>100418</v>
          </cell>
          <cell r="H453" t="str">
            <v>FLOUR BAKER 
HARD WHT UNBLCH BULK</v>
          </cell>
          <cell r="I453">
            <v>6.71</v>
          </cell>
        </row>
        <row r="454">
          <cell r="A454">
            <v>78353</v>
          </cell>
          <cell r="B454" t="str">
            <v>3x4 LS Bacon Scramble Squares</v>
          </cell>
          <cell r="C454">
            <v>23.6</v>
          </cell>
          <cell r="D454">
            <v>128</v>
          </cell>
          <cell r="E454">
            <v>2.95</v>
          </cell>
          <cell r="F454" t="str">
            <v>B286</v>
          </cell>
          <cell r="G454">
            <v>100418</v>
          </cell>
          <cell r="H454" t="str">
            <v>FLOUR BAKER 
HARD WHT UNBLCH BULK</v>
          </cell>
          <cell r="I454">
            <v>6.71</v>
          </cell>
        </row>
        <row r="455">
          <cell r="A455">
            <v>78354</v>
          </cell>
          <cell r="B455" t="str">
            <v>7" 51% WG Rising Crust Cheese- update bom</v>
          </cell>
          <cell r="C455">
            <v>21.81</v>
          </cell>
          <cell r="D455">
            <v>48</v>
          </cell>
          <cell r="E455">
            <v>7.27</v>
          </cell>
          <cell r="F455" t="str">
            <v>B286</v>
          </cell>
          <cell r="G455">
            <v>100418</v>
          </cell>
          <cell r="H455" t="str">
            <v>FLOUR BAKER 
HARD WHT UNBLCH BULK</v>
          </cell>
          <cell r="I455">
            <v>7.26</v>
          </cell>
        </row>
        <row r="456">
          <cell r="A456">
            <v>78355</v>
          </cell>
          <cell r="B456" t="str">
            <v>7" 51% WG Rising Crust Pepp-update bom</v>
          </cell>
          <cell r="C456">
            <v>21.9</v>
          </cell>
          <cell r="D456">
            <v>48</v>
          </cell>
          <cell r="E456">
            <v>7.3</v>
          </cell>
          <cell r="F456" t="str">
            <v>B286</v>
          </cell>
          <cell r="G456">
            <v>100418</v>
          </cell>
          <cell r="H456" t="str">
            <v>FLOUR BAKER 
HARD WHT UNBLCH BULK</v>
          </cell>
          <cell r="I456">
            <v>7.26</v>
          </cell>
        </row>
        <row r="457">
          <cell r="A457">
            <v>78356</v>
          </cell>
          <cell r="B457" t="str">
            <v>6" Cheese 51% Whole Grain</v>
          </cell>
          <cell r="C457">
            <v>18.41</v>
          </cell>
          <cell r="D457">
            <v>60</v>
          </cell>
          <cell r="E457">
            <v>4.91</v>
          </cell>
          <cell r="F457" t="str">
            <v>B286</v>
          </cell>
          <cell r="G457">
            <v>100418</v>
          </cell>
          <cell r="H457" t="str">
            <v>FLOUR BAKER 
HARD WHT UNBLCH BULK</v>
          </cell>
          <cell r="I457">
            <v>1.9</v>
          </cell>
        </row>
        <row r="458">
          <cell r="A458">
            <v>78357</v>
          </cell>
          <cell r="B458" t="str">
            <v>6" Pepperoni 51% Whole Grain</v>
          </cell>
          <cell r="C458">
            <v>18.38</v>
          </cell>
          <cell r="D458">
            <v>60</v>
          </cell>
          <cell r="E458">
            <v>4.9000000000000004</v>
          </cell>
          <cell r="F458" t="str">
            <v>B286</v>
          </cell>
          <cell r="G458">
            <v>100418</v>
          </cell>
          <cell r="H458" t="str">
            <v>FLOUR BAKER 
HARD WHT UNBLCH BULK</v>
          </cell>
          <cell r="I458">
            <v>1.9</v>
          </cell>
        </row>
        <row r="459">
          <cell r="A459">
            <v>78358</v>
          </cell>
          <cell r="B459" t="str">
            <v>6" Sausage 51% Whole Grain</v>
          </cell>
          <cell r="C459">
            <v>18.75</v>
          </cell>
          <cell r="D459">
            <v>60</v>
          </cell>
          <cell r="E459">
            <v>5</v>
          </cell>
          <cell r="F459" t="str">
            <v>B286</v>
          </cell>
          <cell r="G459">
            <v>100418</v>
          </cell>
          <cell r="H459" t="str">
            <v>FLOUR BAKER 
HARD WHT UNBLCH BULK</v>
          </cell>
          <cell r="I459">
            <v>1.9</v>
          </cell>
        </row>
        <row r="460">
          <cell r="A460">
            <v>78359</v>
          </cell>
          <cell r="B460" t="str">
            <v>6" MultiCheese 51% Whole Grain</v>
          </cell>
          <cell r="C460">
            <v>15.98</v>
          </cell>
          <cell r="D460">
            <v>60</v>
          </cell>
          <cell r="E460">
            <v>4.26</v>
          </cell>
          <cell r="F460" t="str">
            <v>B286</v>
          </cell>
          <cell r="G460">
            <v>100418</v>
          </cell>
          <cell r="H460" t="str">
            <v>FLOUR BAKER 
HARD WHT UNBLCH BULK</v>
          </cell>
          <cell r="I460">
            <v>1.9</v>
          </cell>
        </row>
        <row r="461">
          <cell r="A461">
            <v>78360</v>
          </cell>
          <cell r="B461" t="str">
            <v>6" Pepp 51% Whole Grain IW</v>
          </cell>
          <cell r="C461">
            <v>18.38</v>
          </cell>
          <cell r="D461">
            <v>60</v>
          </cell>
          <cell r="E461">
            <v>4.9000000000000004</v>
          </cell>
          <cell r="F461" t="str">
            <v>B286</v>
          </cell>
          <cell r="G461">
            <v>100418</v>
          </cell>
          <cell r="H461" t="str">
            <v>FLOUR BAKER 
HARD WHT UNBLCH BULK</v>
          </cell>
          <cell r="I461">
            <v>1.9</v>
          </cell>
        </row>
        <row r="462">
          <cell r="A462">
            <v>78361</v>
          </cell>
          <cell r="B462" t="str">
            <v>6" MultiCheese 51% Whole Grain IW</v>
          </cell>
          <cell r="C462">
            <v>15.98</v>
          </cell>
          <cell r="D462">
            <v>60</v>
          </cell>
          <cell r="E462">
            <v>4.26</v>
          </cell>
          <cell r="F462" t="str">
            <v>B286</v>
          </cell>
          <cell r="G462">
            <v>100418</v>
          </cell>
          <cell r="H462" t="str">
            <v>FLOUR BAKER 
HARD WHT UNBLCH BULK</v>
          </cell>
          <cell r="I462">
            <v>1.9</v>
          </cell>
        </row>
        <row r="463">
          <cell r="A463">
            <v>78362</v>
          </cell>
          <cell r="B463" t="str">
            <v>Turkey Sausage Bagel (Red Sauce)</v>
          </cell>
          <cell r="C463">
            <v>15.9</v>
          </cell>
          <cell r="D463">
            <v>96</v>
          </cell>
          <cell r="E463">
            <v>2.65</v>
          </cell>
          <cell r="F463" t="str">
            <v>B286</v>
          </cell>
          <cell r="G463">
            <v>100418</v>
          </cell>
          <cell r="H463" t="str">
            <v>FLOUR BAKER 
HARD WHT UNBLCH BULK</v>
          </cell>
          <cell r="I463">
            <v>3</v>
          </cell>
        </row>
        <row r="464">
          <cell r="A464">
            <v>78363</v>
          </cell>
          <cell r="B464" t="str">
            <v>Turkey Sausage Bagel (White Sauce)</v>
          </cell>
          <cell r="C464">
            <v>15.72</v>
          </cell>
          <cell r="D464">
            <v>96</v>
          </cell>
          <cell r="E464">
            <v>2.62</v>
          </cell>
          <cell r="F464" t="str">
            <v>B286</v>
          </cell>
          <cell r="G464">
            <v>100418</v>
          </cell>
          <cell r="H464" t="str">
            <v>FLOUR BAKER 
HARD WHT UNBLCH BULK</v>
          </cell>
          <cell r="I464">
            <v>3</v>
          </cell>
        </row>
        <row r="465">
          <cell r="A465">
            <v>78364</v>
          </cell>
          <cell r="B465" t="str">
            <v>4" Galaxy Cheese Bulk</v>
          </cell>
          <cell r="C465">
            <v>20.48</v>
          </cell>
          <cell r="D465">
            <v>72</v>
          </cell>
          <cell r="E465">
            <v>4.55</v>
          </cell>
          <cell r="F465" t="str">
            <v>B286</v>
          </cell>
          <cell r="G465">
            <v>100418</v>
          </cell>
          <cell r="H465" t="str">
            <v>FLOUR BAKER 
HARD WHT UNBLCH BULK</v>
          </cell>
          <cell r="I465">
            <v>4.8600000000000003</v>
          </cell>
        </row>
        <row r="466">
          <cell r="A466">
            <v>78365</v>
          </cell>
          <cell r="B466" t="str">
            <v>4" Galaxy Pepperoni Bulk</v>
          </cell>
          <cell r="C466">
            <v>20.48</v>
          </cell>
          <cell r="D466">
            <v>72</v>
          </cell>
          <cell r="E466">
            <v>4.55</v>
          </cell>
          <cell r="F466" t="str">
            <v>B286</v>
          </cell>
          <cell r="G466">
            <v>100418</v>
          </cell>
          <cell r="H466" t="str">
            <v>FLOUR BAKER 
HARD WHT UNBLCH BULK</v>
          </cell>
          <cell r="I466">
            <v>4.8600000000000003</v>
          </cell>
        </row>
        <row r="467">
          <cell r="A467">
            <v>78366</v>
          </cell>
          <cell r="B467" t="str">
            <v>4" Galaxy Cheese IW</v>
          </cell>
          <cell r="C467">
            <v>20.48</v>
          </cell>
          <cell r="D467">
            <v>72</v>
          </cell>
          <cell r="E467">
            <v>4.55</v>
          </cell>
          <cell r="F467" t="str">
            <v>B286</v>
          </cell>
          <cell r="G467">
            <v>100418</v>
          </cell>
          <cell r="H467" t="str">
            <v>FLOUR BAKER 
HARD WHT UNBLCH BULK</v>
          </cell>
          <cell r="I467">
            <v>4.8600000000000003</v>
          </cell>
        </row>
        <row r="468">
          <cell r="A468">
            <v>78367</v>
          </cell>
          <cell r="B468" t="str">
            <v>4" Galaxy Pepperoni IW</v>
          </cell>
          <cell r="C468">
            <v>20.48</v>
          </cell>
          <cell r="D468">
            <v>72</v>
          </cell>
          <cell r="E468">
            <v>4.55</v>
          </cell>
          <cell r="F468" t="str">
            <v>B286</v>
          </cell>
          <cell r="G468">
            <v>100418</v>
          </cell>
          <cell r="H468" t="str">
            <v>FLOUR BAKER 
HARD WHT UNBLCH BULK</v>
          </cell>
          <cell r="I468">
            <v>4.8600000000000003</v>
          </cell>
        </row>
        <row r="469">
          <cell r="A469">
            <v>78368</v>
          </cell>
          <cell r="B469" t="str">
            <v>5" Deep Dish Cheese Bulk</v>
          </cell>
          <cell r="C469">
            <v>21.94</v>
          </cell>
          <cell r="D469">
            <v>60</v>
          </cell>
          <cell r="E469">
            <v>5.85</v>
          </cell>
          <cell r="F469" t="str">
            <v>B286</v>
          </cell>
          <cell r="G469">
            <v>100418</v>
          </cell>
          <cell r="H469" t="str">
            <v>FLOUR BAKER 
HARD WHT UNBLCH BULK</v>
          </cell>
          <cell r="I469">
            <v>6.01</v>
          </cell>
        </row>
        <row r="470">
          <cell r="A470">
            <v>78369</v>
          </cell>
          <cell r="B470" t="str">
            <v>5" Deep Dish Pepp Bulk</v>
          </cell>
          <cell r="C470">
            <v>21.94</v>
          </cell>
          <cell r="D470">
            <v>60</v>
          </cell>
          <cell r="E470">
            <v>5.85</v>
          </cell>
          <cell r="F470" t="str">
            <v>B286</v>
          </cell>
          <cell r="G470">
            <v>100418</v>
          </cell>
          <cell r="H470" t="str">
            <v>FLOUR BAKER 
HARD WHT UNBLCH BULK</v>
          </cell>
          <cell r="I470">
            <v>6.01</v>
          </cell>
        </row>
        <row r="471">
          <cell r="A471">
            <v>78370</v>
          </cell>
          <cell r="B471" t="str">
            <v>5" Deep Dish Cheese IW</v>
          </cell>
          <cell r="C471">
            <v>21.94</v>
          </cell>
          <cell r="D471">
            <v>60</v>
          </cell>
          <cell r="E471">
            <v>5.85</v>
          </cell>
          <cell r="F471" t="str">
            <v>B286</v>
          </cell>
          <cell r="G471">
            <v>100418</v>
          </cell>
          <cell r="H471" t="str">
            <v>FLOUR BAKER 
HARD WHT UNBLCH BULK</v>
          </cell>
          <cell r="I471">
            <v>6.01</v>
          </cell>
        </row>
        <row r="472">
          <cell r="A472">
            <v>78371</v>
          </cell>
          <cell r="B472" t="str">
            <v>5" Deep Dish Pepperoni IW</v>
          </cell>
          <cell r="C472">
            <v>21.94</v>
          </cell>
          <cell r="D472">
            <v>60</v>
          </cell>
          <cell r="E472">
            <v>5.85</v>
          </cell>
          <cell r="F472" t="str">
            <v>B286</v>
          </cell>
          <cell r="G472">
            <v>100418</v>
          </cell>
          <cell r="H472" t="str">
            <v>FLOUR BAKER 
HARD WHT UNBLCH BULK</v>
          </cell>
          <cell r="I472">
            <v>6.01</v>
          </cell>
        </row>
        <row r="473">
          <cell r="A473">
            <v>78372</v>
          </cell>
          <cell r="B473" t="str">
            <v>Cheese Quesadilla</v>
          </cell>
          <cell r="C473">
            <v>26.63</v>
          </cell>
          <cell r="D473">
            <v>96</v>
          </cell>
          <cell r="E473">
            <v>4.4400000000000004</v>
          </cell>
          <cell r="F473" t="str">
            <v>B286</v>
          </cell>
          <cell r="G473">
            <v>100418</v>
          </cell>
          <cell r="H473" t="str">
            <v>FLOUR BAKER 
HARD WHT UNBLCH BULK</v>
          </cell>
          <cell r="I473">
            <v>7.35</v>
          </cell>
        </row>
        <row r="474">
          <cell r="A474">
            <v>78373</v>
          </cell>
          <cell r="B474" t="str">
            <v>Chicken Quesadilla</v>
          </cell>
          <cell r="C474">
            <v>26.63</v>
          </cell>
          <cell r="D474">
            <v>96</v>
          </cell>
          <cell r="E474">
            <v>4.4400000000000004</v>
          </cell>
          <cell r="F474" t="str">
            <v>B286</v>
          </cell>
          <cell r="G474">
            <v>100418</v>
          </cell>
          <cell r="H474" t="str">
            <v>FLOUR BAKER 
HARD WHT UNBLCH BULK</v>
          </cell>
          <cell r="I474">
            <v>7.35</v>
          </cell>
        </row>
        <row r="475">
          <cell r="A475">
            <v>78374</v>
          </cell>
          <cell r="B475" t="str">
            <v>Chili and Cheese Quesadilla</v>
          </cell>
          <cell r="C475">
            <v>27</v>
          </cell>
          <cell r="D475">
            <v>96</v>
          </cell>
          <cell r="E475">
            <v>4.4000000000000004</v>
          </cell>
          <cell r="F475" t="str">
            <v>B286</v>
          </cell>
          <cell r="G475">
            <v>100418</v>
          </cell>
          <cell r="H475" t="str">
            <v>FLOUR BAKER 
HARD WHT UNBLCH BULK</v>
          </cell>
          <cell r="I475">
            <v>7.35</v>
          </cell>
        </row>
        <row r="476">
          <cell r="A476">
            <v>78375</v>
          </cell>
          <cell r="B476" t="str">
            <v>Tony's Stuffed  Stick Whole Grain</v>
          </cell>
          <cell r="C476">
            <v>26.43</v>
          </cell>
          <cell r="D476">
            <v>100</v>
          </cell>
          <cell r="E476">
            <v>4.2300000000000004</v>
          </cell>
          <cell r="F476" t="str">
            <v>B286</v>
          </cell>
          <cell r="G476">
            <v>100418</v>
          </cell>
          <cell r="H476" t="str">
            <v>FLOUR BAKER 
HARD WHT UNBLCH BULK</v>
          </cell>
          <cell r="I476">
            <v>7.32</v>
          </cell>
        </row>
        <row r="477">
          <cell r="A477">
            <v>78376</v>
          </cell>
          <cell r="B477" t="str">
            <v>Whole Grain Stuffed Sandwich Pepp</v>
          </cell>
          <cell r="C477">
            <v>13.59</v>
          </cell>
          <cell r="D477">
            <v>48</v>
          </cell>
          <cell r="E477">
            <v>4.53</v>
          </cell>
          <cell r="F477" t="str">
            <v>B286</v>
          </cell>
          <cell r="G477">
            <v>100418</v>
          </cell>
          <cell r="H477" t="str">
            <v>FLOUR BAKER 
HARD WHT UNBLCH BULK</v>
          </cell>
          <cell r="I477">
            <v>3.63</v>
          </cell>
        </row>
        <row r="478">
          <cell r="A478">
            <v>78377</v>
          </cell>
          <cell r="B478" t="str">
            <v>Whole Grain Stuffed Sand Pepp IW</v>
          </cell>
          <cell r="C478">
            <v>6.8</v>
          </cell>
          <cell r="D478">
            <v>24</v>
          </cell>
          <cell r="E478">
            <v>4.53</v>
          </cell>
          <cell r="F478" t="str">
            <v>B286</v>
          </cell>
          <cell r="G478">
            <v>100418</v>
          </cell>
          <cell r="H478" t="str">
            <v>FLOUR BAKER 
HARD WHT UNBLCH BULK</v>
          </cell>
          <cell r="I478">
            <v>1.81</v>
          </cell>
        </row>
        <row r="479">
          <cell r="A479">
            <v>78378</v>
          </cell>
          <cell r="B479" t="str">
            <v>Whole Grain Pepperoni Pizza Strip</v>
          </cell>
          <cell r="C479">
            <v>9.3000000000000007</v>
          </cell>
          <cell r="D479">
            <v>48</v>
          </cell>
          <cell r="E479">
            <v>3.1</v>
          </cell>
          <cell r="F479" t="str">
            <v>B286</v>
          </cell>
          <cell r="G479">
            <v>100418</v>
          </cell>
          <cell r="H479" t="str">
            <v>FLOUR BAKER 
HARD WHT UNBLCH BULK</v>
          </cell>
          <cell r="I479">
            <v>3.37</v>
          </cell>
        </row>
        <row r="480">
          <cell r="A480">
            <v>78379</v>
          </cell>
          <cell r="B480" t="str">
            <v>Whole Grain Pepp Pizza Strip  IW</v>
          </cell>
          <cell r="C480">
            <v>9.3000000000000007</v>
          </cell>
          <cell r="D480">
            <v>48</v>
          </cell>
          <cell r="E480">
            <v>3.1</v>
          </cell>
          <cell r="F480" t="str">
            <v>B286</v>
          </cell>
          <cell r="G480">
            <v>100418</v>
          </cell>
          <cell r="H480" t="str">
            <v>FLOUR BAKER 
HARD WHT UNBLCH BULK</v>
          </cell>
          <cell r="I480">
            <v>3.37</v>
          </cell>
        </row>
        <row r="481">
          <cell r="A481">
            <v>78380</v>
          </cell>
          <cell r="B481" t="str">
            <v>WG 7" Stuffed Crust Wedge Cheese</v>
          </cell>
          <cell r="C481">
            <v>27.24</v>
          </cell>
          <cell r="D481">
            <v>96</v>
          </cell>
          <cell r="E481">
            <v>4.54</v>
          </cell>
          <cell r="F481" t="str">
            <v>B286</v>
          </cell>
          <cell r="G481">
            <v>100418</v>
          </cell>
          <cell r="H481" t="str">
            <v>FLOUR BAKER 
HARD WHT UNBLCH BULK</v>
          </cell>
          <cell r="I481">
            <v>5.84</v>
          </cell>
        </row>
        <row r="482">
          <cell r="A482">
            <v>78381</v>
          </cell>
          <cell r="B482" t="str">
            <v>WG 7" Stuffed Crust Wedge Pepp</v>
          </cell>
          <cell r="C482">
            <v>27.3</v>
          </cell>
          <cell r="D482">
            <v>96</v>
          </cell>
          <cell r="E482">
            <v>4.55</v>
          </cell>
          <cell r="F482" t="str">
            <v>B286</v>
          </cell>
          <cell r="G482">
            <v>100418</v>
          </cell>
          <cell r="H482" t="str">
            <v>FLOUR BAKER 
HARD WHT UNBLCH BULK</v>
          </cell>
          <cell r="I482">
            <v>5.84</v>
          </cell>
        </row>
        <row r="483">
          <cell r="A483">
            <v>78382</v>
          </cell>
          <cell r="B483" t="str">
            <v>51% WG SEW Cheese</v>
          </cell>
          <cell r="C483">
            <v>35.700000000000003</v>
          </cell>
          <cell r="D483">
            <v>96</v>
          </cell>
          <cell r="E483">
            <v>5.95</v>
          </cell>
          <cell r="F483" t="str">
            <v>B286</v>
          </cell>
          <cell r="G483">
            <v>100418</v>
          </cell>
          <cell r="H483" t="str">
            <v>FLOUR BAKER 
HARD WHT UNBLCH BULK</v>
          </cell>
          <cell r="I483">
            <v>11.01</v>
          </cell>
        </row>
        <row r="484">
          <cell r="A484">
            <v>78383</v>
          </cell>
          <cell r="B484" t="str">
            <v>51% WG SEW Pepperoni Pizza</v>
          </cell>
          <cell r="C484">
            <v>35.82</v>
          </cell>
          <cell r="D484">
            <v>96</v>
          </cell>
          <cell r="E484">
            <v>5.97</v>
          </cell>
          <cell r="F484" t="str">
            <v>B286</v>
          </cell>
          <cell r="G484">
            <v>100418</v>
          </cell>
          <cell r="H484" t="str">
            <v>FLOUR BAKER 
HARD WHT UNBLCH BULK</v>
          </cell>
          <cell r="I484">
            <v>11.01</v>
          </cell>
        </row>
        <row r="485">
          <cell r="A485">
            <v>78384</v>
          </cell>
          <cell r="B485" t="str">
            <v>51% WG SEW Cheese Pizza</v>
          </cell>
          <cell r="C485">
            <v>29.75</v>
          </cell>
          <cell r="D485">
            <v>80</v>
          </cell>
          <cell r="E485">
            <v>5.95</v>
          </cell>
          <cell r="F485" t="str">
            <v>B286</v>
          </cell>
          <cell r="G485">
            <v>100418</v>
          </cell>
          <cell r="H485" t="str">
            <v>FLOUR BAKER 
HARD WHT UNBLCH BULK</v>
          </cell>
          <cell r="I485">
            <v>9.15</v>
          </cell>
        </row>
        <row r="486">
          <cell r="A486">
            <v>78385</v>
          </cell>
          <cell r="B486" t="str">
            <v>51% WG SEW Pepp Pizza</v>
          </cell>
          <cell r="C486">
            <v>29.85</v>
          </cell>
          <cell r="D486">
            <v>80</v>
          </cell>
          <cell r="E486">
            <v>5.97</v>
          </cell>
          <cell r="F486" t="str">
            <v>B286</v>
          </cell>
          <cell r="G486">
            <v>100418</v>
          </cell>
          <cell r="H486" t="str">
            <v>FLOUR BAKER 
HARD WHT UNBLCH BULK</v>
          </cell>
          <cell r="I486">
            <v>9.15</v>
          </cell>
        </row>
        <row r="487">
          <cell r="A487">
            <v>78386</v>
          </cell>
          <cell r="B487" t="str">
            <v>WG 4x6 Stuffed Crust Cheese</v>
          </cell>
          <cell r="C487">
            <v>26.94</v>
          </cell>
          <cell r="D487">
            <v>96</v>
          </cell>
          <cell r="E487">
            <v>4.49</v>
          </cell>
          <cell r="F487" t="str">
            <v>B286</v>
          </cell>
          <cell r="G487">
            <v>100418</v>
          </cell>
          <cell r="H487" t="str">
            <v>FLOUR BAKER 
HARD WHT UNBLCH BULK</v>
          </cell>
          <cell r="I487">
            <v>5.84</v>
          </cell>
        </row>
        <row r="488">
          <cell r="A488">
            <v>78387</v>
          </cell>
          <cell r="B488" t="str">
            <v>WG 4x6 Stuffed Crust Pepperoni</v>
          </cell>
          <cell r="C488">
            <v>26.34</v>
          </cell>
          <cell r="D488">
            <v>96</v>
          </cell>
          <cell r="E488">
            <v>4.3899999999999997</v>
          </cell>
          <cell r="F488" t="str">
            <v>B286</v>
          </cell>
          <cell r="G488">
            <v>100418</v>
          </cell>
          <cell r="H488" t="str">
            <v>FLOUR BAKER 
HARD WHT UNBLCH BULK</v>
          </cell>
          <cell r="I488">
            <v>5.84</v>
          </cell>
        </row>
        <row r="489">
          <cell r="A489">
            <v>78388</v>
          </cell>
          <cell r="B489" t="str">
            <v>Big Daddy's Sicilian</v>
          </cell>
          <cell r="C489">
            <v>30.1</v>
          </cell>
          <cell r="D489">
            <v>96</v>
          </cell>
          <cell r="E489">
            <v>5.0199999999999996</v>
          </cell>
          <cell r="F489" t="str">
            <v>B286</v>
          </cell>
          <cell r="G489">
            <v>100418</v>
          </cell>
          <cell r="H489" t="str">
            <v>FLOUR BAKER 
HARD WHT UNBLCH BULK</v>
          </cell>
          <cell r="I489">
            <v>7.22</v>
          </cell>
        </row>
        <row r="490">
          <cell r="A490">
            <v>78391</v>
          </cell>
          <cell r="B490" t="str">
            <v>Whole Grain Pizza Bagel Cheese</v>
          </cell>
          <cell r="C490">
            <v>28.8</v>
          </cell>
          <cell r="D490">
            <v>96</v>
          </cell>
          <cell r="E490">
            <v>4.8</v>
          </cell>
          <cell r="F490" t="str">
            <v>B286</v>
          </cell>
          <cell r="G490">
            <v>100418</v>
          </cell>
          <cell r="H490" t="str">
            <v>FLOUR BAKER 
HARD WHT UNBLCH BULK</v>
          </cell>
          <cell r="I490">
            <v>0</v>
          </cell>
        </row>
        <row r="491">
          <cell r="A491">
            <v>78392</v>
          </cell>
          <cell r="B491" t="str">
            <v>Big Daddy's Hand Tossed Pepperoni Pre-Sliced 8-Cut</v>
          </cell>
          <cell r="C491">
            <v>23.4</v>
          </cell>
          <cell r="D491">
            <v>72</v>
          </cell>
          <cell r="E491">
            <v>5.2</v>
          </cell>
          <cell r="F491" t="str">
            <v>B286</v>
          </cell>
          <cell r="G491">
            <v>100418</v>
          </cell>
          <cell r="H491" t="str">
            <v>FLOUR BAKER 
HARD WHT UNBLCH BULK</v>
          </cell>
          <cell r="I491">
            <v>5.27</v>
          </cell>
        </row>
        <row r="492">
          <cell r="A492">
            <v>78397</v>
          </cell>
          <cell r="B492" t="str">
            <v>Big Daddy's Hand Tossed Cheese Pre-Sliced</v>
          </cell>
          <cell r="C492">
            <v>23.26</v>
          </cell>
          <cell r="D492">
            <v>72</v>
          </cell>
          <cell r="E492">
            <v>5.17</v>
          </cell>
          <cell r="F492" t="str">
            <v>B286</v>
          </cell>
          <cell r="G492">
            <v>100418</v>
          </cell>
          <cell r="H492" t="str">
            <v>FLOUR BAKER 
HARD WHT UNBLCH BULK</v>
          </cell>
          <cell r="I492">
            <v>5.27</v>
          </cell>
        </row>
        <row r="493">
          <cell r="A493">
            <v>78398</v>
          </cell>
          <cell r="B493" t="str">
            <v>Big Daddy's Hand Tossed Cheese</v>
          </cell>
          <cell r="C493">
            <v>23.26</v>
          </cell>
          <cell r="D493">
            <v>72</v>
          </cell>
          <cell r="E493">
            <v>5.17</v>
          </cell>
          <cell r="F493" t="str">
            <v>B286</v>
          </cell>
          <cell r="G493">
            <v>100418</v>
          </cell>
          <cell r="H493" t="str">
            <v>FLOUR BAKER 
HARD WHT UNBLCH BULK</v>
          </cell>
          <cell r="I493">
            <v>5.27</v>
          </cell>
        </row>
        <row r="494">
          <cell r="A494">
            <v>78399</v>
          </cell>
          <cell r="B494" t="str">
            <v>Big Daddy's Hand tossed Pepperoni</v>
          </cell>
          <cell r="C494">
            <v>23.4</v>
          </cell>
          <cell r="D494">
            <v>72</v>
          </cell>
          <cell r="E494">
            <v>5.2</v>
          </cell>
          <cell r="F494" t="str">
            <v>B286</v>
          </cell>
          <cell r="G494">
            <v>100418</v>
          </cell>
          <cell r="H494" t="str">
            <v>FLOUR BAKER 
HARD WHT UNBLCH BULK</v>
          </cell>
          <cell r="I494">
            <v>5.27</v>
          </cell>
        </row>
        <row r="495">
          <cell r="A495">
            <v>78448</v>
          </cell>
          <cell r="B495" t="str">
            <v>Tony's Smart Pizza 4x6 100% Cheese</v>
          </cell>
          <cell r="C495">
            <v>27.6</v>
          </cell>
          <cell r="D495">
            <v>96</v>
          </cell>
          <cell r="E495">
            <v>4.5999999999999996</v>
          </cell>
          <cell r="F495" t="str">
            <v>B286</v>
          </cell>
          <cell r="G495">
            <v>100418</v>
          </cell>
          <cell r="H495" t="str">
            <v>FLOUR BAKER 
HARD WHT UNBLCH BULK</v>
          </cell>
          <cell r="I495">
            <v>3.39</v>
          </cell>
        </row>
        <row r="496">
          <cell r="A496">
            <v>78449</v>
          </cell>
          <cell r="B496" t="str">
            <v>Tony's Smart Pizza 4x6 100% Pepp</v>
          </cell>
          <cell r="C496">
            <v>27</v>
          </cell>
          <cell r="D496">
            <v>96</v>
          </cell>
          <cell r="E496">
            <v>4.5</v>
          </cell>
          <cell r="F496" t="str">
            <v>B286</v>
          </cell>
          <cell r="G496">
            <v>100418</v>
          </cell>
          <cell r="H496" t="str">
            <v>FLOUR BAKER 
HARD WHT UNBLCH BULK</v>
          </cell>
          <cell r="I496">
            <v>3.39</v>
          </cell>
        </row>
        <row r="497">
          <cell r="A497">
            <v>78454</v>
          </cell>
          <cell r="B497" t="str">
            <v>Tony's 4x6 Cheese/Sub Cheese Smart Pizza</v>
          </cell>
          <cell r="C497">
            <v>27.36</v>
          </cell>
          <cell r="D497">
            <v>96</v>
          </cell>
          <cell r="E497">
            <v>4.5599999999999996</v>
          </cell>
          <cell r="F497" t="str">
            <v>B286</v>
          </cell>
          <cell r="G497">
            <v>100418</v>
          </cell>
          <cell r="H497" t="str">
            <v>FLOUR BAKER 
HARD WHT UNBLCH BULK</v>
          </cell>
          <cell r="I497">
            <v>6.54</v>
          </cell>
        </row>
        <row r="498">
          <cell r="A498">
            <v>78455</v>
          </cell>
          <cell r="B498" t="str">
            <v>Tony's 4x6 Pepp</v>
          </cell>
          <cell r="C498">
            <v>27.9</v>
          </cell>
          <cell r="D498">
            <v>96</v>
          </cell>
          <cell r="E498">
            <v>4.6500000000000004</v>
          </cell>
          <cell r="F498" t="str">
            <v>B286</v>
          </cell>
          <cell r="G498">
            <v>100418</v>
          </cell>
          <cell r="H498" t="str">
            <v>FLOUR BAKER 
HARD WHT UNBLCH BULK</v>
          </cell>
          <cell r="I498">
            <v>7.59</v>
          </cell>
        </row>
        <row r="499">
          <cell r="A499">
            <v>78456</v>
          </cell>
          <cell r="B499" t="str">
            <v>Tony's 4x6 Saus</v>
          </cell>
          <cell r="C499">
            <v>27.87</v>
          </cell>
          <cell r="D499">
            <v>96</v>
          </cell>
          <cell r="E499">
            <v>4.6500000000000004</v>
          </cell>
          <cell r="F499" t="str">
            <v>B286</v>
          </cell>
          <cell r="G499">
            <v>100418</v>
          </cell>
          <cell r="H499" t="str">
            <v>FLOUR BAKER 
HARD WHT UNBLCH BULK</v>
          </cell>
          <cell r="I499">
            <v>7.59</v>
          </cell>
        </row>
        <row r="500">
          <cell r="A500">
            <v>78474</v>
          </cell>
          <cell r="B500" t="str">
            <v>4" Cheese 100%BULK</v>
          </cell>
          <cell r="C500">
            <v>22.5</v>
          </cell>
          <cell r="D500">
            <v>72</v>
          </cell>
          <cell r="E500">
            <v>5</v>
          </cell>
          <cell r="F500" t="str">
            <v>B286</v>
          </cell>
          <cell r="G500">
            <v>100418</v>
          </cell>
          <cell r="H500" t="str">
            <v>FLOUR BAKER 
HARD WHT UNBLCH BULK</v>
          </cell>
          <cell r="I500">
            <v>4.99</v>
          </cell>
        </row>
        <row r="501">
          <cell r="A501">
            <v>78475</v>
          </cell>
          <cell r="B501" t="str">
            <v>4" Cheese 100% IW</v>
          </cell>
          <cell r="C501">
            <v>22.5</v>
          </cell>
          <cell r="D501">
            <v>72</v>
          </cell>
          <cell r="E501">
            <v>5</v>
          </cell>
          <cell r="F501" t="str">
            <v>B286</v>
          </cell>
          <cell r="G501">
            <v>100418</v>
          </cell>
          <cell r="H501" t="str">
            <v>FLOUR BAKER 
HARD WHT UNBLCH BULK</v>
          </cell>
          <cell r="I501">
            <v>4.99</v>
          </cell>
        </row>
        <row r="502">
          <cell r="A502">
            <v>78477</v>
          </cell>
          <cell r="B502" t="str">
            <v>4" Red Fat Pepp 100% Cheese IW</v>
          </cell>
          <cell r="C502">
            <v>22.5</v>
          </cell>
          <cell r="D502">
            <v>72</v>
          </cell>
          <cell r="E502">
            <v>5</v>
          </cell>
          <cell r="F502" t="str">
            <v>B286</v>
          </cell>
          <cell r="G502">
            <v>100418</v>
          </cell>
          <cell r="H502" t="str">
            <v>FLOUR BAKER 
HARD WHT UNBLCH BULK</v>
          </cell>
          <cell r="I502">
            <v>4.99</v>
          </cell>
        </row>
        <row r="503">
          <cell r="A503">
            <v>78504</v>
          </cell>
          <cell r="B503" t="str">
            <v>6" French Bread Cheese Pizza</v>
          </cell>
          <cell r="C503">
            <v>19.88</v>
          </cell>
          <cell r="D503">
            <v>60</v>
          </cell>
          <cell r="E503">
            <v>5.3</v>
          </cell>
          <cell r="F503" t="str">
            <v>B286</v>
          </cell>
          <cell r="G503">
            <v>100418</v>
          </cell>
          <cell r="H503" t="str">
            <v>FLOUR BAKER 
HARD WHT UNBLCH BULK</v>
          </cell>
          <cell r="I503">
            <v>5.09</v>
          </cell>
        </row>
        <row r="504">
          <cell r="A504">
            <v>78505</v>
          </cell>
          <cell r="B504" t="str">
            <v>6" French Bread Pepp Pizza</v>
          </cell>
          <cell r="C504">
            <v>19.5</v>
          </cell>
          <cell r="D504">
            <v>60</v>
          </cell>
          <cell r="E504">
            <v>5.2</v>
          </cell>
          <cell r="F504" t="str">
            <v>B286</v>
          </cell>
          <cell r="G504">
            <v>100418</v>
          </cell>
          <cell r="H504" t="str">
            <v>FLOUR BAKER 
HARD WHT UNBLCH BULK</v>
          </cell>
          <cell r="I504">
            <v>5.09</v>
          </cell>
        </row>
        <row r="505">
          <cell r="A505">
            <v>78511</v>
          </cell>
          <cell r="B505" t="str">
            <v>6" French Bread Cheese/Sub Cheese</v>
          </cell>
          <cell r="C505">
            <v>18.559999999999999</v>
          </cell>
          <cell r="D505">
            <v>60</v>
          </cell>
          <cell r="E505">
            <v>4.95</v>
          </cell>
          <cell r="F505" t="str">
            <v>B286</v>
          </cell>
          <cell r="G505">
            <v>100418</v>
          </cell>
          <cell r="H505" t="str">
            <v>FLOUR BAKER 
HARD WHT UNBLCH BULK</v>
          </cell>
          <cell r="I505">
            <v>5.09</v>
          </cell>
        </row>
        <row r="506">
          <cell r="A506">
            <v>78516</v>
          </cell>
          <cell r="B506" t="str">
            <v>6" French Bread Pizza Cheesy Garlic</v>
          </cell>
          <cell r="C506">
            <v>16.760000000000002</v>
          </cell>
          <cell r="D506">
            <v>60</v>
          </cell>
          <cell r="E506">
            <v>4.47</v>
          </cell>
          <cell r="F506" t="str">
            <v>B286</v>
          </cell>
          <cell r="G506">
            <v>100418</v>
          </cell>
          <cell r="H506" t="str">
            <v>FLOUR BAKER 
HARD WHT UNBLCH BULK</v>
          </cell>
          <cell r="I506">
            <v>3.48</v>
          </cell>
        </row>
        <row r="507">
          <cell r="A507">
            <v>78518</v>
          </cell>
          <cell r="B507" t="str">
            <v>8" French Bread Pepp Mozz/Ched</v>
          </cell>
          <cell r="C507">
            <v>23.25</v>
          </cell>
          <cell r="D507">
            <v>60</v>
          </cell>
          <cell r="E507">
            <v>6.2</v>
          </cell>
          <cell r="F507" t="str">
            <v>B286</v>
          </cell>
          <cell r="G507">
            <v>100418</v>
          </cell>
          <cell r="H507" t="str">
            <v>FLOUR BAKER 
HARD WHT UNBLCH BULK</v>
          </cell>
          <cell r="I507">
            <v>7.89</v>
          </cell>
        </row>
        <row r="508">
          <cell r="A508">
            <v>78525</v>
          </cell>
          <cell r="B508" t="str">
            <v>8" French Bread Cheese/Sub Cheese</v>
          </cell>
          <cell r="C508">
            <v>25.88</v>
          </cell>
          <cell r="D508">
            <v>72</v>
          </cell>
          <cell r="E508">
            <v>5.75</v>
          </cell>
          <cell r="F508" t="str">
            <v>B286</v>
          </cell>
          <cell r="G508">
            <v>100418</v>
          </cell>
          <cell r="H508" t="str">
            <v>FLOUR BAKER 
HARD WHT UNBLCH BULK</v>
          </cell>
          <cell r="I508">
            <v>7.86</v>
          </cell>
        </row>
        <row r="509">
          <cell r="A509">
            <v>78530</v>
          </cell>
          <cell r="B509" t="str">
            <v>Red Baron Breakfast Bacon Scramble</v>
          </cell>
          <cell r="C509">
            <v>16.88</v>
          </cell>
          <cell r="D509">
            <v>54</v>
          </cell>
          <cell r="E509">
            <v>5</v>
          </cell>
          <cell r="F509" t="str">
            <v>B286</v>
          </cell>
          <cell r="G509">
            <v>100418</v>
          </cell>
          <cell r="H509" t="str">
            <v>FLOUR BAKER 
HARD WHT UNBLCH BULK</v>
          </cell>
          <cell r="I509">
            <v>4.16</v>
          </cell>
        </row>
        <row r="510">
          <cell r="A510">
            <v>78531</v>
          </cell>
          <cell r="B510" t="str">
            <v>Big Daddy's 16" Harvest Cheese Pizza</v>
          </cell>
          <cell r="C510">
            <v>24.88</v>
          </cell>
          <cell r="D510">
            <v>72</v>
          </cell>
          <cell r="E510">
            <v>5.53</v>
          </cell>
          <cell r="F510" t="str">
            <v>B286</v>
          </cell>
          <cell r="G510">
            <v>100418</v>
          </cell>
          <cell r="H510" t="str">
            <v>FLOUR BAKER 
HARD WHT UNBLCH BULK</v>
          </cell>
          <cell r="I510">
            <v>7.75</v>
          </cell>
        </row>
        <row r="511">
          <cell r="A511">
            <v>78532</v>
          </cell>
          <cell r="B511" t="str">
            <v>Red Baron 5" Bacon Scramble IW</v>
          </cell>
          <cell r="C511">
            <v>8.0399999999999991</v>
          </cell>
          <cell r="D511">
            <v>24</v>
          </cell>
          <cell r="E511">
            <v>5.36</v>
          </cell>
          <cell r="F511" t="str">
            <v>B286</v>
          </cell>
          <cell r="G511">
            <v>100418</v>
          </cell>
          <cell r="H511" t="str">
            <v>FLOUR BAKER 
HARD WHT UNBLCH BULK</v>
          </cell>
          <cell r="I511">
            <v>2.1800000000000002</v>
          </cell>
        </row>
        <row r="512">
          <cell r="A512">
            <v>78533</v>
          </cell>
          <cell r="B512" t="str">
            <v>Big Daddy's 16" Harvest Pepperoni Pizza</v>
          </cell>
          <cell r="C512">
            <v>24.93</v>
          </cell>
          <cell r="D512">
            <v>72</v>
          </cell>
          <cell r="E512">
            <v>5.54</v>
          </cell>
          <cell r="F512" t="str">
            <v>B286</v>
          </cell>
          <cell r="G512">
            <v>100418</v>
          </cell>
          <cell r="H512" t="str">
            <v>FLOUR BAKER 
HARD WHT UNBLCH BULK</v>
          </cell>
          <cell r="I512">
            <v>7.75</v>
          </cell>
        </row>
        <row r="513">
          <cell r="A513">
            <v>78542</v>
          </cell>
          <cell r="B513" t="str">
            <v>Galaxy Smart Pizza Cheese
Mozz/Sub Mozz 50/50 BULK</v>
          </cell>
          <cell r="C513">
            <v>20.52</v>
          </cell>
          <cell r="D513">
            <v>72</v>
          </cell>
          <cell r="E513">
            <v>4.5599999999999996</v>
          </cell>
          <cell r="F513" t="str">
            <v>B286</v>
          </cell>
          <cell r="G513">
            <v>100418</v>
          </cell>
          <cell r="H513" t="str">
            <v>FLOUR BAKER 
HARD WHT UNBLCH BULK</v>
          </cell>
          <cell r="I513">
            <v>4.7</v>
          </cell>
        </row>
        <row r="514">
          <cell r="A514">
            <v>78543</v>
          </cell>
          <cell r="B514" t="str">
            <v>Galaxy Smart Pizza Cheese
 Mozz/Sub Mozz 50/50 IW</v>
          </cell>
          <cell r="C514">
            <v>20.52</v>
          </cell>
          <cell r="D514">
            <v>72</v>
          </cell>
          <cell r="E514">
            <v>4.5599999999999996</v>
          </cell>
          <cell r="F514" t="str">
            <v>B286</v>
          </cell>
          <cell r="G514">
            <v>100418</v>
          </cell>
          <cell r="H514" t="str">
            <v>FLOUR BAKER 
HARD WHT UNBLCH BULK</v>
          </cell>
          <cell r="I514">
            <v>4.7</v>
          </cell>
        </row>
        <row r="515">
          <cell r="A515">
            <v>78544</v>
          </cell>
          <cell r="B515" t="str">
            <v>Galaxy Smart Piz Red Fat Pepp
50/50 BULK</v>
          </cell>
          <cell r="C515">
            <v>20.92</v>
          </cell>
          <cell r="D515">
            <v>72</v>
          </cell>
          <cell r="E515">
            <v>4.6500000000000004</v>
          </cell>
          <cell r="F515" t="str">
            <v>B286</v>
          </cell>
          <cell r="G515">
            <v>100418</v>
          </cell>
          <cell r="H515" t="str">
            <v>FLOUR BAKER 
HARD WHT UNBLCH BULK</v>
          </cell>
          <cell r="I515">
            <v>4.7</v>
          </cell>
        </row>
        <row r="516">
          <cell r="A516">
            <v>78545</v>
          </cell>
          <cell r="B516" t="str">
            <v>Galaxy Smart Piz Red Fat Pepp 
50/50 IW</v>
          </cell>
          <cell r="C516">
            <v>20.92</v>
          </cell>
          <cell r="D516">
            <v>72</v>
          </cell>
          <cell r="E516">
            <v>4.6500000000000004</v>
          </cell>
          <cell r="F516" t="str">
            <v>B286</v>
          </cell>
          <cell r="G516">
            <v>100418</v>
          </cell>
          <cell r="H516" t="str">
            <v>FLOUR BAKER 
HARD WHT UNBLCH BULK</v>
          </cell>
          <cell r="I516">
            <v>4.7</v>
          </cell>
        </row>
        <row r="517">
          <cell r="A517">
            <v>78571</v>
          </cell>
          <cell r="B517" t="str">
            <v>4x6 Pepperoni Pizza Wrapped</v>
          </cell>
          <cell r="C517">
            <v>6.84</v>
          </cell>
          <cell r="D517">
            <v>24</v>
          </cell>
          <cell r="E517">
            <v>4.5599999999999996</v>
          </cell>
          <cell r="F517" t="str">
            <v>B286</v>
          </cell>
          <cell r="G517">
            <v>100418</v>
          </cell>
          <cell r="H517" t="str">
            <v>FLOUR BAKER 
HARD WHT UNBLCH BULK</v>
          </cell>
          <cell r="I517">
            <v>3.28</v>
          </cell>
        </row>
        <row r="518">
          <cell r="A518">
            <v>78584</v>
          </cell>
          <cell r="B518" t="str">
            <v>5 inch DD Cheese Pizza</v>
          </cell>
          <cell r="C518">
            <v>21.94</v>
          </cell>
          <cell r="D518">
            <v>60</v>
          </cell>
          <cell r="E518">
            <v>5.85</v>
          </cell>
          <cell r="F518" t="str">
            <v>B286</v>
          </cell>
          <cell r="G518">
            <v>100418</v>
          </cell>
          <cell r="H518" t="str">
            <v>FLOUR BAKER 
HARD WHT UNBLCH BULK</v>
          </cell>
          <cell r="I518">
            <v>5.95</v>
          </cell>
        </row>
        <row r="519">
          <cell r="A519">
            <v>78585</v>
          </cell>
          <cell r="B519" t="str">
            <v>5" Cheese Pizza w/Pepperoni</v>
          </cell>
          <cell r="C519">
            <v>22.13</v>
          </cell>
          <cell r="D519">
            <v>60</v>
          </cell>
          <cell r="E519">
            <v>5.9</v>
          </cell>
          <cell r="F519" t="str">
            <v>B286</v>
          </cell>
          <cell r="G519">
            <v>100418</v>
          </cell>
          <cell r="H519" t="str">
            <v>FLOUR BAKER 
HARD WHT UNBLCH BULK</v>
          </cell>
          <cell r="I519">
            <v>6.71</v>
          </cell>
        </row>
        <row r="520">
          <cell r="A520">
            <v>78589</v>
          </cell>
          <cell r="B520" t="str">
            <v>Tony's 5" Lite DD Pepp Pizza</v>
          </cell>
          <cell r="C520">
            <v>19.649999999999999</v>
          </cell>
          <cell r="D520">
            <v>60</v>
          </cell>
          <cell r="E520">
            <v>5.24</v>
          </cell>
          <cell r="F520" t="str">
            <v>B286</v>
          </cell>
          <cell r="G520">
            <v>100418</v>
          </cell>
          <cell r="H520" t="str">
            <v>FLOUR BAKER 
HARD WHT UNBLCH BULK</v>
          </cell>
          <cell r="I520">
            <v>5.49</v>
          </cell>
        </row>
        <row r="521">
          <cell r="A521">
            <v>78598</v>
          </cell>
          <cell r="B521" t="str">
            <v>11" Pepperoni Slice</v>
          </cell>
          <cell r="C521">
            <v>19.8</v>
          </cell>
          <cell r="D521">
            <v>48</v>
          </cell>
          <cell r="E521">
            <v>6.6</v>
          </cell>
          <cell r="F521" t="str">
            <v>B286</v>
          </cell>
          <cell r="G521">
            <v>100418</v>
          </cell>
          <cell r="H521" t="str">
            <v>FLOUR BAKER 
HARD WHT UNBLCH BULK</v>
          </cell>
          <cell r="I521">
            <v>4.67</v>
          </cell>
        </row>
        <row r="522">
          <cell r="A522">
            <v>78622</v>
          </cell>
          <cell r="B522" t="str">
            <v>6" French Bread Pizza  Cheese</v>
          </cell>
          <cell r="C522">
            <v>19.39</v>
          </cell>
          <cell r="D522">
            <v>60</v>
          </cell>
          <cell r="E522">
            <v>5.17</v>
          </cell>
          <cell r="F522" t="str">
            <v>B286</v>
          </cell>
          <cell r="G522">
            <v>100418</v>
          </cell>
          <cell r="H522" t="str">
            <v>FLOUR BAKER 
HARD WHT UNBLCH BULK</v>
          </cell>
          <cell r="I522">
            <v>3.48</v>
          </cell>
        </row>
        <row r="523">
          <cell r="A523">
            <v>78623</v>
          </cell>
          <cell r="B523" t="str">
            <v>6" French Bread Pizza  Pepperoni</v>
          </cell>
          <cell r="C523">
            <v>19.2</v>
          </cell>
          <cell r="D523">
            <v>60</v>
          </cell>
          <cell r="E523">
            <v>5.12</v>
          </cell>
          <cell r="F523" t="str">
            <v>B286</v>
          </cell>
          <cell r="G523">
            <v>100418</v>
          </cell>
          <cell r="H523" t="str">
            <v>FLOUR BAKER 
HARD WHT UNBLCH BULK</v>
          </cell>
          <cell r="I523">
            <v>3.48</v>
          </cell>
        </row>
        <row r="524">
          <cell r="A524">
            <v>78624</v>
          </cell>
          <cell r="B524" t="str">
            <v>6" French Bread Pizza   Cheesy Garlic</v>
          </cell>
          <cell r="C524">
            <v>16.760000000000002</v>
          </cell>
          <cell r="D524">
            <v>60</v>
          </cell>
          <cell r="E524">
            <v>4.47</v>
          </cell>
          <cell r="F524" t="str">
            <v>B286</v>
          </cell>
          <cell r="G524">
            <v>100418</v>
          </cell>
          <cell r="H524" t="str">
            <v>FLOUR BAKER 
HARD WHT UNBLCH BULK</v>
          </cell>
          <cell r="I524">
            <v>3.48</v>
          </cell>
        </row>
        <row r="525">
          <cell r="A525">
            <v>78626</v>
          </cell>
          <cell r="B525" t="str">
            <v>6" French Bread Pepperoni Pizza IW</v>
          </cell>
          <cell r="C525">
            <v>19.88</v>
          </cell>
          <cell r="D525">
            <v>60</v>
          </cell>
          <cell r="E525">
            <v>5.3</v>
          </cell>
          <cell r="F525" t="str">
            <v>B286</v>
          </cell>
          <cell r="G525">
            <v>100418</v>
          </cell>
          <cell r="H525" t="str">
            <v>FLOUR BAKER 
HARD WHT UNBLCH BULK</v>
          </cell>
          <cell r="I525">
            <v>5.09</v>
          </cell>
        </row>
        <row r="526">
          <cell r="A526">
            <v>78642</v>
          </cell>
          <cell r="B526" t="str">
            <v>5" Pepp DD Pizza</v>
          </cell>
          <cell r="C526">
            <v>21.41</v>
          </cell>
          <cell r="D526">
            <v>60</v>
          </cell>
          <cell r="E526">
            <v>5.71</v>
          </cell>
          <cell r="F526" t="str">
            <v>B286</v>
          </cell>
          <cell r="G526">
            <v>100418</v>
          </cell>
          <cell r="H526" t="str">
            <v>FLOUR BAKER 
HARD WHT UNBLCH BULK</v>
          </cell>
          <cell r="I526">
            <v>6.84</v>
          </cell>
        </row>
        <row r="527">
          <cell r="A527">
            <v>78660</v>
          </cell>
          <cell r="B527" t="str">
            <v>Whole Grain 5" Deep Dish 100% Cheese IW</v>
          </cell>
          <cell r="C527">
            <v>22.13</v>
          </cell>
          <cell r="D527">
            <v>60</v>
          </cell>
          <cell r="E527">
            <v>5.9</v>
          </cell>
          <cell r="F527" t="str">
            <v>B286</v>
          </cell>
          <cell r="G527">
            <v>100418</v>
          </cell>
          <cell r="H527" t="str">
            <v>FLOUR BAKER 
HARD WHT UNBLCH BULK</v>
          </cell>
          <cell r="I527">
            <v>3.44</v>
          </cell>
        </row>
        <row r="528">
          <cell r="A528">
            <v>78661</v>
          </cell>
          <cell r="B528" t="str">
            <v>Whole Grain 5" Deep Dish Cheese IW</v>
          </cell>
          <cell r="C528">
            <v>22.13</v>
          </cell>
          <cell r="D528">
            <v>60</v>
          </cell>
          <cell r="E528">
            <v>5.9</v>
          </cell>
          <cell r="F528" t="str">
            <v>B286</v>
          </cell>
          <cell r="G528">
            <v>100418</v>
          </cell>
          <cell r="H528" t="str">
            <v>FLOUR BAKER 
HARD WHT UNBLCH BULK</v>
          </cell>
          <cell r="I528">
            <v>3.44</v>
          </cell>
        </row>
        <row r="529">
          <cell r="A529">
            <v>78668</v>
          </cell>
          <cell r="B529" t="str">
            <v>Tony's Smart Pizza 3.2x5 100% Cheese</v>
          </cell>
          <cell r="C529">
            <v>30</v>
          </cell>
          <cell r="D529">
            <v>100</v>
          </cell>
          <cell r="E529">
            <v>4.8</v>
          </cell>
          <cell r="F529" t="str">
            <v>B286</v>
          </cell>
          <cell r="G529">
            <v>100418</v>
          </cell>
          <cell r="H529" t="str">
            <v>FLOUR BAKER 
HARD WHT UNBLCH BULK</v>
          </cell>
          <cell r="I529">
            <v>6.75</v>
          </cell>
        </row>
        <row r="530">
          <cell r="A530">
            <v>78669</v>
          </cell>
          <cell r="B530" t="str">
            <v>Tony's Smart Pizza 3.2x5 100% Pepp</v>
          </cell>
          <cell r="C530">
            <v>30</v>
          </cell>
          <cell r="D530">
            <v>100</v>
          </cell>
          <cell r="E530">
            <v>4.8</v>
          </cell>
          <cell r="F530" t="str">
            <v>B286</v>
          </cell>
          <cell r="G530">
            <v>100418</v>
          </cell>
          <cell r="H530" t="str">
            <v>FLOUR BAKER 
HARD WHT UNBLCH BULK</v>
          </cell>
          <cell r="I530">
            <v>3.26</v>
          </cell>
        </row>
        <row r="531">
          <cell r="A531">
            <v>78672</v>
          </cell>
          <cell r="B531" t="str">
            <v>4x6 Whole Grain 50/50 Sausage</v>
          </cell>
          <cell r="C531">
            <v>27.36</v>
          </cell>
          <cell r="D531">
            <v>96</v>
          </cell>
          <cell r="E531">
            <v>4.5599999999999996</v>
          </cell>
          <cell r="F531" t="str">
            <v>B286</v>
          </cell>
          <cell r="G531">
            <v>100418</v>
          </cell>
          <cell r="H531" t="str">
            <v>FLOUR BAKER 
HARD WHT UNBLCH BULK</v>
          </cell>
          <cell r="I531">
            <v>3.16</v>
          </cell>
        </row>
        <row r="532">
          <cell r="A532">
            <v>78673</v>
          </cell>
          <cell r="B532" t="str">
            <v>4x6 Whole Grain 50/50 Cheese</v>
          </cell>
          <cell r="C532">
            <v>27.6</v>
          </cell>
          <cell r="D532">
            <v>96</v>
          </cell>
          <cell r="E532">
            <v>4.5999999999999996</v>
          </cell>
          <cell r="F532" t="str">
            <v>B286</v>
          </cell>
          <cell r="G532">
            <v>100418</v>
          </cell>
          <cell r="H532" t="str">
            <v>FLOUR BAKER 
HARD WHT UNBLCH BULK</v>
          </cell>
          <cell r="I532">
            <v>6.3</v>
          </cell>
        </row>
        <row r="533">
          <cell r="A533">
            <v>78674</v>
          </cell>
          <cell r="B533" t="str">
            <v>4x6 Whole Grain 50/50 Pepp</v>
          </cell>
          <cell r="C533">
            <v>26.88</v>
          </cell>
          <cell r="D533">
            <v>96</v>
          </cell>
          <cell r="E533">
            <v>4.4800000000000004</v>
          </cell>
          <cell r="F533" t="str">
            <v>B286</v>
          </cell>
          <cell r="G533">
            <v>100418</v>
          </cell>
          <cell r="H533" t="str">
            <v>FLOUR BAKER 
HARD WHT UNBLCH BULK</v>
          </cell>
          <cell r="I533">
            <v>6.3</v>
          </cell>
        </row>
        <row r="534">
          <cell r="A534">
            <v>78675</v>
          </cell>
          <cell r="B534" t="str">
            <v>15" Bake to Rise Cheese Pizza</v>
          </cell>
          <cell r="C534">
            <v>30.68</v>
          </cell>
          <cell r="D534">
            <v>96</v>
          </cell>
          <cell r="E534">
            <v>5.1100000000000003</v>
          </cell>
          <cell r="F534" t="str">
            <v>B286</v>
          </cell>
          <cell r="G534">
            <v>100418</v>
          </cell>
          <cell r="H534" t="str">
            <v>FLOUR BAKER 
HARD WHT UNBLCH BULK</v>
          </cell>
          <cell r="I534">
            <v>11.61</v>
          </cell>
        </row>
        <row r="535">
          <cell r="A535">
            <v>78676</v>
          </cell>
          <cell r="B535" t="str">
            <v>15" Bake to Rise Pepp Pizza</v>
          </cell>
          <cell r="C535">
            <v>32.29</v>
          </cell>
          <cell r="D535">
            <v>96</v>
          </cell>
          <cell r="E535">
            <v>5.38</v>
          </cell>
          <cell r="F535" t="str">
            <v>B286</v>
          </cell>
          <cell r="G535">
            <v>100418</v>
          </cell>
          <cell r="H535" t="str">
            <v>FLOUR BAKER 
HARD WHT UNBLCH BULK</v>
          </cell>
          <cell r="I535">
            <v>11.61</v>
          </cell>
        </row>
        <row r="536">
          <cell r="A536">
            <v>78682</v>
          </cell>
          <cell r="B536" t="str">
            <v>Cheese Pizza Bagel (TR)</v>
          </cell>
          <cell r="C536">
            <v>18.3</v>
          </cell>
          <cell r="D536">
            <v>96</v>
          </cell>
          <cell r="E536">
            <v>3.05</v>
          </cell>
          <cell r="F536" t="str">
            <v>B286</v>
          </cell>
          <cell r="G536">
            <v>100418</v>
          </cell>
          <cell r="H536" t="str">
            <v>FLOUR BAKER 
HARD WHT UNBLCH BULK</v>
          </cell>
          <cell r="I536">
            <v>0</v>
          </cell>
        </row>
        <row r="537">
          <cell r="A537">
            <v>78684</v>
          </cell>
          <cell r="B537" t="str">
            <v>5" Deep Dish Whole Grain Cheese 50/50</v>
          </cell>
          <cell r="C537">
            <v>22.13</v>
          </cell>
          <cell r="D537">
            <v>60</v>
          </cell>
          <cell r="E537">
            <v>5.9</v>
          </cell>
          <cell r="F537" t="str">
            <v>B286</v>
          </cell>
          <cell r="G537">
            <v>100418</v>
          </cell>
          <cell r="H537" t="str">
            <v>FLOUR BAKER 
HARD WHT UNBLCH BULK</v>
          </cell>
          <cell r="I537">
            <v>3.44</v>
          </cell>
        </row>
        <row r="538">
          <cell r="A538">
            <v>78688</v>
          </cell>
          <cell r="B538" t="str">
            <v>Whole Grain 5" DD Cheese IW</v>
          </cell>
          <cell r="C538">
            <v>20.59</v>
          </cell>
          <cell r="D538">
            <v>60</v>
          </cell>
          <cell r="E538">
            <v>5.49</v>
          </cell>
          <cell r="F538" t="str">
            <v>B286</v>
          </cell>
          <cell r="G538">
            <v>100418</v>
          </cell>
          <cell r="H538" t="str">
            <v>FLOUR BAKER 
HARD WHT UNBLCH BULK</v>
          </cell>
          <cell r="I538">
            <v>2.64</v>
          </cell>
        </row>
        <row r="539">
          <cell r="A539">
            <v>78689</v>
          </cell>
          <cell r="B539" t="str">
            <v>Whole Grain 5" DD Pepperoni IW</v>
          </cell>
          <cell r="C539">
            <v>20.59</v>
          </cell>
          <cell r="D539">
            <v>60</v>
          </cell>
          <cell r="E539">
            <v>5.49</v>
          </cell>
          <cell r="F539" t="str">
            <v>B286</v>
          </cell>
          <cell r="G539">
            <v>100418</v>
          </cell>
          <cell r="H539" t="str">
            <v>FLOUR BAKER 
HARD WHT UNBLCH BULK</v>
          </cell>
          <cell r="I539">
            <v>2.64</v>
          </cell>
        </row>
        <row r="540">
          <cell r="A540">
            <v>78697</v>
          </cell>
          <cell r="B540" t="str">
            <v>4x6 Pizza with Whole
Grain Cheese 100% Mozz</v>
          </cell>
          <cell r="C540">
            <v>27</v>
          </cell>
          <cell r="D540">
            <v>96</v>
          </cell>
          <cell r="E540">
            <v>4.5</v>
          </cell>
          <cell r="F540" t="str">
            <v>B286</v>
          </cell>
          <cell r="G540">
            <v>100418</v>
          </cell>
          <cell r="H540" t="str">
            <v>FLOUR BAKER 
HARD WHT UNBLCH BULK</v>
          </cell>
          <cell r="I540">
            <v>6.3</v>
          </cell>
        </row>
        <row r="541">
          <cell r="A541">
            <v>78698</v>
          </cell>
          <cell r="B541" t="str">
            <v>4x6 with Whole
Grain Pepp 100% Mozz</v>
          </cell>
          <cell r="C541">
            <v>26.88</v>
          </cell>
          <cell r="D541">
            <v>96</v>
          </cell>
          <cell r="E541">
            <v>4.4800000000000004</v>
          </cell>
          <cell r="F541" t="str">
            <v>B286</v>
          </cell>
          <cell r="G541">
            <v>100418</v>
          </cell>
          <cell r="H541" t="str">
            <v>FLOUR BAKER 
HARD WHT UNBLCH BULK</v>
          </cell>
          <cell r="I541">
            <v>6.3</v>
          </cell>
        </row>
        <row r="542">
          <cell r="A542">
            <v>78699</v>
          </cell>
          <cell r="B542" t="str">
            <v>4x6 with Whole
Grain Sausage 100% Mozz</v>
          </cell>
          <cell r="C542">
            <v>27.36</v>
          </cell>
          <cell r="D542">
            <v>96</v>
          </cell>
          <cell r="E542">
            <v>4.5599999999999996</v>
          </cell>
          <cell r="F542" t="str">
            <v>B286</v>
          </cell>
          <cell r="G542">
            <v>100418</v>
          </cell>
          <cell r="H542" t="str">
            <v>FLOUR BAKER 
HARD WHT UNBLCH BULK</v>
          </cell>
          <cell r="I542">
            <v>3.16</v>
          </cell>
        </row>
        <row r="543">
          <cell r="A543">
            <v>78708</v>
          </cell>
          <cell r="B543" t="str">
            <v>Cheese French Bread Pizza</v>
          </cell>
          <cell r="C543">
            <v>25.35</v>
          </cell>
          <cell r="D543">
            <v>72</v>
          </cell>
          <cell r="E543">
            <v>5.63</v>
          </cell>
          <cell r="F543" t="str">
            <v>B286</v>
          </cell>
          <cell r="G543">
            <v>100418</v>
          </cell>
          <cell r="H543" t="str">
            <v>FLOUR BAKER 
HARD WHT UNBLCH BULK</v>
          </cell>
          <cell r="I543">
            <v>5.75</v>
          </cell>
        </row>
        <row r="544">
          <cell r="A544">
            <v>78709</v>
          </cell>
          <cell r="B544" t="str">
            <v>5" Pizza with Turkey Pepp</v>
          </cell>
          <cell r="C544">
            <v>19.05</v>
          </cell>
          <cell r="D544">
            <v>60</v>
          </cell>
          <cell r="E544">
            <v>5.08</v>
          </cell>
          <cell r="F544" t="str">
            <v>B286</v>
          </cell>
          <cell r="G544">
            <v>100418</v>
          </cell>
          <cell r="H544" t="str">
            <v>FLOUR BAKER 
HARD WHT UNBLCH BULK</v>
          </cell>
          <cell r="I544">
            <v>5.16</v>
          </cell>
        </row>
        <row r="545">
          <cell r="A545">
            <v>78710</v>
          </cell>
          <cell r="B545" t="str">
            <v>Tony's Turkey Sausage Breakfast Bagel 50/50 IW</v>
          </cell>
          <cell r="C545">
            <v>15.6</v>
          </cell>
          <cell r="D545">
            <v>96</v>
          </cell>
          <cell r="E545">
            <v>2.6</v>
          </cell>
          <cell r="F545" t="str">
            <v>B286</v>
          </cell>
          <cell r="G545">
            <v>100418</v>
          </cell>
          <cell r="H545" t="str">
            <v>FLOUR BAKER 
HARD WHT UNBLCH BULK</v>
          </cell>
          <cell r="I545">
            <v>0</v>
          </cell>
        </row>
        <row r="546">
          <cell r="A546">
            <v>78734</v>
          </cell>
          <cell r="B546" t="str">
            <v>4x6 Pepperoni Pizza (TR)</v>
          </cell>
          <cell r="C546">
            <v>30</v>
          </cell>
          <cell r="D546">
            <v>96</v>
          </cell>
          <cell r="E546">
            <v>5</v>
          </cell>
          <cell r="F546" t="str">
            <v>B286</v>
          </cell>
          <cell r="G546">
            <v>100418</v>
          </cell>
          <cell r="H546" t="str">
            <v>FLOUR BAKER 
HARD WHT UNBLCH BULK</v>
          </cell>
          <cell r="I546">
            <v>0</v>
          </cell>
        </row>
        <row r="547">
          <cell r="A547">
            <v>78770</v>
          </cell>
          <cell r="B547" t="str">
            <v>Breakfast Bagel Sausage (Turkey)</v>
          </cell>
          <cell r="C547">
            <v>15.6</v>
          </cell>
          <cell r="D547">
            <v>96</v>
          </cell>
          <cell r="E547">
            <v>2.6</v>
          </cell>
          <cell r="F547" t="str">
            <v>B286</v>
          </cell>
          <cell r="G547">
            <v>100418</v>
          </cell>
          <cell r="H547" t="str">
            <v>FLOUR BAKER 
HARD WHT UNBLCH BULK</v>
          </cell>
          <cell r="I547">
            <v>0</v>
          </cell>
        </row>
        <row r="548">
          <cell r="A548">
            <v>78771</v>
          </cell>
          <cell r="B548" t="str">
            <v>Tony's Whole Grain 4x6 Sausage 100%</v>
          </cell>
          <cell r="C548">
            <v>28.14</v>
          </cell>
          <cell r="D548">
            <v>96</v>
          </cell>
          <cell r="E548">
            <v>4.6900000000000004</v>
          </cell>
          <cell r="F548" t="str">
            <v>B286</v>
          </cell>
          <cell r="G548">
            <v>100418</v>
          </cell>
          <cell r="H548" t="str">
            <v>FLOUR BAKER 
HARD WHT UNBLCH BULK</v>
          </cell>
          <cell r="I548">
            <v>6.3</v>
          </cell>
        </row>
        <row r="549">
          <cell r="A549">
            <v>78783</v>
          </cell>
          <cell r="B549" t="str">
            <v>4x6 Cheese Stuffed Crust 
Cheese/Sub Cheese</v>
          </cell>
          <cell r="C549">
            <v>26.95</v>
          </cell>
          <cell r="D549">
            <v>80</v>
          </cell>
          <cell r="E549">
            <v>5.39</v>
          </cell>
          <cell r="F549" t="str">
            <v>B286</v>
          </cell>
          <cell r="G549">
            <v>100418</v>
          </cell>
          <cell r="H549" t="str">
            <v>FLOUR BAKER 
HARD WHT UNBLCH BULK</v>
          </cell>
          <cell r="I549">
            <v>7.01</v>
          </cell>
        </row>
        <row r="550">
          <cell r="A550">
            <v>78784</v>
          </cell>
          <cell r="B550" t="str">
            <v>4x6 Cheese Stuffed Crust Pepp</v>
          </cell>
          <cell r="C550">
            <v>26.45</v>
          </cell>
          <cell r="D550">
            <v>80</v>
          </cell>
          <cell r="E550">
            <v>5.29</v>
          </cell>
          <cell r="F550" t="str">
            <v>B286</v>
          </cell>
          <cell r="G550">
            <v>100418</v>
          </cell>
          <cell r="H550" t="str">
            <v>FLOUR BAKER 
HARD WHT UNBLCH BULK</v>
          </cell>
          <cell r="I550">
            <v>7.01</v>
          </cell>
        </row>
        <row r="551">
          <cell r="A551">
            <v>78794</v>
          </cell>
          <cell r="B551" t="str">
            <v>7" Cheese Stuffed Wedge Crust 
Cheese/Sub Cheese</v>
          </cell>
          <cell r="C551">
            <v>26.01</v>
          </cell>
          <cell r="D551">
            <v>72</v>
          </cell>
          <cell r="E551">
            <v>5.78</v>
          </cell>
          <cell r="F551" t="str">
            <v>B286</v>
          </cell>
          <cell r="G551">
            <v>100418</v>
          </cell>
          <cell r="H551" t="str">
            <v>FLOUR BAKER 
HARD WHT UNBLCH BULK</v>
          </cell>
          <cell r="I551">
            <v>7.39</v>
          </cell>
        </row>
        <row r="552">
          <cell r="A552">
            <v>78795</v>
          </cell>
          <cell r="B552" t="str">
            <v>7" Cheese Stuffed Wedge Crust Pepp</v>
          </cell>
          <cell r="C552">
            <v>26.9</v>
          </cell>
          <cell r="D552">
            <v>72</v>
          </cell>
          <cell r="E552">
            <v>5.98</v>
          </cell>
          <cell r="F552" t="str">
            <v>B286</v>
          </cell>
          <cell r="G552">
            <v>100418</v>
          </cell>
          <cell r="H552" t="str">
            <v>FLOUR BAKER 
HARD WHT UNBLCH BULK</v>
          </cell>
          <cell r="I552">
            <v>7.39</v>
          </cell>
        </row>
        <row r="553">
          <cell r="A553">
            <v>78803</v>
          </cell>
          <cell r="B553" t="str">
            <v>Tony's 5" Cheese Crispy Crust Pizza</v>
          </cell>
          <cell r="C553">
            <v>22.65</v>
          </cell>
          <cell r="D553">
            <v>80</v>
          </cell>
          <cell r="E553">
            <v>4.53</v>
          </cell>
          <cell r="F553" t="str">
            <v>B286</v>
          </cell>
          <cell r="G553">
            <v>100418</v>
          </cell>
          <cell r="H553" t="str">
            <v>FLOUR BAKER 
HARD WHT UNBLCH BULK</v>
          </cell>
          <cell r="I553">
            <v>5.51</v>
          </cell>
        </row>
        <row r="554">
          <cell r="A554">
            <v>78804</v>
          </cell>
          <cell r="B554" t="str">
            <v>Tony's 5" Pepp Crispy Crust Pizza</v>
          </cell>
          <cell r="C554">
            <v>22.6</v>
          </cell>
          <cell r="D554">
            <v>80</v>
          </cell>
          <cell r="E554">
            <v>4.5199999999999996</v>
          </cell>
          <cell r="F554" t="str">
            <v>B286</v>
          </cell>
          <cell r="G554">
            <v>100418</v>
          </cell>
          <cell r="H554" t="str">
            <v>FLOUR BAKER 
HARD WHT UNBLCH BULK</v>
          </cell>
          <cell r="I554">
            <v>5.51</v>
          </cell>
        </row>
        <row r="555">
          <cell r="A555">
            <v>78817</v>
          </cell>
          <cell r="B555" t="str">
            <v>4x6 Cheese Pizza IW 100% Mozz</v>
          </cell>
          <cell r="C555">
            <v>21.6</v>
          </cell>
          <cell r="D555">
            <v>72</v>
          </cell>
          <cell r="E555">
            <v>4.8</v>
          </cell>
          <cell r="F555" t="str">
            <v>B286</v>
          </cell>
          <cell r="G555">
            <v>100418</v>
          </cell>
          <cell r="H555" t="str">
            <v>FLOUR BAKER 
HARD WHT UNBLCH BULK</v>
          </cell>
          <cell r="I555">
            <v>5.59</v>
          </cell>
        </row>
        <row r="556">
          <cell r="A556">
            <v>78818</v>
          </cell>
          <cell r="B556" t="str">
            <v>4x6 Pepp Pizza IW 100% Mozz</v>
          </cell>
          <cell r="C556">
            <v>21.69</v>
          </cell>
          <cell r="D556">
            <v>72</v>
          </cell>
          <cell r="E556">
            <v>4.82</v>
          </cell>
          <cell r="F556" t="str">
            <v>B286</v>
          </cell>
          <cell r="G556">
            <v>100418</v>
          </cell>
          <cell r="H556" t="str">
            <v>FLOUR BAKER 
HARD WHT UNBLCH BULK</v>
          </cell>
          <cell r="I556">
            <v>7.45</v>
          </cell>
        </row>
        <row r="557">
          <cell r="A557">
            <v>78822</v>
          </cell>
          <cell r="B557" t="str">
            <v>Smart French Bread Sausage</v>
          </cell>
          <cell r="C557">
            <v>19.87</v>
          </cell>
          <cell r="D557">
            <v>60</v>
          </cell>
          <cell r="E557">
            <v>5.3</v>
          </cell>
          <cell r="F557" t="str">
            <v>B286</v>
          </cell>
          <cell r="G557">
            <v>100418</v>
          </cell>
          <cell r="H557" t="str">
            <v>FLOUR BAKER 
HARD WHT UNBLCH BULK</v>
          </cell>
          <cell r="I557">
            <v>2.2200000000000002</v>
          </cell>
        </row>
        <row r="558">
          <cell r="A558">
            <v>78862</v>
          </cell>
          <cell r="B558" t="str">
            <v>School Lunch Pepp Pizza Super Wedge</v>
          </cell>
          <cell r="C558">
            <v>28.8</v>
          </cell>
          <cell r="D558">
            <v>72</v>
          </cell>
          <cell r="E558">
            <v>6.4</v>
          </cell>
          <cell r="F558" t="str">
            <v>B286</v>
          </cell>
          <cell r="G558">
            <v>100418</v>
          </cell>
          <cell r="H558" t="str">
            <v>FLOUR BAKER 
HARD WHT UNBLCH BULK</v>
          </cell>
          <cell r="I558">
            <v>9.81</v>
          </cell>
        </row>
        <row r="559">
          <cell r="A559">
            <v>78868</v>
          </cell>
          <cell r="B559" t="str">
            <v>School Lunch 3 3/4" Cheese Bagel Piz</v>
          </cell>
          <cell r="C559">
            <v>16.2</v>
          </cell>
          <cell r="D559">
            <v>96</v>
          </cell>
          <cell r="E559">
            <v>2.7</v>
          </cell>
          <cell r="F559" t="str">
            <v>B286</v>
          </cell>
          <cell r="G559">
            <v>100418</v>
          </cell>
          <cell r="H559" t="str">
            <v>FLOUR BAKER 
HARD WHT UNBLCH BULK</v>
          </cell>
          <cell r="I559">
            <v>9.82</v>
          </cell>
        </row>
        <row r="560">
          <cell r="A560">
            <v>78869</v>
          </cell>
          <cell r="B560" t="str">
            <v>School Lunch 3.2x5 Bkfst Saus Crumble Piz</v>
          </cell>
          <cell r="C560">
            <v>19.13</v>
          </cell>
          <cell r="D560">
            <v>100</v>
          </cell>
          <cell r="E560">
            <v>3.06</v>
          </cell>
          <cell r="F560" t="str">
            <v>B286</v>
          </cell>
          <cell r="G560">
            <v>100418</v>
          </cell>
          <cell r="H560" t="str">
            <v>FLOUR BAKER 
HARD WHT UNBLCH BULK</v>
          </cell>
          <cell r="I560">
            <v>6.81</v>
          </cell>
        </row>
        <row r="561">
          <cell r="A561">
            <v>78870</v>
          </cell>
          <cell r="B561" t="str">
            <v>School Lunch Rounded Wedge Pepp</v>
          </cell>
          <cell r="C561">
            <v>28.8</v>
          </cell>
          <cell r="D561">
            <v>72</v>
          </cell>
          <cell r="E561">
            <v>6.4</v>
          </cell>
          <cell r="F561" t="str">
            <v>B286</v>
          </cell>
          <cell r="G561">
            <v>100418</v>
          </cell>
          <cell r="H561" t="str">
            <v>FLOUR BAKER 
HARD WHT UNBLCH BULK</v>
          </cell>
          <cell r="I561">
            <v>9.82</v>
          </cell>
        </row>
        <row r="562">
          <cell r="A562">
            <v>78906</v>
          </cell>
          <cell r="B562" t="str">
            <v>Classic Wedge with Whole Grain
50/50 Cheese</v>
          </cell>
          <cell r="C562">
            <v>24</v>
          </cell>
          <cell r="D562">
            <v>80</v>
          </cell>
          <cell r="E562">
            <v>4.8</v>
          </cell>
          <cell r="F562" t="str">
            <v>B286</v>
          </cell>
          <cell r="G562">
            <v>100418</v>
          </cell>
          <cell r="H562" t="str">
            <v>FLOUR BAKER 
HARD WHT UNBLCH BULK</v>
          </cell>
          <cell r="I562">
            <v>6.3</v>
          </cell>
        </row>
        <row r="563">
          <cell r="A563">
            <v>78907</v>
          </cell>
          <cell r="B563" t="str">
            <v>Classic Wedge with Whole Grain
 Pepp 50/50</v>
          </cell>
          <cell r="C563">
            <v>23.4</v>
          </cell>
          <cell r="D563">
            <v>80</v>
          </cell>
          <cell r="E563">
            <v>4.68</v>
          </cell>
          <cell r="F563" t="str">
            <v>B286</v>
          </cell>
          <cell r="G563">
            <v>100418</v>
          </cell>
          <cell r="H563" t="str">
            <v>FLOUR BAKER 
HARD WHT UNBLCH BULK</v>
          </cell>
          <cell r="I563">
            <v>6.3</v>
          </cell>
        </row>
        <row r="564">
          <cell r="A564">
            <v>78908</v>
          </cell>
          <cell r="B564" t="str">
            <v>Tony's Smart Wedge Sausage</v>
          </cell>
          <cell r="C564">
            <v>23.8</v>
          </cell>
          <cell r="D564">
            <v>80</v>
          </cell>
          <cell r="E564">
            <v>4.76</v>
          </cell>
          <cell r="F564" t="str">
            <v>B286</v>
          </cell>
          <cell r="G564">
            <v>100418</v>
          </cell>
          <cell r="H564" t="str">
            <v>FLOUR BAKER 
HARD WHT UNBLCH BULK</v>
          </cell>
          <cell r="I564">
            <v>5.59</v>
          </cell>
        </row>
        <row r="565">
          <cell r="A565">
            <v>78909</v>
          </cell>
          <cell r="B565" t="str">
            <v>Classic Wedge with Whole Grain Cheese</v>
          </cell>
          <cell r="C565">
            <v>23.5</v>
          </cell>
          <cell r="D565">
            <v>80</v>
          </cell>
          <cell r="E565">
            <v>4.7</v>
          </cell>
          <cell r="F565" t="str">
            <v>B286</v>
          </cell>
          <cell r="G565">
            <v>100418</v>
          </cell>
          <cell r="H565" t="str">
            <v>FLOUR BAKER 
HARD WHT UNBLCH BULK</v>
          </cell>
          <cell r="I565">
            <v>6.3</v>
          </cell>
        </row>
        <row r="566">
          <cell r="A566">
            <v>78910</v>
          </cell>
          <cell r="B566" t="str">
            <v>Classic Wedge with Whole Grain Pepp</v>
          </cell>
          <cell r="C566">
            <v>23.4</v>
          </cell>
          <cell r="D566">
            <v>80</v>
          </cell>
          <cell r="E566">
            <v>4.68</v>
          </cell>
          <cell r="F566" t="str">
            <v>B286</v>
          </cell>
          <cell r="G566">
            <v>100418</v>
          </cell>
          <cell r="H566" t="str">
            <v>FLOUR BAKER 
HARD WHT UNBLCH BULK</v>
          </cell>
          <cell r="I566">
            <v>6.3</v>
          </cell>
        </row>
        <row r="567">
          <cell r="A567">
            <v>78913</v>
          </cell>
          <cell r="B567" t="str">
            <v>Freschetta Flatz  3 Meat Italian</v>
          </cell>
          <cell r="C567">
            <v>13.68</v>
          </cell>
          <cell r="D567">
            <v>48</v>
          </cell>
          <cell r="E567">
            <v>4.5599999999999996</v>
          </cell>
          <cell r="F567" t="str">
            <v>B286</v>
          </cell>
          <cell r="G567">
            <v>100418</v>
          </cell>
          <cell r="H567" t="str">
            <v>FLOUR BAKER 
HARD WHT UNBLCH BULK</v>
          </cell>
          <cell r="I567">
            <v>3.66</v>
          </cell>
        </row>
        <row r="568">
          <cell r="A568">
            <v>78914</v>
          </cell>
          <cell r="B568" t="str">
            <v>Freschetta Flatz  Buffalo Chicken</v>
          </cell>
          <cell r="C568">
            <v>13.65</v>
          </cell>
          <cell r="D568">
            <v>48</v>
          </cell>
          <cell r="E568">
            <v>4.55</v>
          </cell>
          <cell r="F568" t="str">
            <v>B286</v>
          </cell>
          <cell r="G568">
            <v>100418</v>
          </cell>
          <cell r="H568" t="str">
            <v>FLOUR BAKER 
HARD WHT UNBLCH BULK</v>
          </cell>
          <cell r="I568">
            <v>3.66</v>
          </cell>
        </row>
        <row r="569">
          <cell r="A569">
            <v>78917</v>
          </cell>
          <cell r="B569" t="str">
            <v>Big Daddy's 16" Harvest Rolled Edge Cheese</v>
          </cell>
          <cell r="C569">
            <v>25.88</v>
          </cell>
          <cell r="D569">
            <v>72</v>
          </cell>
          <cell r="E569">
            <v>5.75</v>
          </cell>
          <cell r="F569" t="str">
            <v>B286</v>
          </cell>
          <cell r="G569">
            <v>100418</v>
          </cell>
          <cell r="H569" t="str">
            <v>FLOUR BAKER 
HARD WHT UNBLCH BULK</v>
          </cell>
          <cell r="I569">
            <v>8.35</v>
          </cell>
        </row>
        <row r="570">
          <cell r="A570">
            <v>78918</v>
          </cell>
          <cell r="B570" t="str">
            <v>Big Daddy's 16" Harvest Rolled Edge Pepp</v>
          </cell>
          <cell r="C570">
            <v>25.88</v>
          </cell>
          <cell r="D570">
            <v>72</v>
          </cell>
          <cell r="E570">
            <v>5.75</v>
          </cell>
          <cell r="F570" t="str">
            <v>B286</v>
          </cell>
          <cell r="G570">
            <v>100418</v>
          </cell>
          <cell r="H570" t="str">
            <v>FLOUR BAKER 
HARD WHT UNBLCH BULK</v>
          </cell>
          <cell r="I570">
            <v>8.35</v>
          </cell>
        </row>
        <row r="571">
          <cell r="A571">
            <v>78922</v>
          </cell>
          <cell r="B571" t="str">
            <v>Big Daddy's Whole Grain Cheese Pizza</v>
          </cell>
          <cell r="C571">
            <v>26.72</v>
          </cell>
          <cell r="D571">
            <v>90</v>
          </cell>
          <cell r="E571">
            <v>4.75</v>
          </cell>
          <cell r="F571" t="str">
            <v>B286</v>
          </cell>
          <cell r="G571">
            <v>100418</v>
          </cell>
          <cell r="H571" t="str">
            <v>FLOUR BAKER 
HARD WHT UNBLCH BULK</v>
          </cell>
          <cell r="I571">
            <v>7.87</v>
          </cell>
        </row>
        <row r="572">
          <cell r="A572">
            <v>78926</v>
          </cell>
          <cell r="B572" t="str">
            <v>Big Daddy's Whole Grain Cheese Pizza</v>
          </cell>
          <cell r="C572">
            <v>24.65</v>
          </cell>
          <cell r="D572">
            <v>72</v>
          </cell>
          <cell r="E572">
            <v>5.48</v>
          </cell>
          <cell r="F572" t="str">
            <v>B286</v>
          </cell>
          <cell r="G572">
            <v>100418</v>
          </cell>
          <cell r="H572" t="str">
            <v>FLOUR BAKER 
HARD WHT UNBLCH BULK</v>
          </cell>
          <cell r="I572">
            <v>6.55</v>
          </cell>
        </row>
        <row r="573">
          <cell r="A573">
            <v>78927</v>
          </cell>
          <cell r="B573" t="str">
            <v>Big Daddy's Whole Grain Pepperoni Pizza</v>
          </cell>
          <cell r="C573">
            <v>24.7</v>
          </cell>
          <cell r="D573">
            <v>72</v>
          </cell>
          <cell r="E573">
            <v>5.49</v>
          </cell>
          <cell r="F573" t="str">
            <v>B286</v>
          </cell>
          <cell r="G573">
            <v>100418</v>
          </cell>
          <cell r="H573" t="str">
            <v>FLOUR BAKER 
HARD WHT UNBLCH BULK</v>
          </cell>
          <cell r="I573">
            <v>6.55</v>
          </cell>
        </row>
        <row r="574">
          <cell r="A574">
            <v>78939</v>
          </cell>
          <cell r="B574" t="str">
            <v>Sodexo 16" 51% WG Cheese Pizza</v>
          </cell>
          <cell r="C574">
            <v>26.44</v>
          </cell>
          <cell r="D574">
            <v>90</v>
          </cell>
          <cell r="E574">
            <v>4.7</v>
          </cell>
          <cell r="F574" t="str">
            <v>B286</v>
          </cell>
          <cell r="G574">
            <v>100418</v>
          </cell>
          <cell r="H574" t="str">
            <v>FLOUR BAKER 
HARD WHT UNBLCH BULK</v>
          </cell>
          <cell r="I574">
            <v>8.4</v>
          </cell>
        </row>
        <row r="575">
          <cell r="A575">
            <v>78942</v>
          </cell>
          <cell r="B575" t="str">
            <v>Big Daddy's 16" Harvest Rolled Edge Cheese</v>
          </cell>
          <cell r="C575">
            <v>25.88</v>
          </cell>
          <cell r="D575">
            <v>90</v>
          </cell>
          <cell r="E575">
            <v>4.5999999999999996</v>
          </cell>
          <cell r="F575" t="str">
            <v>B286</v>
          </cell>
          <cell r="G575">
            <v>100418</v>
          </cell>
          <cell r="H575" t="str">
            <v>FLOUR BAKER 
HARD WHT UNBLCH BULK</v>
          </cell>
          <cell r="I575">
            <v>8.35</v>
          </cell>
        </row>
        <row r="576">
          <cell r="A576">
            <v>78943</v>
          </cell>
          <cell r="B576" t="str">
            <v>Big Daddy's 16" Harvest Rolled Edge Pepp</v>
          </cell>
          <cell r="C576">
            <v>25.88</v>
          </cell>
          <cell r="D576">
            <v>90</v>
          </cell>
          <cell r="E576">
            <v>4.5999999999999996</v>
          </cell>
          <cell r="F576" t="str">
            <v>B286</v>
          </cell>
          <cell r="G576">
            <v>100418</v>
          </cell>
          <cell r="H576" t="str">
            <v>FLOUR BAKER 
HARD WHT UNBLCH BULK</v>
          </cell>
          <cell r="I576">
            <v>8.35</v>
          </cell>
        </row>
        <row r="577">
          <cell r="A577">
            <v>78944</v>
          </cell>
          <cell r="B577" t="str">
            <v>Big Daddy's 16" Harvest Rolled Edge Cheese</v>
          </cell>
          <cell r="C577">
            <v>25.88</v>
          </cell>
          <cell r="D577">
            <v>90</v>
          </cell>
          <cell r="E577">
            <v>4.5999999999999996</v>
          </cell>
          <cell r="F577" t="str">
            <v>B286</v>
          </cell>
          <cell r="G577">
            <v>100418</v>
          </cell>
          <cell r="H577" t="str">
            <v>FLOUR BAKER 
HARD WHT UNBLCH BULK</v>
          </cell>
          <cell r="I577">
            <v>8.35</v>
          </cell>
        </row>
        <row r="578">
          <cell r="A578">
            <v>78945</v>
          </cell>
          <cell r="B578" t="str">
            <v>Big Daddy's 16" Harvest Rolled Edge Pepp</v>
          </cell>
          <cell r="C578">
            <v>25.88</v>
          </cell>
          <cell r="D578">
            <v>90</v>
          </cell>
          <cell r="E578">
            <v>4.5999999999999996</v>
          </cell>
          <cell r="F578" t="str">
            <v>B286</v>
          </cell>
          <cell r="G578">
            <v>100418</v>
          </cell>
          <cell r="H578" t="str">
            <v>FLOUR BAKER 
HARD WHT UNBLCH BULK</v>
          </cell>
          <cell r="I578">
            <v>8.35</v>
          </cell>
        </row>
        <row r="579">
          <cell r="A579">
            <v>78948</v>
          </cell>
          <cell r="B579" t="str">
            <v>French Bread Pepp</v>
          </cell>
          <cell r="C579">
            <v>18.75</v>
          </cell>
          <cell r="D579">
            <v>60</v>
          </cell>
          <cell r="E579">
            <v>5</v>
          </cell>
          <cell r="F579" t="str">
            <v>B286</v>
          </cell>
          <cell r="G579">
            <v>100418</v>
          </cell>
          <cell r="H579" t="str">
            <v>FLOUR BAKER 
HARD WHT UNBLCH BULK</v>
          </cell>
          <cell r="I579">
            <v>5.37</v>
          </cell>
        </row>
        <row r="580">
          <cell r="A580">
            <v>78951</v>
          </cell>
          <cell r="B580" t="str">
            <v>Cheese Pizza Bagel I.W.</v>
          </cell>
          <cell r="C580">
            <v>28.61</v>
          </cell>
          <cell r="D580">
            <v>84</v>
          </cell>
          <cell r="E580">
            <v>5.45</v>
          </cell>
          <cell r="F580" t="str">
            <v>B286</v>
          </cell>
          <cell r="G580">
            <v>100418</v>
          </cell>
          <cell r="H580" t="str">
            <v>FLOUR BAKER 
HARD WHT UNBLCH BULK</v>
          </cell>
          <cell r="I580">
            <v>0.94</v>
          </cell>
        </row>
        <row r="581">
          <cell r="A581">
            <v>78952</v>
          </cell>
          <cell r="B581" t="str">
            <v>Cheese Pizza Bagel I.W.</v>
          </cell>
          <cell r="C581">
            <v>28.61</v>
          </cell>
          <cell r="D581">
            <v>84</v>
          </cell>
          <cell r="E581">
            <v>5.45</v>
          </cell>
          <cell r="F581" t="str">
            <v>B286</v>
          </cell>
          <cell r="G581">
            <v>100418</v>
          </cell>
          <cell r="H581" t="str">
            <v>FLOUR BAKER 
HARD WHT UNBLCH BULK</v>
          </cell>
          <cell r="I581">
            <v>0.94</v>
          </cell>
        </row>
        <row r="582">
          <cell r="A582">
            <v>78955</v>
          </cell>
          <cell r="B582" t="str">
            <v>French Bread Cheese Pizza</v>
          </cell>
          <cell r="C582">
            <v>18.75</v>
          </cell>
          <cell r="D582">
            <v>60</v>
          </cell>
          <cell r="E582">
            <v>5</v>
          </cell>
          <cell r="F582" t="str">
            <v>B286</v>
          </cell>
          <cell r="G582">
            <v>100418</v>
          </cell>
          <cell r="H582" t="str">
            <v>FLOUR BAKER 
HARD WHT UNBLCH BULK</v>
          </cell>
          <cell r="I582">
            <v>5.37</v>
          </cell>
        </row>
        <row r="583">
          <cell r="A583">
            <v>78956</v>
          </cell>
          <cell r="B583" t="str">
            <v>French Bread Cheese Pizza I.W.</v>
          </cell>
          <cell r="C583">
            <v>18.75</v>
          </cell>
          <cell r="D583">
            <v>60</v>
          </cell>
          <cell r="E583">
            <v>5</v>
          </cell>
          <cell r="F583" t="str">
            <v>B286</v>
          </cell>
          <cell r="G583">
            <v>100418</v>
          </cell>
          <cell r="H583" t="str">
            <v>FLOUR BAKER 
HARD WHT UNBLCH BULK</v>
          </cell>
          <cell r="I583">
            <v>5.37</v>
          </cell>
        </row>
        <row r="584">
          <cell r="A584">
            <v>78964</v>
          </cell>
          <cell r="B584" t="str">
            <v>Breakfast Sausage Crumble Pizza I.W.</v>
          </cell>
          <cell r="C584">
            <v>19.440000000000001</v>
          </cell>
          <cell r="D584">
            <v>100</v>
          </cell>
          <cell r="E584">
            <v>3.11</v>
          </cell>
          <cell r="F584" t="str">
            <v>B286</v>
          </cell>
          <cell r="G584">
            <v>100418</v>
          </cell>
          <cell r="H584" t="str">
            <v>FLOUR BAKER 
HARD WHT UNBLCH BULK</v>
          </cell>
          <cell r="I584">
            <v>6.95</v>
          </cell>
        </row>
        <row r="585">
          <cell r="A585">
            <v>78965</v>
          </cell>
          <cell r="B585" t="str">
            <v>Breakfast Sausage Crumble Pizza</v>
          </cell>
          <cell r="C585">
            <v>19.440000000000001</v>
          </cell>
          <cell r="D585">
            <v>100</v>
          </cell>
          <cell r="E585">
            <v>3.11</v>
          </cell>
          <cell r="F585" t="str">
            <v>B286</v>
          </cell>
          <cell r="G585">
            <v>100418</v>
          </cell>
          <cell r="H585" t="str">
            <v>FLOUR BAKER 
HARD WHT UNBLCH BULK</v>
          </cell>
          <cell r="I585">
            <v>6.95</v>
          </cell>
        </row>
        <row r="586">
          <cell r="A586">
            <v>78972</v>
          </cell>
          <cell r="B586" t="str">
            <v>Lunch Pepperoni Pizza Bagel</v>
          </cell>
          <cell r="C586">
            <v>28.61</v>
          </cell>
          <cell r="D586">
            <v>84</v>
          </cell>
          <cell r="E586">
            <v>5.45</v>
          </cell>
          <cell r="F586" t="str">
            <v>B286</v>
          </cell>
          <cell r="G586">
            <v>100418</v>
          </cell>
          <cell r="H586" t="str">
            <v>FLOUR BAKER 
HARD WHT UNBLCH BULK</v>
          </cell>
          <cell r="I586">
            <v>0.94</v>
          </cell>
        </row>
        <row r="587">
          <cell r="A587">
            <v>78973</v>
          </cell>
          <cell r="B587" t="str">
            <v>Lunch Pepperoni Pizza Bagel I.W.</v>
          </cell>
          <cell r="C587">
            <v>28.61</v>
          </cell>
          <cell r="D587">
            <v>84</v>
          </cell>
          <cell r="E587">
            <v>5.45</v>
          </cell>
          <cell r="F587" t="str">
            <v>B286</v>
          </cell>
          <cell r="G587">
            <v>100418</v>
          </cell>
          <cell r="H587" t="str">
            <v>FLOUR BAKER 
HARD WHT UNBLCH BULK</v>
          </cell>
          <cell r="I587">
            <v>0.94</v>
          </cell>
        </row>
        <row r="588">
          <cell r="A588">
            <v>78976</v>
          </cell>
          <cell r="B588" t="str">
            <v>School Lunch 3 3/4" Bkfst Bagel</v>
          </cell>
          <cell r="C588">
            <v>18.66</v>
          </cell>
          <cell r="D588">
            <v>96</v>
          </cell>
          <cell r="E588">
            <v>3.11</v>
          </cell>
          <cell r="F588" t="str">
            <v>B286</v>
          </cell>
          <cell r="G588">
            <v>100418</v>
          </cell>
          <cell r="H588" t="str">
            <v>FLOUR BAKER 
HARD WHT UNBLCH BULK</v>
          </cell>
          <cell r="I588">
            <v>4.68</v>
          </cell>
        </row>
        <row r="589">
          <cell r="A589">
            <v>78977</v>
          </cell>
          <cell r="B589" t="str">
            <v>Breakfast Bagel I.W.</v>
          </cell>
          <cell r="C589">
            <v>18.66</v>
          </cell>
          <cell r="D589">
            <v>96</v>
          </cell>
          <cell r="E589">
            <v>3.11</v>
          </cell>
          <cell r="F589" t="str">
            <v>B286</v>
          </cell>
          <cell r="G589">
            <v>100418</v>
          </cell>
          <cell r="H589" t="str">
            <v>FLOUR BAKER 
HARD WHT UNBLCH BULK</v>
          </cell>
          <cell r="I589">
            <v>6.44</v>
          </cell>
        </row>
        <row r="590">
          <cell r="A590">
            <v>78985</v>
          </cell>
          <cell r="B590" t="str">
            <v>Big Daddy's Bold Cheese</v>
          </cell>
          <cell r="C590">
            <v>25.05</v>
          </cell>
          <cell r="D590">
            <v>72</v>
          </cell>
          <cell r="E590">
            <v>5.57</v>
          </cell>
          <cell r="F590" t="str">
            <v>B286</v>
          </cell>
          <cell r="G590">
            <v>100418</v>
          </cell>
          <cell r="H590" t="str">
            <v>FLOUR BAKER 
HARD WHT UNBLCH BULK</v>
          </cell>
          <cell r="I590">
            <v>6.62</v>
          </cell>
        </row>
        <row r="591">
          <cell r="A591">
            <v>78986</v>
          </cell>
          <cell r="B591" t="str">
            <v>Big Daddy's Bold Pepp</v>
          </cell>
          <cell r="C591">
            <v>25.05</v>
          </cell>
          <cell r="D591">
            <v>72</v>
          </cell>
          <cell r="E591">
            <v>5.57</v>
          </cell>
          <cell r="F591" t="str">
            <v>B286</v>
          </cell>
          <cell r="G591">
            <v>100418</v>
          </cell>
          <cell r="H591" t="str">
            <v>FLOUR BAKER 
HARD WHT UNBLCH BULK</v>
          </cell>
          <cell r="I591">
            <v>6.62</v>
          </cell>
        </row>
        <row r="592">
          <cell r="A592">
            <v>78987</v>
          </cell>
          <cell r="B592" t="str">
            <v>Big Daddy's Bold Cheese Pre-Sliced</v>
          </cell>
          <cell r="C592">
            <v>25.05</v>
          </cell>
          <cell r="D592">
            <v>90</v>
          </cell>
          <cell r="E592">
            <v>4.45</v>
          </cell>
          <cell r="F592" t="str">
            <v>B286</v>
          </cell>
          <cell r="G592">
            <v>100418</v>
          </cell>
          <cell r="H592" t="str">
            <v>FLOUR BAKER 
HARD WHT UNBLCH BULK</v>
          </cell>
          <cell r="I592">
            <v>6.62</v>
          </cell>
        </row>
        <row r="593">
          <cell r="A593">
            <v>78992</v>
          </cell>
          <cell r="B593" t="str">
            <v>Big Daddy's 51% WG Cheese Cheese Pizza Presliced</v>
          </cell>
          <cell r="C593">
            <v>24.37</v>
          </cell>
          <cell r="D593">
            <v>90</v>
          </cell>
          <cell r="E593">
            <v>4.33</v>
          </cell>
          <cell r="F593" t="str">
            <v>B286</v>
          </cell>
          <cell r="G593">
            <v>100418</v>
          </cell>
          <cell r="H593" t="str">
            <v>FLOUR BAKER 
HARD WHT UNBLCH BULK</v>
          </cell>
          <cell r="I593">
            <v>6.52</v>
          </cell>
        </row>
        <row r="594">
          <cell r="A594">
            <v>78993</v>
          </cell>
          <cell r="B594" t="str">
            <v>Big Daddy's 51% WG Pepp Pizza Presliced</v>
          </cell>
          <cell r="C594">
            <v>24.37</v>
          </cell>
          <cell r="D594">
            <v>90</v>
          </cell>
          <cell r="E594">
            <v>4.33</v>
          </cell>
          <cell r="F594" t="str">
            <v>B286</v>
          </cell>
          <cell r="G594">
            <v>100418</v>
          </cell>
          <cell r="H594" t="str">
            <v>FLOUR BAKER 
HARD WHT UNBLCH BULK</v>
          </cell>
          <cell r="I594">
            <v>6.52</v>
          </cell>
        </row>
        <row r="595">
          <cell r="A595">
            <v>78995</v>
          </cell>
          <cell r="B595" t="str">
            <v>Big Daddy's Cheese Flatbread Sandwich</v>
          </cell>
          <cell r="C595">
            <v>18.045000000000002</v>
          </cell>
          <cell r="D595">
            <v>72</v>
          </cell>
          <cell r="E595">
            <v>4.01</v>
          </cell>
          <cell r="F595" t="str">
            <v>B286</v>
          </cell>
          <cell r="G595">
            <v>100418</v>
          </cell>
          <cell r="H595" t="str">
            <v>FLOUR BAKER 
HARD WHT UNBLCH BULK</v>
          </cell>
          <cell r="I595">
            <v>4.8499999999999996</v>
          </cell>
        </row>
        <row r="596">
          <cell r="A596">
            <v>78996</v>
          </cell>
          <cell r="B596" t="str">
            <v>Big Daddy's Southwest Chicken Flatbread Sandwich</v>
          </cell>
          <cell r="C596">
            <v>19.079999999999998</v>
          </cell>
          <cell r="D596">
            <v>72</v>
          </cell>
          <cell r="E596">
            <v>4.24</v>
          </cell>
          <cell r="F596" t="str">
            <v>B286</v>
          </cell>
          <cell r="G596">
            <v>100418</v>
          </cell>
          <cell r="H596" t="str">
            <v>FLOUR BAKER 
HARD WHT UNBLCH BULK</v>
          </cell>
          <cell r="I596">
            <v>4.8499999999999996</v>
          </cell>
        </row>
        <row r="597">
          <cell r="A597">
            <v>78997</v>
          </cell>
          <cell r="B597" t="str">
            <v>Big Daddy's BBQ Chicken Flatbread Sandwich</v>
          </cell>
          <cell r="C597">
            <v>18.27</v>
          </cell>
          <cell r="D597">
            <v>72</v>
          </cell>
          <cell r="E597">
            <v>4.0599999999999996</v>
          </cell>
          <cell r="F597" t="str">
            <v>B286</v>
          </cell>
          <cell r="G597">
            <v>100418</v>
          </cell>
          <cell r="H597" t="str">
            <v>FLOUR BAKER 
HARD WHT UNBLCH BULK</v>
          </cell>
          <cell r="I597">
            <v>4.8499999999999996</v>
          </cell>
        </row>
        <row r="598">
          <cell r="A598">
            <v>78998</v>
          </cell>
          <cell r="B598" t="str">
            <v>Big Daddy's Bold Pepperoni Pre-Sliced 10 Cut</v>
          </cell>
          <cell r="C598">
            <v>25.19</v>
          </cell>
          <cell r="D598">
            <v>90</v>
          </cell>
          <cell r="E598">
            <v>4.4800000000000004</v>
          </cell>
          <cell r="F598" t="str">
            <v>B286</v>
          </cell>
          <cell r="G598">
            <v>100418</v>
          </cell>
          <cell r="H598" t="str">
            <v>FLOUR BAKER 
HARD WHT UNBLCH BULK</v>
          </cell>
          <cell r="I598">
            <v>6.62</v>
          </cell>
        </row>
        <row r="599">
          <cell r="A599">
            <v>88005</v>
          </cell>
          <cell r="B599" t="str">
            <v>Chicken Quesadilla</v>
          </cell>
          <cell r="C599">
            <v>26.4</v>
          </cell>
          <cell r="D599">
            <v>96</v>
          </cell>
          <cell r="E599">
            <v>4.4000000000000004</v>
          </cell>
          <cell r="F599" t="str">
            <v>B286</v>
          </cell>
          <cell r="G599">
            <v>100418</v>
          </cell>
          <cell r="H599" t="str">
            <v>FLOUR BAKER 
HARD WHT UNBLCH BULK</v>
          </cell>
          <cell r="I599">
            <v>7.18</v>
          </cell>
        </row>
        <row r="600">
          <cell r="A600">
            <v>88007</v>
          </cell>
          <cell r="B600" t="str">
            <v>Cheese Quesadilla</v>
          </cell>
          <cell r="C600">
            <v>26.4</v>
          </cell>
          <cell r="D600">
            <v>96</v>
          </cell>
          <cell r="E600">
            <v>4.4000000000000004</v>
          </cell>
          <cell r="F600" t="str">
            <v>B286</v>
          </cell>
          <cell r="G600">
            <v>100418</v>
          </cell>
          <cell r="H600" t="str">
            <v>FLOUR BAKER 
HARD WHT UNBLCH BULK</v>
          </cell>
          <cell r="I600">
            <v>7.18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Lewis@wolffgroupinc.com" TargetMode="External"/><Relationship Id="rId18" Type="http://schemas.openxmlformats.org/officeDocument/2006/relationships/hyperlink" Target="mailto:SLewis@wolffgroupinc.com" TargetMode="External"/><Relationship Id="rId26" Type="http://schemas.openxmlformats.org/officeDocument/2006/relationships/hyperlink" Target="mailto:Kelly.obrien@hockenberg.net" TargetMode="External"/><Relationship Id="rId39" Type="http://schemas.openxmlformats.org/officeDocument/2006/relationships/hyperlink" Target="mailto:Lnorton@efsfood.com" TargetMode="External"/><Relationship Id="rId21" Type="http://schemas.openxmlformats.org/officeDocument/2006/relationships/hyperlink" Target="mailto:Kelly.obrien@hockenberg.net" TargetMode="External"/><Relationship Id="rId34" Type="http://schemas.openxmlformats.org/officeDocument/2006/relationships/hyperlink" Target="mailto:Lnorton@efsfood.com" TargetMode="External"/><Relationship Id="rId42" Type="http://schemas.openxmlformats.org/officeDocument/2006/relationships/hyperlink" Target="mailto:Lnorton@efsfood.com" TargetMode="External"/><Relationship Id="rId47" Type="http://schemas.openxmlformats.org/officeDocument/2006/relationships/hyperlink" Target="mailto:Lnorton@efsfood.com" TargetMode="External"/><Relationship Id="rId50" Type="http://schemas.openxmlformats.org/officeDocument/2006/relationships/hyperlink" Target="mailto:Kelly.obrien@hockenberg.net" TargetMode="External"/><Relationship Id="rId55" Type="http://schemas.openxmlformats.org/officeDocument/2006/relationships/hyperlink" Target="mailto:Lnorton@efsfood.com" TargetMode="External"/><Relationship Id="rId63" Type="http://schemas.openxmlformats.org/officeDocument/2006/relationships/hyperlink" Target="mailto:Bwick@fmserv.com" TargetMode="External"/><Relationship Id="rId68" Type="http://schemas.openxmlformats.org/officeDocument/2006/relationships/hyperlink" Target="mailto:Kelly.obrien@hockenberg.net" TargetMode="External"/><Relationship Id="rId7" Type="http://schemas.openxmlformats.org/officeDocument/2006/relationships/hyperlink" Target="mailto:Gary.Bornmueller@asmwaypoint.com" TargetMode="External"/><Relationship Id="rId71" Type="http://schemas.openxmlformats.org/officeDocument/2006/relationships/hyperlink" Target="mailto:Lnorton@efsfood.com" TargetMode="External"/><Relationship Id="rId2" Type="http://schemas.openxmlformats.org/officeDocument/2006/relationships/hyperlink" Target="mailto:Gary.Bornmueller@asmwaypoint.com" TargetMode="External"/><Relationship Id="rId16" Type="http://schemas.openxmlformats.org/officeDocument/2006/relationships/hyperlink" Target="mailto:SLewis@wolffgroupinc.com" TargetMode="External"/><Relationship Id="rId29" Type="http://schemas.openxmlformats.org/officeDocument/2006/relationships/hyperlink" Target="mailto:Lnorton@efsfood.com" TargetMode="External"/><Relationship Id="rId11" Type="http://schemas.openxmlformats.org/officeDocument/2006/relationships/hyperlink" Target="mailto:Gary.Bornmueller@asmwaypoint.com" TargetMode="External"/><Relationship Id="rId24" Type="http://schemas.openxmlformats.org/officeDocument/2006/relationships/hyperlink" Target="mailto:Kelly.obrien@hockenberg.net" TargetMode="External"/><Relationship Id="rId32" Type="http://schemas.openxmlformats.org/officeDocument/2006/relationships/hyperlink" Target="mailto:Lnorton@efsfood.com" TargetMode="External"/><Relationship Id="rId37" Type="http://schemas.openxmlformats.org/officeDocument/2006/relationships/hyperlink" Target="mailto:Lnorton@efsfood.com" TargetMode="External"/><Relationship Id="rId40" Type="http://schemas.openxmlformats.org/officeDocument/2006/relationships/hyperlink" Target="mailto:Lnorton@efsfood.com" TargetMode="External"/><Relationship Id="rId45" Type="http://schemas.openxmlformats.org/officeDocument/2006/relationships/hyperlink" Target="mailto:jkurth@gmvfoodmarketing.com" TargetMode="External"/><Relationship Id="rId53" Type="http://schemas.openxmlformats.org/officeDocument/2006/relationships/hyperlink" Target="mailto:Lnorton@efsfood.com" TargetMode="External"/><Relationship Id="rId58" Type="http://schemas.openxmlformats.org/officeDocument/2006/relationships/hyperlink" Target="mailto:wbrackett@cafefavorites.com" TargetMode="External"/><Relationship Id="rId66" Type="http://schemas.openxmlformats.org/officeDocument/2006/relationships/hyperlink" Target="mailto:dsaverino@redgold.com" TargetMode="External"/><Relationship Id="rId74" Type="http://schemas.openxmlformats.org/officeDocument/2006/relationships/vmlDrawing" Target="../drawings/vmlDrawing1.vml"/><Relationship Id="rId5" Type="http://schemas.openxmlformats.org/officeDocument/2006/relationships/hyperlink" Target="mailto:Gary.Bornmueller@asmwaypoint.com" TargetMode="External"/><Relationship Id="rId15" Type="http://schemas.openxmlformats.org/officeDocument/2006/relationships/hyperlink" Target="mailto:SLewis@wolffgroupinc.com" TargetMode="External"/><Relationship Id="rId23" Type="http://schemas.openxmlformats.org/officeDocument/2006/relationships/hyperlink" Target="mailto:Kelly.obrien@hockenberg.net" TargetMode="External"/><Relationship Id="rId28" Type="http://schemas.openxmlformats.org/officeDocument/2006/relationships/hyperlink" Target="mailto:Kelly.obrien@hockenberg.net" TargetMode="External"/><Relationship Id="rId36" Type="http://schemas.openxmlformats.org/officeDocument/2006/relationships/hyperlink" Target="mailto:Lnorton@efsfood.com" TargetMode="External"/><Relationship Id="rId49" Type="http://schemas.openxmlformats.org/officeDocument/2006/relationships/hyperlink" Target="mailto:Kelly.obrien@hockenberg.net" TargetMode="External"/><Relationship Id="rId57" Type="http://schemas.openxmlformats.org/officeDocument/2006/relationships/hyperlink" Target="mailto:Gary.Bornmueller@asmwaypoint.com" TargetMode="External"/><Relationship Id="rId61" Type="http://schemas.openxmlformats.org/officeDocument/2006/relationships/hyperlink" Target="mailto:wbrackett@cafefavorites.com" TargetMode="External"/><Relationship Id="rId10" Type="http://schemas.openxmlformats.org/officeDocument/2006/relationships/hyperlink" Target="mailto:Gary.Bornmueller@asmwaypoint.com" TargetMode="External"/><Relationship Id="rId19" Type="http://schemas.openxmlformats.org/officeDocument/2006/relationships/hyperlink" Target="mailto:Kelly.obrien@hockenberg.net" TargetMode="External"/><Relationship Id="rId31" Type="http://schemas.openxmlformats.org/officeDocument/2006/relationships/hyperlink" Target="mailto:Lnorton@efsfood.com" TargetMode="External"/><Relationship Id="rId44" Type="http://schemas.openxmlformats.org/officeDocument/2006/relationships/hyperlink" Target="mailto:Bwick@fmserv.com" TargetMode="External"/><Relationship Id="rId52" Type="http://schemas.openxmlformats.org/officeDocument/2006/relationships/hyperlink" Target="mailto:Kelly.obrien@hockenberg.net" TargetMode="External"/><Relationship Id="rId60" Type="http://schemas.openxmlformats.org/officeDocument/2006/relationships/hyperlink" Target="mailto:jkurth@gmvfoodmarketing.com" TargetMode="External"/><Relationship Id="rId65" Type="http://schemas.openxmlformats.org/officeDocument/2006/relationships/hyperlink" Target="mailto:Kelly.obrien@hockenberg.net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mailto:Gary.Bornmueller@asmwaypoint.com" TargetMode="External"/><Relationship Id="rId9" Type="http://schemas.openxmlformats.org/officeDocument/2006/relationships/hyperlink" Target="mailto:Gary.Bornmueller@asmwaypoint.com" TargetMode="External"/><Relationship Id="rId14" Type="http://schemas.openxmlformats.org/officeDocument/2006/relationships/hyperlink" Target="mailto:SLewis@wolffgroupinc.com" TargetMode="External"/><Relationship Id="rId22" Type="http://schemas.openxmlformats.org/officeDocument/2006/relationships/hyperlink" Target="mailto:Kelly.obrien@hockenberg.net" TargetMode="External"/><Relationship Id="rId27" Type="http://schemas.openxmlformats.org/officeDocument/2006/relationships/hyperlink" Target="mailto:Kelly.obrien@hockenberg.net" TargetMode="External"/><Relationship Id="rId30" Type="http://schemas.openxmlformats.org/officeDocument/2006/relationships/hyperlink" Target="mailto:Lnorton@efsfood.com" TargetMode="External"/><Relationship Id="rId35" Type="http://schemas.openxmlformats.org/officeDocument/2006/relationships/hyperlink" Target="mailto:Lnorton@efsfood.com" TargetMode="External"/><Relationship Id="rId43" Type="http://schemas.openxmlformats.org/officeDocument/2006/relationships/hyperlink" Target="mailto:Bwick@fmserv.com" TargetMode="External"/><Relationship Id="rId48" Type="http://schemas.openxmlformats.org/officeDocument/2006/relationships/hyperlink" Target="mailto:SLewis@wolffgroupinc.com" TargetMode="External"/><Relationship Id="rId56" Type="http://schemas.openxmlformats.org/officeDocument/2006/relationships/hyperlink" Target="mailto:SLewis@wolffgroupinc.com" TargetMode="External"/><Relationship Id="rId64" Type="http://schemas.openxmlformats.org/officeDocument/2006/relationships/hyperlink" Target="mailto:Gary.Bornmueller@asmwaypoint.com" TargetMode="External"/><Relationship Id="rId69" Type="http://schemas.openxmlformats.org/officeDocument/2006/relationships/hyperlink" Target="mailto:Gary.Bornmueller@asmwaypoint.com" TargetMode="External"/><Relationship Id="rId8" Type="http://schemas.openxmlformats.org/officeDocument/2006/relationships/hyperlink" Target="mailto:Gary.Bornmueller@asmwaypoint.com" TargetMode="External"/><Relationship Id="rId51" Type="http://schemas.openxmlformats.org/officeDocument/2006/relationships/hyperlink" Target="mailto:Gary.Bornmueller@asmwaypoint.com" TargetMode="External"/><Relationship Id="rId72" Type="http://schemas.openxmlformats.org/officeDocument/2006/relationships/hyperlink" Target="mailto:wbrackett@cafefavorites.com" TargetMode="External"/><Relationship Id="rId3" Type="http://schemas.openxmlformats.org/officeDocument/2006/relationships/hyperlink" Target="mailto:Gary.Bornmueller@asmwaypoint.com" TargetMode="External"/><Relationship Id="rId12" Type="http://schemas.openxmlformats.org/officeDocument/2006/relationships/hyperlink" Target="mailto:SLewis@wolffgroupinc.com" TargetMode="External"/><Relationship Id="rId17" Type="http://schemas.openxmlformats.org/officeDocument/2006/relationships/hyperlink" Target="mailto:SLewis@wolffgroupinc.com" TargetMode="External"/><Relationship Id="rId25" Type="http://schemas.openxmlformats.org/officeDocument/2006/relationships/hyperlink" Target="mailto:Kelly.obrien@hockenberg.net" TargetMode="External"/><Relationship Id="rId33" Type="http://schemas.openxmlformats.org/officeDocument/2006/relationships/hyperlink" Target="mailto:Lnorton@efsfood.com" TargetMode="External"/><Relationship Id="rId38" Type="http://schemas.openxmlformats.org/officeDocument/2006/relationships/hyperlink" Target="mailto:Lnorton@efsfood.com" TargetMode="External"/><Relationship Id="rId46" Type="http://schemas.openxmlformats.org/officeDocument/2006/relationships/hyperlink" Target="mailto:Gary.Bornmueller@asmwaypoint.com" TargetMode="External"/><Relationship Id="rId59" Type="http://schemas.openxmlformats.org/officeDocument/2006/relationships/hyperlink" Target="mailto:wbrackett@cafefavorites.com" TargetMode="External"/><Relationship Id="rId67" Type="http://schemas.openxmlformats.org/officeDocument/2006/relationships/hyperlink" Target="mailto:Gary.Bornmueller@asmwaypoint.com" TargetMode="External"/><Relationship Id="rId20" Type="http://schemas.openxmlformats.org/officeDocument/2006/relationships/hyperlink" Target="mailto:Kelly.obrien@hockenberg.net" TargetMode="External"/><Relationship Id="rId41" Type="http://schemas.openxmlformats.org/officeDocument/2006/relationships/hyperlink" Target="mailto:Lnorton@efsfood.com" TargetMode="External"/><Relationship Id="rId54" Type="http://schemas.openxmlformats.org/officeDocument/2006/relationships/hyperlink" Target="mailto:Gary.Bornmueller@asmwaypoint.com" TargetMode="External"/><Relationship Id="rId62" Type="http://schemas.openxmlformats.org/officeDocument/2006/relationships/hyperlink" Target="mailto:SLewis@wolffgroupinc.com" TargetMode="External"/><Relationship Id="rId70" Type="http://schemas.openxmlformats.org/officeDocument/2006/relationships/hyperlink" Target="mailto:Bwick@fmserv.com" TargetMode="External"/><Relationship Id="rId75" Type="http://schemas.openxmlformats.org/officeDocument/2006/relationships/comments" Target="../comments1.xml"/><Relationship Id="rId1" Type="http://schemas.openxmlformats.org/officeDocument/2006/relationships/hyperlink" Target="mailto:Jill.Stuecker@iowa.gov" TargetMode="External"/><Relationship Id="rId6" Type="http://schemas.openxmlformats.org/officeDocument/2006/relationships/hyperlink" Target="mailto:Gary.Bornmueller@asmwaypoin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Z496"/>
  <sheetViews>
    <sheetView showGridLines="0" tabSelected="1" topLeftCell="A79" zoomScale="110" zoomScaleNormal="110" workbookViewId="0">
      <selection activeCell="I79" sqref="I1:J1048576"/>
    </sheetView>
  </sheetViews>
  <sheetFormatPr defaultRowHeight="15"/>
  <cols>
    <col min="1" max="1" width="37.7109375" style="13" customWidth="1"/>
    <col min="2" max="2" width="10.140625" style="95" customWidth="1"/>
    <col min="3" max="3" width="9" style="95" customWidth="1"/>
    <col min="4" max="4" width="8.42578125" style="97" customWidth="1"/>
    <col min="5" max="5" width="13.140625" customWidth="1"/>
    <col min="6" max="6" width="28" style="4" customWidth="1"/>
    <col min="7" max="8" width="23.42578125" style="4" hidden="1" customWidth="1"/>
    <col min="9" max="9" width="7.28515625" hidden="1" customWidth="1"/>
    <col min="10" max="10" width="12.5703125" hidden="1" customWidth="1"/>
    <col min="18" max="18" width="8.42578125" customWidth="1"/>
    <col min="19" max="19" width="21.28515625" hidden="1" customWidth="1"/>
  </cols>
  <sheetData>
    <row r="1" spans="1:19" ht="21.75" customHeight="1">
      <c r="A1" s="195" t="s">
        <v>1003</v>
      </c>
      <c r="B1" s="195"/>
      <c r="C1" s="195"/>
      <c r="D1" s="195"/>
      <c r="E1" s="195"/>
      <c r="F1" s="195"/>
      <c r="G1" s="1"/>
      <c r="H1" s="1"/>
      <c r="S1" s="2"/>
    </row>
    <row r="2" spans="1:19" ht="22.5">
      <c r="A2" s="3" t="s">
        <v>0</v>
      </c>
      <c r="B2" s="196"/>
      <c r="C2" s="197"/>
      <c r="D2" s="197"/>
      <c r="E2" s="197"/>
      <c r="G2" s="5"/>
      <c r="H2" s="5"/>
      <c r="S2" s="6" t="s">
        <v>1</v>
      </c>
    </row>
    <row r="3" spans="1:19" ht="22.5">
      <c r="A3" s="3" t="s">
        <v>2</v>
      </c>
      <c r="B3" s="198"/>
      <c r="C3" s="198"/>
      <c r="D3" s="198"/>
      <c r="E3" s="198"/>
      <c r="F3" s="175" t="s">
        <v>998</v>
      </c>
      <c r="G3" s="7"/>
      <c r="H3" s="7"/>
      <c r="S3" s="6" t="s">
        <v>3</v>
      </c>
    </row>
    <row r="4" spans="1:19" ht="16.5" customHeight="1">
      <c r="A4" s="3" t="s">
        <v>1012</v>
      </c>
      <c r="B4" s="199"/>
      <c r="C4" s="198"/>
      <c r="D4" s="198"/>
      <c r="E4" s="198"/>
      <c r="F4" s="8" t="s">
        <v>1011</v>
      </c>
      <c r="G4" s="7"/>
      <c r="H4" s="7"/>
      <c r="S4" s="6" t="s">
        <v>4</v>
      </c>
    </row>
    <row r="5" spans="1:19" ht="15" customHeight="1" thickBot="1">
      <c r="A5" s="3" t="s">
        <v>5</v>
      </c>
      <c r="B5" s="200"/>
      <c r="C5" s="201"/>
      <c r="D5" s="201"/>
      <c r="E5" s="201"/>
      <c r="F5" s="174" t="e">
        <f>LOOKUP(B2,Data!C2:C496,Data!E2:E496)</f>
        <v>#N/A</v>
      </c>
      <c r="G5" s="7"/>
      <c r="H5" s="7"/>
      <c r="S5" s="6" t="s">
        <v>6</v>
      </c>
    </row>
    <row r="6" spans="1:19" s="13" customFormat="1" ht="31.5" customHeight="1" thickTop="1" thickBot="1">
      <c r="A6" s="9" t="s">
        <v>1007</v>
      </c>
      <c r="B6" s="9" t="s">
        <v>1008</v>
      </c>
      <c r="C6" s="9" t="s">
        <v>7</v>
      </c>
      <c r="D6" s="9" t="s">
        <v>1010</v>
      </c>
      <c r="E6" s="10" t="s">
        <v>1009</v>
      </c>
      <c r="F6" s="11" t="s">
        <v>8</v>
      </c>
      <c r="G6" s="12"/>
      <c r="H6" s="12"/>
      <c r="S6" s="6" t="s">
        <v>9</v>
      </c>
    </row>
    <row r="7" spans="1:19" s="15" customFormat="1" ht="13.5" customHeight="1" thickTop="1" thickBot="1">
      <c r="A7" s="192"/>
      <c r="B7" s="193"/>
      <c r="C7" s="193"/>
      <c r="D7" s="193"/>
      <c r="E7" s="193"/>
      <c r="F7" s="194"/>
      <c r="G7" s="14"/>
      <c r="H7" s="14"/>
      <c r="S7" s="6" t="s">
        <v>10</v>
      </c>
    </row>
    <row r="8" spans="1:19" s="13" customFormat="1" ht="15.75" customHeight="1" thickBot="1">
      <c r="A8" s="189" t="s">
        <v>1025</v>
      </c>
      <c r="B8" s="190"/>
      <c r="C8" s="190"/>
      <c r="D8" s="190"/>
      <c r="E8" s="191"/>
      <c r="F8" s="16"/>
      <c r="G8" s="17"/>
      <c r="H8" s="17"/>
      <c r="S8" s="6" t="s">
        <v>11</v>
      </c>
    </row>
    <row r="9" spans="1:19" s="23" customFormat="1" ht="15.75" customHeight="1">
      <c r="A9" s="134" t="s">
        <v>12</v>
      </c>
      <c r="B9" s="18">
        <v>110242</v>
      </c>
      <c r="C9" s="120"/>
      <c r="D9" s="19">
        <v>1.8003</v>
      </c>
      <c r="E9" s="20">
        <f t="shared" ref="E9:E27" si="0">C9*D9</f>
        <v>0</v>
      </c>
      <c r="F9" s="21" t="s">
        <v>13</v>
      </c>
      <c r="G9" s="22"/>
      <c r="H9" s="22"/>
      <c r="S9" s="6" t="s">
        <v>14</v>
      </c>
    </row>
    <row r="10" spans="1:19" ht="15.75" customHeight="1">
      <c r="A10" s="135" t="s">
        <v>15</v>
      </c>
      <c r="B10" s="24">
        <v>110242</v>
      </c>
      <c r="C10" s="121"/>
      <c r="D10" s="25">
        <v>1.8003</v>
      </c>
      <c r="E10" s="20">
        <f t="shared" si="0"/>
        <v>0</v>
      </c>
      <c r="F10" s="27" t="s">
        <v>13</v>
      </c>
      <c r="G10" s="28"/>
      <c r="H10" s="28"/>
      <c r="S10" s="6" t="s">
        <v>16</v>
      </c>
    </row>
    <row r="11" spans="1:19" ht="15.75" customHeight="1">
      <c r="A11" s="135" t="s">
        <v>17</v>
      </c>
      <c r="B11" s="24">
        <v>110242</v>
      </c>
      <c r="C11" s="121"/>
      <c r="D11" s="25">
        <v>1.8003</v>
      </c>
      <c r="E11" s="20">
        <f t="shared" si="0"/>
        <v>0</v>
      </c>
      <c r="F11" s="27" t="s">
        <v>13</v>
      </c>
      <c r="G11" s="28"/>
      <c r="H11" s="28"/>
      <c r="S11" s="6" t="s">
        <v>18</v>
      </c>
    </row>
    <row r="12" spans="1:19" ht="15.75" customHeight="1">
      <c r="A12" s="135" t="s">
        <v>19</v>
      </c>
      <c r="B12" s="24">
        <v>110242</v>
      </c>
      <c r="C12" s="121"/>
      <c r="D12" s="25">
        <v>1.8003</v>
      </c>
      <c r="E12" s="20">
        <f t="shared" si="0"/>
        <v>0</v>
      </c>
      <c r="F12" s="27" t="s">
        <v>20</v>
      </c>
      <c r="G12" s="28"/>
      <c r="H12" s="28"/>
      <c r="S12" s="6" t="s">
        <v>21</v>
      </c>
    </row>
    <row r="13" spans="1:19" ht="15.75" customHeight="1">
      <c r="A13" s="133" t="s">
        <v>22</v>
      </c>
      <c r="B13" s="30">
        <v>110242</v>
      </c>
      <c r="C13" s="122"/>
      <c r="D13" s="31">
        <v>1.8003</v>
      </c>
      <c r="E13" s="20">
        <f t="shared" si="0"/>
        <v>0</v>
      </c>
      <c r="F13" s="27" t="s">
        <v>20</v>
      </c>
      <c r="G13" s="28"/>
      <c r="H13" s="28"/>
      <c r="S13" s="6" t="s">
        <v>23</v>
      </c>
    </row>
    <row r="14" spans="1:19" ht="15.75" customHeight="1">
      <c r="A14" s="135" t="s">
        <v>24</v>
      </c>
      <c r="B14" s="24">
        <v>110242</v>
      </c>
      <c r="C14" s="121"/>
      <c r="D14" s="25">
        <v>1.8003</v>
      </c>
      <c r="E14" s="20">
        <f t="shared" si="0"/>
        <v>0</v>
      </c>
      <c r="F14" s="27" t="s">
        <v>20</v>
      </c>
      <c r="G14" s="28"/>
      <c r="H14" s="28"/>
      <c r="S14" s="6" t="s">
        <v>25</v>
      </c>
    </row>
    <row r="15" spans="1:19" s="23" customFormat="1" ht="15.75" customHeight="1">
      <c r="A15" s="135" t="s">
        <v>26</v>
      </c>
      <c r="B15" s="24">
        <v>110244</v>
      </c>
      <c r="C15" s="121"/>
      <c r="D15" s="33">
        <v>1.7117</v>
      </c>
      <c r="E15" s="20">
        <f t="shared" si="0"/>
        <v>0</v>
      </c>
      <c r="F15" s="21" t="s">
        <v>27</v>
      </c>
      <c r="G15" s="22"/>
      <c r="H15" s="22"/>
      <c r="S15" s="6" t="s">
        <v>28</v>
      </c>
    </row>
    <row r="16" spans="1:19" s="23" customFormat="1" ht="15.75" customHeight="1">
      <c r="A16" s="135" t="s">
        <v>29</v>
      </c>
      <c r="B16" s="24">
        <v>110244</v>
      </c>
      <c r="C16" s="121"/>
      <c r="D16" s="33">
        <v>1.8003</v>
      </c>
      <c r="E16" s="20">
        <f t="shared" si="0"/>
        <v>0</v>
      </c>
      <c r="F16" s="21" t="s">
        <v>30</v>
      </c>
      <c r="G16" s="22"/>
      <c r="H16" s="22"/>
      <c r="S16" s="6" t="s">
        <v>31</v>
      </c>
    </row>
    <row r="17" spans="1:19" ht="15.75" customHeight="1">
      <c r="A17" s="135" t="s">
        <v>32</v>
      </c>
      <c r="B17" s="24">
        <v>110244</v>
      </c>
      <c r="C17" s="121"/>
      <c r="D17" s="25">
        <v>1.7117</v>
      </c>
      <c r="E17" s="20">
        <f t="shared" si="0"/>
        <v>0</v>
      </c>
      <c r="F17" s="27" t="s">
        <v>33</v>
      </c>
      <c r="G17" s="28"/>
      <c r="H17" s="28"/>
      <c r="S17" s="6" t="s">
        <v>34</v>
      </c>
    </row>
    <row r="18" spans="1:19" ht="15.75" customHeight="1">
      <c r="A18" s="135" t="s">
        <v>35</v>
      </c>
      <c r="B18" s="24">
        <v>110244</v>
      </c>
      <c r="C18" s="121"/>
      <c r="D18" s="25">
        <v>1.7117</v>
      </c>
      <c r="E18" s="20">
        <f t="shared" si="0"/>
        <v>0</v>
      </c>
      <c r="F18" s="27" t="s">
        <v>33</v>
      </c>
      <c r="G18" s="28"/>
      <c r="H18" s="28"/>
      <c r="S18" s="6" t="s">
        <v>36</v>
      </c>
    </row>
    <row r="19" spans="1:19" ht="15.75" customHeight="1">
      <c r="A19" s="135" t="s">
        <v>37</v>
      </c>
      <c r="B19" s="24">
        <v>110244</v>
      </c>
      <c r="C19" s="121"/>
      <c r="D19" s="25">
        <v>1.7117</v>
      </c>
      <c r="E19" s="20">
        <f t="shared" si="0"/>
        <v>0</v>
      </c>
      <c r="F19" s="27" t="s">
        <v>20</v>
      </c>
      <c r="G19" s="28"/>
      <c r="H19" s="28"/>
      <c r="S19" s="6" t="s">
        <v>38</v>
      </c>
    </row>
    <row r="20" spans="1:19" ht="15.75" customHeight="1">
      <c r="A20" s="135" t="s">
        <v>39</v>
      </c>
      <c r="B20" s="24">
        <v>110244</v>
      </c>
      <c r="C20" s="121"/>
      <c r="D20" s="25">
        <v>1.7117</v>
      </c>
      <c r="E20" s="20">
        <f t="shared" si="0"/>
        <v>0</v>
      </c>
      <c r="F20" s="27" t="s">
        <v>40</v>
      </c>
      <c r="G20" s="28"/>
      <c r="H20" s="28"/>
      <c r="S20" s="6" t="s">
        <v>41</v>
      </c>
    </row>
    <row r="21" spans="1:19" ht="15.75" customHeight="1">
      <c r="A21" s="135" t="s">
        <v>42</v>
      </c>
      <c r="B21" s="24">
        <v>110244</v>
      </c>
      <c r="C21" s="121"/>
      <c r="D21" s="25">
        <v>1.7117</v>
      </c>
      <c r="E21" s="20">
        <f t="shared" si="0"/>
        <v>0</v>
      </c>
      <c r="F21" s="27" t="s">
        <v>13</v>
      </c>
      <c r="G21" s="28"/>
      <c r="H21" s="28"/>
      <c r="S21" s="6" t="s">
        <v>43</v>
      </c>
    </row>
    <row r="22" spans="1:19" ht="15.75" customHeight="1">
      <c r="A22" s="135" t="s">
        <v>44</v>
      </c>
      <c r="B22" s="24">
        <v>110244</v>
      </c>
      <c r="C22" s="121"/>
      <c r="D22" s="25">
        <v>1.8003</v>
      </c>
      <c r="E22" s="20">
        <f t="shared" si="0"/>
        <v>0</v>
      </c>
      <c r="F22" s="27" t="s">
        <v>45</v>
      </c>
      <c r="G22"/>
      <c r="H22" s="28"/>
      <c r="S22" s="6" t="s">
        <v>46</v>
      </c>
    </row>
    <row r="23" spans="1:19" s="23" customFormat="1" ht="15.75" customHeight="1">
      <c r="A23" s="135" t="s">
        <v>47</v>
      </c>
      <c r="B23" s="24">
        <v>110244</v>
      </c>
      <c r="C23" s="121"/>
      <c r="D23" s="33">
        <v>1.8003</v>
      </c>
      <c r="E23" s="20">
        <f t="shared" si="0"/>
        <v>0</v>
      </c>
      <c r="F23" s="21" t="s">
        <v>20</v>
      </c>
      <c r="G23" s="22"/>
      <c r="H23" s="22"/>
      <c r="S23" s="6" t="s">
        <v>48</v>
      </c>
    </row>
    <row r="24" spans="1:19" ht="15.75" customHeight="1">
      <c r="A24" s="135" t="s">
        <v>49</v>
      </c>
      <c r="B24" s="24">
        <v>100036</v>
      </c>
      <c r="C24" s="121"/>
      <c r="D24" s="25">
        <v>1.8003</v>
      </c>
      <c r="E24" s="20">
        <f t="shared" si="0"/>
        <v>0</v>
      </c>
      <c r="F24" s="27" t="s">
        <v>40</v>
      </c>
      <c r="G24" s="28"/>
      <c r="H24" s="28"/>
      <c r="S24" s="6" t="s">
        <v>50</v>
      </c>
    </row>
    <row r="25" spans="1:19" ht="15.75" customHeight="1">
      <c r="A25" s="135" t="s">
        <v>51</v>
      </c>
      <c r="B25" s="24">
        <v>100036</v>
      </c>
      <c r="C25" s="121"/>
      <c r="D25" s="25">
        <v>1.8003</v>
      </c>
      <c r="E25" s="20">
        <f t="shared" si="0"/>
        <v>0</v>
      </c>
      <c r="F25" s="27" t="s">
        <v>45</v>
      </c>
      <c r="G25" s="28"/>
      <c r="H25" s="28"/>
      <c r="S25" s="6" t="s">
        <v>52</v>
      </c>
    </row>
    <row r="26" spans="1:19" ht="15.75" customHeight="1">
      <c r="A26" s="135" t="s">
        <v>53</v>
      </c>
      <c r="B26" s="34">
        <v>110254</v>
      </c>
      <c r="C26" s="121"/>
      <c r="D26" s="25">
        <v>1.8003</v>
      </c>
      <c r="E26" s="20">
        <f t="shared" si="0"/>
        <v>0</v>
      </c>
      <c r="F26" s="27" t="s">
        <v>45</v>
      </c>
      <c r="G26" s="28"/>
      <c r="H26" s="28"/>
      <c r="S26" s="6" t="s">
        <v>54</v>
      </c>
    </row>
    <row r="27" spans="1:19" s="23" customFormat="1" ht="15.75" customHeight="1" thickBot="1">
      <c r="A27" s="171" t="s">
        <v>55</v>
      </c>
      <c r="B27" s="30">
        <v>100034</v>
      </c>
      <c r="C27" s="122"/>
      <c r="D27" s="47">
        <v>1.7117</v>
      </c>
      <c r="E27" s="172">
        <f t="shared" si="0"/>
        <v>0</v>
      </c>
      <c r="F27" s="21" t="s">
        <v>33</v>
      </c>
      <c r="G27" s="22"/>
      <c r="H27" s="22"/>
      <c r="S27" s="6" t="s">
        <v>56</v>
      </c>
    </row>
    <row r="28" spans="1:19" s="13" customFormat="1" ht="15.75" customHeight="1" thickBot="1">
      <c r="A28" s="182" t="s">
        <v>57</v>
      </c>
      <c r="B28" s="183"/>
      <c r="C28" s="183"/>
      <c r="D28" s="183"/>
      <c r="E28" s="184"/>
      <c r="F28" s="35"/>
      <c r="G28" s="36"/>
      <c r="H28" s="36"/>
      <c r="J28" s="37">
        <f>SUM(E9:E27)</f>
        <v>0</v>
      </c>
      <c r="S28" s="6" t="s">
        <v>58</v>
      </c>
    </row>
    <row r="29" spans="1:19" s="15" customFormat="1" ht="15.75" customHeight="1">
      <c r="A29" s="173" t="s">
        <v>59</v>
      </c>
      <c r="B29" s="38">
        <v>100047</v>
      </c>
      <c r="C29" s="123"/>
      <c r="D29" s="39">
        <v>0.69599999999999995</v>
      </c>
      <c r="E29" s="40">
        <f>C29*D29</f>
        <v>0</v>
      </c>
      <c r="F29" s="27" t="s">
        <v>40</v>
      </c>
      <c r="G29" s="28"/>
      <c r="H29" s="28"/>
      <c r="J29" s="41"/>
      <c r="S29" s="6" t="s">
        <v>60</v>
      </c>
    </row>
    <row r="30" spans="1:19" ht="15.75" customHeight="1">
      <c r="A30" s="135" t="s">
        <v>61</v>
      </c>
      <c r="B30" s="34">
        <v>100047</v>
      </c>
      <c r="C30" s="119"/>
      <c r="D30" s="25">
        <v>0.69599999999999995</v>
      </c>
      <c r="E30" s="29">
        <f>C30*D30</f>
        <v>0</v>
      </c>
      <c r="F30" s="27" t="s">
        <v>45</v>
      </c>
      <c r="G30" s="28"/>
      <c r="H30" s="28"/>
      <c r="S30" s="6" t="s">
        <v>62</v>
      </c>
    </row>
    <row r="31" spans="1:19" ht="15.75" customHeight="1" thickBot="1">
      <c r="A31" s="136" t="s">
        <v>63</v>
      </c>
      <c r="B31" s="42">
        <v>100047</v>
      </c>
      <c r="C31" s="124"/>
      <c r="D31" s="31">
        <v>0.69599999999999995</v>
      </c>
      <c r="E31" s="32">
        <f>C31*D31</f>
        <v>0</v>
      </c>
      <c r="F31" s="27" t="s">
        <v>20</v>
      </c>
      <c r="G31" s="28"/>
      <c r="H31" s="28"/>
      <c r="S31" s="6" t="s">
        <v>64</v>
      </c>
    </row>
    <row r="32" spans="1:19" s="13" customFormat="1" ht="15.75" customHeight="1" thickBot="1">
      <c r="A32" s="182" t="s">
        <v>1024</v>
      </c>
      <c r="B32" s="183"/>
      <c r="C32" s="183"/>
      <c r="D32" s="183"/>
      <c r="E32" s="184"/>
      <c r="F32" s="35"/>
      <c r="G32" s="36"/>
      <c r="H32" s="36"/>
      <c r="J32" s="37">
        <f>SUM(E29:E31)</f>
        <v>0</v>
      </c>
      <c r="S32" s="6" t="s">
        <v>65</v>
      </c>
    </row>
    <row r="33" spans="1:19" ht="15.75" customHeight="1">
      <c r="A33" s="134" t="s">
        <v>66</v>
      </c>
      <c r="B33" s="137">
        <v>100113</v>
      </c>
      <c r="C33" s="123"/>
      <c r="D33" s="39">
        <v>0.70630000000000004</v>
      </c>
      <c r="E33" s="40">
        <f t="shared" ref="E33:E40" si="1">C33*D33</f>
        <v>0</v>
      </c>
      <c r="F33" s="27" t="s">
        <v>45</v>
      </c>
      <c r="G33" s="28"/>
      <c r="H33" s="28"/>
      <c r="S33" s="6" t="s">
        <v>67</v>
      </c>
    </row>
    <row r="34" spans="1:19" s="23" customFormat="1" ht="15.75" customHeight="1">
      <c r="A34" s="135" t="s">
        <v>68</v>
      </c>
      <c r="B34" s="138">
        <v>100113</v>
      </c>
      <c r="C34" s="119"/>
      <c r="D34" s="33">
        <v>0.70630000000000004</v>
      </c>
      <c r="E34" s="26">
        <f t="shared" si="1"/>
        <v>0</v>
      </c>
      <c r="F34" s="21" t="s">
        <v>27</v>
      </c>
      <c r="G34" s="22"/>
      <c r="H34" s="22"/>
      <c r="S34" s="6" t="s">
        <v>69</v>
      </c>
    </row>
    <row r="35" spans="1:19" ht="15.75" customHeight="1">
      <c r="A35" s="135" t="s">
        <v>70</v>
      </c>
      <c r="B35" s="43">
        <v>100113</v>
      </c>
      <c r="C35" s="119"/>
      <c r="D35" s="25">
        <v>0.70630000000000004</v>
      </c>
      <c r="E35" s="29">
        <f t="shared" si="1"/>
        <v>0</v>
      </c>
      <c r="F35" s="27" t="s">
        <v>33</v>
      </c>
      <c r="G35" s="28"/>
      <c r="H35" s="28"/>
      <c r="S35" s="6" t="s">
        <v>71</v>
      </c>
    </row>
    <row r="36" spans="1:19" ht="15.75" customHeight="1">
      <c r="A36" s="135" t="s">
        <v>72</v>
      </c>
      <c r="B36" s="43">
        <v>100103</v>
      </c>
      <c r="C36" s="119"/>
      <c r="D36" s="25">
        <v>0.75029999999999997</v>
      </c>
      <c r="E36" s="29">
        <f t="shared" si="1"/>
        <v>0</v>
      </c>
      <c r="F36" s="27" t="s">
        <v>30</v>
      </c>
      <c r="G36" s="28"/>
      <c r="H36" s="28"/>
      <c r="S36" s="6" t="s">
        <v>73</v>
      </c>
    </row>
    <row r="37" spans="1:19" ht="15.75" customHeight="1">
      <c r="A37" s="135" t="s">
        <v>74</v>
      </c>
      <c r="B37" s="43">
        <v>100103</v>
      </c>
      <c r="C37" s="119"/>
      <c r="D37" s="25">
        <v>0.75029999999999997</v>
      </c>
      <c r="E37" s="29">
        <f t="shared" si="1"/>
        <v>0</v>
      </c>
      <c r="F37" s="27" t="s">
        <v>20</v>
      </c>
      <c r="G37" s="28"/>
      <c r="H37" s="28"/>
      <c r="S37" s="6" t="s">
        <v>75</v>
      </c>
    </row>
    <row r="38" spans="1:19" ht="15.75" customHeight="1">
      <c r="A38" s="135" t="s">
        <v>76</v>
      </c>
      <c r="B38" s="43">
        <v>100103</v>
      </c>
      <c r="C38" s="119"/>
      <c r="D38" s="25">
        <v>0.75029999999999997</v>
      </c>
      <c r="E38" s="29">
        <f t="shared" si="1"/>
        <v>0</v>
      </c>
      <c r="F38" s="27" t="s">
        <v>45</v>
      </c>
      <c r="G38" s="28"/>
      <c r="H38" s="28"/>
      <c r="J38" s="44"/>
      <c r="S38" s="6" t="s">
        <v>77</v>
      </c>
    </row>
    <row r="39" spans="1:19" ht="15.75" customHeight="1">
      <c r="A39" s="135" t="s">
        <v>78</v>
      </c>
      <c r="B39" s="139">
        <v>100100</v>
      </c>
      <c r="C39" s="124"/>
      <c r="D39" s="31">
        <v>0.86299999999999999</v>
      </c>
      <c r="E39" s="32">
        <f t="shared" si="1"/>
        <v>0</v>
      </c>
      <c r="F39" s="27" t="s">
        <v>30</v>
      </c>
      <c r="G39" s="28"/>
      <c r="H39" s="28"/>
      <c r="S39" s="6" t="s">
        <v>79</v>
      </c>
    </row>
    <row r="40" spans="1:19" ht="15.75" customHeight="1" thickBot="1">
      <c r="A40" s="136" t="s">
        <v>80</v>
      </c>
      <c r="B40" s="139">
        <v>100100</v>
      </c>
      <c r="C40" s="119"/>
      <c r="D40" s="31">
        <v>0.86299999999999999</v>
      </c>
      <c r="E40" s="29">
        <f t="shared" si="1"/>
        <v>0</v>
      </c>
      <c r="F40" s="27" t="s">
        <v>20</v>
      </c>
      <c r="G40" s="28"/>
      <c r="H40" s="28"/>
      <c r="S40" s="6" t="s">
        <v>81</v>
      </c>
    </row>
    <row r="41" spans="1:19" s="13" customFormat="1" ht="15.75" customHeight="1" thickBot="1">
      <c r="A41" s="182" t="s">
        <v>1023</v>
      </c>
      <c r="B41" s="183"/>
      <c r="C41" s="183"/>
      <c r="D41" s="183"/>
      <c r="E41" s="184"/>
      <c r="F41" s="35"/>
      <c r="G41" s="36"/>
      <c r="H41" s="36"/>
      <c r="J41" s="37">
        <f>SUM(E33:E40)</f>
        <v>0</v>
      </c>
      <c r="S41" s="6" t="s">
        <v>82</v>
      </c>
    </row>
    <row r="42" spans="1:19" ht="15.75" customHeight="1">
      <c r="A42" s="134" t="s">
        <v>83</v>
      </c>
      <c r="B42" s="38">
        <v>100124</v>
      </c>
      <c r="C42" s="123"/>
      <c r="D42" s="39">
        <v>1.1167</v>
      </c>
      <c r="E42" s="40">
        <f t="shared" ref="E42:E48" si="2">C42*D42</f>
        <v>0</v>
      </c>
      <c r="F42" s="27" t="s">
        <v>40</v>
      </c>
      <c r="G42" s="28"/>
      <c r="H42" s="28"/>
      <c r="S42" s="6" t="s">
        <v>84</v>
      </c>
    </row>
    <row r="43" spans="1:19" s="23" customFormat="1" ht="15.75" customHeight="1">
      <c r="A43" s="135" t="s">
        <v>85</v>
      </c>
      <c r="B43" s="24">
        <v>100124</v>
      </c>
      <c r="C43" s="119"/>
      <c r="D43" s="33">
        <v>1.1167</v>
      </c>
      <c r="E43" s="40">
        <f t="shared" si="2"/>
        <v>0</v>
      </c>
      <c r="F43" s="21" t="s">
        <v>45</v>
      </c>
      <c r="G43" s="22"/>
      <c r="H43" s="22"/>
      <c r="S43" s="6" t="s">
        <v>86</v>
      </c>
    </row>
    <row r="44" spans="1:19" ht="15.75" customHeight="1">
      <c r="A44" s="135" t="s">
        <v>87</v>
      </c>
      <c r="B44" s="34">
        <v>100124</v>
      </c>
      <c r="C44" s="119"/>
      <c r="D44" s="25">
        <v>1.1167</v>
      </c>
      <c r="E44" s="29">
        <f t="shared" si="2"/>
        <v>0</v>
      </c>
      <c r="F44" s="27" t="s">
        <v>30</v>
      </c>
      <c r="G44" s="28"/>
      <c r="H44" s="28"/>
      <c r="S44" s="6" t="s">
        <v>88</v>
      </c>
    </row>
    <row r="45" spans="1:19" s="23" customFormat="1" ht="15.75" customHeight="1">
      <c r="A45" s="135" t="s">
        <v>89</v>
      </c>
      <c r="B45" s="24">
        <v>100124</v>
      </c>
      <c r="C45" s="119"/>
      <c r="D45" s="33">
        <v>1.1167</v>
      </c>
      <c r="E45" s="29">
        <f t="shared" si="2"/>
        <v>0</v>
      </c>
      <c r="F45" s="21" t="s">
        <v>20</v>
      </c>
      <c r="G45" s="22"/>
      <c r="H45" s="22"/>
      <c r="J45" s="41"/>
      <c r="S45" s="6" t="s">
        <v>90</v>
      </c>
    </row>
    <row r="46" spans="1:19" ht="15.75" customHeight="1">
      <c r="A46" s="135" t="s">
        <v>91</v>
      </c>
      <c r="B46" s="34">
        <v>100883</v>
      </c>
      <c r="C46" s="119"/>
      <c r="D46" s="25">
        <v>1.3259000000000001</v>
      </c>
      <c r="E46" s="29">
        <f t="shared" si="2"/>
        <v>0</v>
      </c>
      <c r="F46" s="27" t="s">
        <v>30</v>
      </c>
      <c r="G46" s="28"/>
      <c r="H46" s="28"/>
      <c r="S46" s="6" t="s">
        <v>92</v>
      </c>
    </row>
    <row r="47" spans="1:19" ht="15.75" customHeight="1">
      <c r="A47" s="135" t="s">
        <v>93</v>
      </c>
      <c r="B47" s="34">
        <v>100883</v>
      </c>
      <c r="C47" s="119"/>
      <c r="D47" s="25">
        <v>1.3259000000000001</v>
      </c>
      <c r="E47" s="29">
        <f t="shared" si="2"/>
        <v>0</v>
      </c>
      <c r="F47" s="27" t="s">
        <v>13</v>
      </c>
      <c r="G47" s="28"/>
      <c r="H47" s="28"/>
      <c r="S47" s="6" t="s">
        <v>94</v>
      </c>
    </row>
    <row r="48" spans="1:19" ht="15.75" customHeight="1" thickBot="1">
      <c r="A48" s="136" t="s">
        <v>95</v>
      </c>
      <c r="B48" s="42">
        <v>100883</v>
      </c>
      <c r="C48" s="124"/>
      <c r="D48" s="31">
        <v>1.3259000000000001</v>
      </c>
      <c r="E48" s="32">
        <f t="shared" si="2"/>
        <v>0</v>
      </c>
      <c r="F48" s="27" t="s">
        <v>33</v>
      </c>
      <c r="G48" s="28"/>
      <c r="H48" s="28"/>
      <c r="S48" s="6" t="s">
        <v>96</v>
      </c>
    </row>
    <row r="49" spans="1:25" s="46" customFormat="1" ht="15.75" customHeight="1" thickBot="1">
      <c r="A49" s="189" t="s">
        <v>1022</v>
      </c>
      <c r="B49" s="190"/>
      <c r="C49" s="190"/>
      <c r="D49" s="190"/>
      <c r="E49" s="191"/>
      <c r="F49" s="35"/>
      <c r="G49" s="36"/>
      <c r="H49" s="36"/>
      <c r="I49" s="15"/>
      <c r="J49" s="37">
        <f>SUM(E42:E48)</f>
        <v>0</v>
      </c>
      <c r="K49" s="15"/>
      <c r="L49" s="15"/>
      <c r="M49" s="15"/>
      <c r="N49" s="15"/>
      <c r="O49" s="15"/>
      <c r="P49" s="15"/>
      <c r="Q49" s="15"/>
      <c r="R49" s="15"/>
      <c r="S49" s="6" t="s">
        <v>97</v>
      </c>
      <c r="T49" s="15"/>
      <c r="U49" s="15"/>
      <c r="V49" s="15"/>
      <c r="W49" s="15"/>
      <c r="X49" s="15"/>
      <c r="Y49" s="15"/>
    </row>
    <row r="50" spans="1:25" s="23" customFormat="1" ht="15.75" customHeight="1">
      <c r="A50" s="134" t="s">
        <v>98</v>
      </c>
      <c r="B50" s="18">
        <v>100154</v>
      </c>
      <c r="C50" s="123"/>
      <c r="D50" s="19">
        <v>2.2873999999999999</v>
      </c>
      <c r="E50" s="20">
        <f t="shared" ref="E50:E59" si="3">C50*D50</f>
        <v>0</v>
      </c>
      <c r="F50" s="21" t="s">
        <v>45</v>
      </c>
      <c r="G50" s="22"/>
      <c r="H50" s="22"/>
      <c r="S50" s="6" t="s">
        <v>99</v>
      </c>
    </row>
    <row r="51" spans="1:25" ht="15.75" customHeight="1">
      <c r="A51" s="135" t="s">
        <v>100</v>
      </c>
      <c r="B51" s="34">
        <v>100154</v>
      </c>
      <c r="C51" s="119"/>
      <c r="D51" s="25">
        <v>2.2873999999999999</v>
      </c>
      <c r="E51" s="29">
        <f t="shared" si="3"/>
        <v>0</v>
      </c>
      <c r="F51" s="27" t="s">
        <v>33</v>
      </c>
      <c r="G51" s="28"/>
      <c r="H51" s="28"/>
      <c r="S51" s="6" t="s">
        <v>101</v>
      </c>
    </row>
    <row r="52" spans="1:25" s="23" customFormat="1" ht="15.75" customHeight="1">
      <c r="A52" s="135" t="s">
        <v>102</v>
      </c>
      <c r="B52" s="24">
        <v>100154</v>
      </c>
      <c r="C52" s="119"/>
      <c r="D52" s="33">
        <v>2.2873999999999999</v>
      </c>
      <c r="E52" s="29">
        <f t="shared" si="3"/>
        <v>0</v>
      </c>
      <c r="F52" s="21" t="s">
        <v>45</v>
      </c>
      <c r="G52" s="22"/>
      <c r="H52" s="22"/>
      <c r="S52" s="6" t="s">
        <v>103</v>
      </c>
    </row>
    <row r="53" spans="1:25" ht="15.75" customHeight="1">
      <c r="A53" s="135" t="s">
        <v>104</v>
      </c>
      <c r="B53" s="34">
        <v>100154</v>
      </c>
      <c r="C53" s="119"/>
      <c r="D53" s="25">
        <v>2.2873999999999999</v>
      </c>
      <c r="E53" s="29">
        <f t="shared" si="3"/>
        <v>0</v>
      </c>
      <c r="F53" s="27" t="s">
        <v>13</v>
      </c>
      <c r="G53" s="28"/>
      <c r="H53" s="28"/>
      <c r="S53" s="6" t="s">
        <v>105</v>
      </c>
    </row>
    <row r="54" spans="1:25" s="23" customFormat="1" ht="15.75" customHeight="1">
      <c r="A54" s="135" t="s">
        <v>106</v>
      </c>
      <c r="B54" s="24">
        <v>100154</v>
      </c>
      <c r="C54" s="119"/>
      <c r="D54" s="33">
        <v>2.2873999999999999</v>
      </c>
      <c r="E54" s="29">
        <f t="shared" si="3"/>
        <v>0</v>
      </c>
      <c r="F54" s="21" t="s">
        <v>33</v>
      </c>
      <c r="G54" s="22"/>
      <c r="H54" s="22"/>
      <c r="S54" s="6" t="s">
        <v>107</v>
      </c>
    </row>
    <row r="55" spans="1:25" ht="15.75" customHeight="1">
      <c r="A55" s="135" t="s">
        <v>108</v>
      </c>
      <c r="B55" s="24">
        <v>100154</v>
      </c>
      <c r="C55" s="119"/>
      <c r="D55" s="33">
        <v>2.2873999999999999</v>
      </c>
      <c r="E55" s="29">
        <f t="shared" si="3"/>
        <v>0</v>
      </c>
      <c r="F55" s="27" t="s">
        <v>45</v>
      </c>
      <c r="G55" s="28"/>
      <c r="H55" s="28"/>
      <c r="S55" s="6" t="s">
        <v>109</v>
      </c>
    </row>
    <row r="56" spans="1:25" ht="15.75" customHeight="1">
      <c r="A56" s="135" t="s">
        <v>110</v>
      </c>
      <c r="B56" s="34">
        <v>100156</v>
      </c>
      <c r="C56" s="119"/>
      <c r="D56" s="25">
        <v>3.0891999999999999</v>
      </c>
      <c r="E56" s="29">
        <f t="shared" si="3"/>
        <v>0</v>
      </c>
      <c r="F56" s="27" t="s">
        <v>13</v>
      </c>
      <c r="G56" s="28"/>
      <c r="H56" s="28"/>
      <c r="S56" s="6" t="s">
        <v>111</v>
      </c>
    </row>
    <row r="57" spans="1:25" ht="15.75" customHeight="1">
      <c r="A57" s="135" t="s">
        <v>112</v>
      </c>
      <c r="B57" s="34">
        <v>100156</v>
      </c>
      <c r="C57" s="119"/>
      <c r="D57" s="25">
        <v>3.0891999999999999</v>
      </c>
      <c r="E57" s="29">
        <f t="shared" si="3"/>
        <v>0</v>
      </c>
      <c r="F57" s="27" t="s">
        <v>45</v>
      </c>
      <c r="G57" s="28"/>
      <c r="H57" s="28"/>
      <c r="S57" s="6" t="s">
        <v>113</v>
      </c>
    </row>
    <row r="58" spans="1:25" ht="15.75" customHeight="1">
      <c r="A58" s="135" t="s">
        <v>114</v>
      </c>
      <c r="B58" s="34">
        <v>100156</v>
      </c>
      <c r="C58" s="124"/>
      <c r="D58" s="25">
        <v>3.0891999999999999</v>
      </c>
      <c r="E58" s="32">
        <f t="shared" si="3"/>
        <v>0</v>
      </c>
      <c r="F58" s="27" t="s">
        <v>20</v>
      </c>
      <c r="G58" s="28"/>
      <c r="H58" s="28"/>
      <c r="S58" s="6" t="s">
        <v>115</v>
      </c>
    </row>
    <row r="59" spans="1:25" ht="15.75" customHeight="1" thickBot="1">
      <c r="A59" s="136" t="s">
        <v>116</v>
      </c>
      <c r="B59" s="42">
        <v>100155</v>
      </c>
      <c r="C59" s="124"/>
      <c r="D59" s="31">
        <v>2.3940999999999999</v>
      </c>
      <c r="E59" s="32">
        <f t="shared" si="3"/>
        <v>0</v>
      </c>
      <c r="F59" s="27" t="s">
        <v>20</v>
      </c>
      <c r="G59" s="28"/>
      <c r="H59" s="28"/>
      <c r="S59" s="6" t="s">
        <v>117</v>
      </c>
    </row>
    <row r="60" spans="1:25" s="13" customFormat="1" ht="15.75" customHeight="1" thickBot="1">
      <c r="A60" s="182" t="s">
        <v>1021</v>
      </c>
      <c r="B60" s="183"/>
      <c r="C60" s="183"/>
      <c r="D60" s="183"/>
      <c r="E60" s="184"/>
      <c r="F60" s="35"/>
      <c r="G60" s="36"/>
      <c r="H60" s="36"/>
      <c r="J60" s="37">
        <f>SUM(E50:E59)</f>
        <v>0</v>
      </c>
      <c r="S60" s="6" t="s">
        <v>118</v>
      </c>
    </row>
    <row r="61" spans="1:25" ht="15.75" customHeight="1">
      <c r="A61" s="134" t="s">
        <v>119</v>
      </c>
      <c r="B61" s="38">
        <v>100193</v>
      </c>
      <c r="C61" s="123"/>
      <c r="D61" s="39">
        <v>1.1954</v>
      </c>
      <c r="E61" s="40">
        <f>C61*D61</f>
        <v>0</v>
      </c>
      <c r="F61" s="27" t="s">
        <v>33</v>
      </c>
      <c r="G61" s="28"/>
      <c r="H61" s="28"/>
      <c r="S61" s="6" t="s">
        <v>120</v>
      </c>
    </row>
    <row r="62" spans="1:25" ht="15.75" customHeight="1">
      <c r="A62" s="135" t="s">
        <v>121</v>
      </c>
      <c r="B62" s="34">
        <v>100193</v>
      </c>
      <c r="C62" s="119"/>
      <c r="D62" s="25">
        <v>1.1954</v>
      </c>
      <c r="E62" s="29">
        <f>C62*D62</f>
        <v>0</v>
      </c>
      <c r="F62" s="27" t="s">
        <v>13</v>
      </c>
      <c r="G62" s="28"/>
      <c r="H62" s="28"/>
      <c r="S62" s="6" t="s">
        <v>122</v>
      </c>
    </row>
    <row r="63" spans="1:25" ht="15.75" customHeight="1">
      <c r="A63" s="135" t="s">
        <v>123</v>
      </c>
      <c r="B63" s="34">
        <v>110138</v>
      </c>
      <c r="C63" s="119"/>
      <c r="D63" s="25">
        <v>1.3789</v>
      </c>
      <c r="E63" s="29">
        <f>C63*D63</f>
        <v>0</v>
      </c>
      <c r="F63" s="27" t="s">
        <v>13</v>
      </c>
      <c r="G63" s="28"/>
      <c r="H63" s="28"/>
      <c r="S63" s="6" t="s">
        <v>124</v>
      </c>
    </row>
    <row r="64" spans="1:25" s="23" customFormat="1" ht="15.75" customHeight="1" thickBot="1">
      <c r="A64" s="136" t="s">
        <v>125</v>
      </c>
      <c r="B64" s="30">
        <v>110138</v>
      </c>
      <c r="C64" s="124"/>
      <c r="D64" s="47">
        <v>1.3789</v>
      </c>
      <c r="E64" s="48">
        <f>C64*D64</f>
        <v>0</v>
      </c>
      <c r="F64" s="21" t="s">
        <v>45</v>
      </c>
      <c r="G64" s="22"/>
      <c r="H64" s="22"/>
      <c r="J64" s="41"/>
      <c r="S64" s="6" t="s">
        <v>126</v>
      </c>
    </row>
    <row r="65" spans="1:26" s="13" customFormat="1" ht="15.75" customHeight="1" thickBot="1">
      <c r="A65" s="182" t="s">
        <v>1020</v>
      </c>
      <c r="B65" s="183"/>
      <c r="C65" s="183"/>
      <c r="D65" s="183"/>
      <c r="E65" s="184"/>
      <c r="F65" s="35"/>
      <c r="G65" s="36"/>
      <c r="H65" s="36"/>
      <c r="J65" s="37">
        <f>SUM(E61:E64)</f>
        <v>0</v>
      </c>
      <c r="S65" s="6" t="s">
        <v>127</v>
      </c>
    </row>
    <row r="66" spans="1:26" ht="15.75" customHeight="1">
      <c r="A66" s="134" t="s">
        <v>128</v>
      </c>
      <c r="B66" s="137">
        <v>100208</v>
      </c>
      <c r="C66" s="123"/>
      <c r="D66" s="39">
        <v>0.68600000000000005</v>
      </c>
      <c r="E66" s="40">
        <f t="shared" ref="E66:E71" si="4">C66*D66</f>
        <v>0</v>
      </c>
      <c r="F66" s="27" t="s">
        <v>33</v>
      </c>
      <c r="G66" s="28"/>
      <c r="H66" s="28"/>
      <c r="S66" s="6" t="s">
        <v>129</v>
      </c>
    </row>
    <row r="67" spans="1:26" ht="15.75" customHeight="1">
      <c r="A67" s="135" t="s">
        <v>972</v>
      </c>
      <c r="B67" s="43">
        <v>100219</v>
      </c>
      <c r="C67" s="119"/>
      <c r="D67" s="25">
        <v>0.59940000000000004</v>
      </c>
      <c r="E67" s="29">
        <f t="shared" si="4"/>
        <v>0</v>
      </c>
      <c r="F67" s="27" t="s">
        <v>33</v>
      </c>
      <c r="G67" s="28"/>
      <c r="H67" s="28"/>
      <c r="S67" s="6" t="s">
        <v>130</v>
      </c>
    </row>
    <row r="68" spans="1:26" ht="15.75" customHeight="1">
      <c r="A68" s="135" t="s">
        <v>973</v>
      </c>
      <c r="B68" s="43">
        <v>100224</v>
      </c>
      <c r="C68" s="119"/>
      <c r="D68" s="25">
        <v>0.66669999999999996</v>
      </c>
      <c r="E68" s="29">
        <f t="shared" si="4"/>
        <v>0</v>
      </c>
      <c r="F68" s="27" t="s">
        <v>33</v>
      </c>
      <c r="G68" s="28"/>
      <c r="H68" s="28"/>
      <c r="S68" s="6" t="s">
        <v>131</v>
      </c>
    </row>
    <row r="69" spans="1:26" ht="15.75" customHeight="1">
      <c r="A69" s="135" t="s">
        <v>974</v>
      </c>
      <c r="B69" s="43">
        <v>100204</v>
      </c>
      <c r="C69" s="119"/>
      <c r="D69" s="25">
        <v>2.2473999999999998</v>
      </c>
      <c r="E69" s="29">
        <f t="shared" si="4"/>
        <v>0</v>
      </c>
      <c r="F69" s="27" t="s">
        <v>27</v>
      </c>
      <c r="G69" s="28"/>
      <c r="H69" s="28"/>
      <c r="S69" s="6" t="s">
        <v>132</v>
      </c>
    </row>
    <row r="70" spans="1:26" ht="15.75" customHeight="1">
      <c r="A70" s="135" t="s">
        <v>975</v>
      </c>
      <c r="B70" s="43">
        <v>100258</v>
      </c>
      <c r="C70" s="119"/>
      <c r="D70" s="25">
        <v>0.72189999999999999</v>
      </c>
      <c r="E70" s="29">
        <f t="shared" si="4"/>
        <v>0</v>
      </c>
      <c r="F70" s="27" t="s">
        <v>20</v>
      </c>
      <c r="G70" s="28"/>
      <c r="H70" s="28"/>
      <c r="N70" s="49"/>
      <c r="O70" s="49"/>
      <c r="P70" s="49"/>
      <c r="S70" s="6" t="s">
        <v>133</v>
      </c>
    </row>
    <row r="71" spans="1:26" ht="15.75" customHeight="1" thickBot="1">
      <c r="A71" s="136" t="s">
        <v>976</v>
      </c>
      <c r="B71" s="139">
        <v>100237</v>
      </c>
      <c r="C71" s="124"/>
      <c r="D71" s="31">
        <v>0.86260000000000003</v>
      </c>
      <c r="E71" s="32">
        <f t="shared" si="4"/>
        <v>0</v>
      </c>
      <c r="F71" s="27" t="s">
        <v>20</v>
      </c>
      <c r="G71" s="28"/>
      <c r="H71" s="28"/>
      <c r="N71" s="49"/>
      <c r="O71" s="49"/>
      <c r="P71" s="49"/>
      <c r="S71" s="6" t="s">
        <v>134</v>
      </c>
    </row>
    <row r="72" spans="1:26" s="13" customFormat="1" ht="15.75" customHeight="1" thickBot="1">
      <c r="A72" s="182" t="s">
        <v>1019</v>
      </c>
      <c r="B72" s="183"/>
      <c r="C72" s="183"/>
      <c r="D72" s="183"/>
      <c r="E72" s="184"/>
      <c r="F72" s="35"/>
      <c r="G72" s="36"/>
      <c r="H72" s="36"/>
      <c r="J72" s="37">
        <f>SUM(E66:E71)</f>
        <v>0</v>
      </c>
      <c r="L72" s="50"/>
      <c r="M72" s="50"/>
      <c r="N72" s="51"/>
      <c r="O72" s="51"/>
      <c r="P72" s="51"/>
      <c r="S72" s="6" t="s">
        <v>135</v>
      </c>
    </row>
    <row r="73" spans="1:26" ht="18" customHeight="1">
      <c r="A73" s="134" t="s">
        <v>977</v>
      </c>
      <c r="B73" s="52">
        <v>100332</v>
      </c>
      <c r="C73" s="125"/>
      <c r="D73" s="53">
        <v>0.36120000000000002</v>
      </c>
      <c r="E73" s="54">
        <f>C73*D73</f>
        <v>0</v>
      </c>
      <c r="F73" s="27" t="s">
        <v>33</v>
      </c>
      <c r="G73" s="28"/>
      <c r="H73" s="28"/>
      <c r="J73" s="44"/>
      <c r="L73" s="55"/>
      <c r="M73" s="55"/>
      <c r="N73" s="49"/>
      <c r="O73" s="49"/>
      <c r="P73" s="49"/>
      <c r="S73" s="6" t="s">
        <v>136</v>
      </c>
    </row>
    <row r="74" spans="1:26" s="51" customFormat="1" ht="15.75" customHeight="1" thickBot="1">
      <c r="A74" s="136" t="s">
        <v>978</v>
      </c>
      <c r="B74" s="56">
        <v>100332</v>
      </c>
      <c r="C74" s="126"/>
      <c r="D74" s="57">
        <v>0.36120000000000002</v>
      </c>
      <c r="E74" s="58">
        <f>C74*D74</f>
        <v>0</v>
      </c>
      <c r="F74" s="59" t="s">
        <v>137</v>
      </c>
      <c r="G74" s="60"/>
      <c r="H74" s="60"/>
      <c r="J74" s="61">
        <f>SUM(E73:E74)</f>
        <v>0</v>
      </c>
      <c r="L74" s="62"/>
      <c r="M74" s="62"/>
      <c r="S74" s="6" t="s">
        <v>138</v>
      </c>
    </row>
    <row r="75" spans="1:26" s="66" customFormat="1" ht="15.75" customHeight="1" thickBot="1">
      <c r="A75" s="182" t="s">
        <v>1018</v>
      </c>
      <c r="B75" s="183"/>
      <c r="C75" s="183"/>
      <c r="D75" s="183"/>
      <c r="E75" s="184"/>
      <c r="F75" s="35"/>
      <c r="G75" s="63"/>
      <c r="H75" s="64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" t="s">
        <v>139</v>
      </c>
      <c r="T75" s="62"/>
      <c r="U75" s="62"/>
      <c r="V75" s="62"/>
      <c r="W75" s="62"/>
      <c r="X75" s="62"/>
      <c r="Y75" s="62"/>
      <c r="Z75" s="65"/>
    </row>
    <row r="76" spans="1:26" s="13" customFormat="1" ht="15.75" customHeight="1" thickBot="1">
      <c r="A76" s="140" t="s">
        <v>979</v>
      </c>
      <c r="B76" s="67">
        <v>100397</v>
      </c>
      <c r="C76" s="127"/>
      <c r="D76" s="68">
        <v>1.2197</v>
      </c>
      <c r="E76" s="69">
        <f>C76*D76</f>
        <v>0</v>
      </c>
      <c r="F76" s="70" t="s">
        <v>33</v>
      </c>
      <c r="G76" s="36"/>
      <c r="H76" s="36"/>
      <c r="I76" s="62"/>
      <c r="J76" s="71">
        <f>E76</f>
        <v>0</v>
      </c>
      <c r="K76" s="62"/>
      <c r="L76" s="62"/>
      <c r="M76" s="62"/>
      <c r="N76" s="62"/>
      <c r="O76" s="62"/>
      <c r="P76" s="62"/>
      <c r="Q76" s="62"/>
      <c r="R76" s="62"/>
      <c r="S76" s="6" t="s">
        <v>140</v>
      </c>
      <c r="T76" s="62"/>
      <c r="U76" s="62"/>
      <c r="V76" s="62"/>
      <c r="W76" s="62"/>
      <c r="X76" s="62"/>
      <c r="Y76" s="62"/>
    </row>
    <row r="77" spans="1:26" s="74" customFormat="1" ht="15.75" customHeight="1" thickBot="1">
      <c r="A77" s="182" t="s">
        <v>1017</v>
      </c>
      <c r="B77" s="183"/>
      <c r="C77" s="183"/>
      <c r="D77" s="183"/>
      <c r="E77" s="184"/>
      <c r="F77" s="35"/>
      <c r="G77" s="63"/>
      <c r="H77" s="64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6" t="s">
        <v>141</v>
      </c>
      <c r="T77" s="72"/>
      <c r="U77" s="72"/>
      <c r="V77" s="72"/>
      <c r="W77" s="72"/>
      <c r="X77" s="72"/>
      <c r="Y77" s="72"/>
      <c r="Z77" s="73"/>
    </row>
    <row r="78" spans="1:26" s="74" customFormat="1" ht="15.75" customHeight="1">
      <c r="A78" s="134" t="s">
        <v>980</v>
      </c>
      <c r="B78" s="38">
        <v>100495</v>
      </c>
      <c r="C78" s="123"/>
      <c r="D78" s="39">
        <v>0.214</v>
      </c>
      <c r="E78" s="40">
        <f>C78*D78</f>
        <v>0</v>
      </c>
      <c r="F78" s="75" t="s">
        <v>45</v>
      </c>
      <c r="G78" s="45"/>
      <c r="H78" s="64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6" t="s">
        <v>142</v>
      </c>
      <c r="T78" s="72"/>
      <c r="U78" s="72"/>
      <c r="V78" s="72"/>
      <c r="W78" s="72"/>
      <c r="X78" s="72"/>
      <c r="Y78" s="72"/>
      <c r="Z78" s="73"/>
    </row>
    <row r="79" spans="1:26" s="74" customFormat="1" ht="15.75" customHeight="1">
      <c r="A79" s="135" t="s">
        <v>981</v>
      </c>
      <c r="B79" s="34">
        <v>100421</v>
      </c>
      <c r="C79" s="119"/>
      <c r="D79" s="25">
        <v>0.21</v>
      </c>
      <c r="E79" s="29">
        <f>C79*D79</f>
        <v>0</v>
      </c>
      <c r="F79" s="76" t="s">
        <v>45</v>
      </c>
      <c r="G79" s="45"/>
      <c r="H79" s="64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6" t="s">
        <v>143</v>
      </c>
      <c r="T79" s="72"/>
      <c r="U79" s="72"/>
      <c r="V79" s="72"/>
      <c r="W79" s="72"/>
      <c r="X79" s="72"/>
      <c r="Y79" s="72"/>
      <c r="Z79" s="73"/>
    </row>
    <row r="80" spans="1:26" s="74" customFormat="1" ht="15.75" customHeight="1">
      <c r="A80" s="135" t="s">
        <v>982</v>
      </c>
      <c r="B80" s="34">
        <v>100420</v>
      </c>
      <c r="C80" s="119"/>
      <c r="D80" s="25">
        <v>0.28649999999999998</v>
      </c>
      <c r="E80" s="29">
        <f>C80*D80</f>
        <v>0</v>
      </c>
      <c r="F80" s="76" t="s">
        <v>45</v>
      </c>
      <c r="G80" s="45"/>
      <c r="H80" s="64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6" t="s">
        <v>144</v>
      </c>
      <c r="T80" s="72"/>
      <c r="U80" s="72"/>
      <c r="V80" s="72"/>
      <c r="W80" s="72"/>
      <c r="X80" s="72"/>
      <c r="Y80" s="72"/>
      <c r="Z80" s="73"/>
    </row>
    <row r="81" spans="1:26" s="74" customFormat="1" ht="15.75" customHeight="1">
      <c r="A81" s="135" t="s">
        <v>983</v>
      </c>
      <c r="B81" s="34">
        <v>100912</v>
      </c>
      <c r="C81" s="119"/>
      <c r="D81" s="25">
        <v>0.24329999999999999</v>
      </c>
      <c r="E81" s="29">
        <f>C81*D81</f>
        <v>0</v>
      </c>
      <c r="F81" s="76" t="s">
        <v>33</v>
      </c>
      <c r="G81" s="45"/>
      <c r="H81" s="64"/>
      <c r="I81" s="72"/>
      <c r="J81" s="77"/>
      <c r="K81" s="72"/>
      <c r="L81" s="72"/>
      <c r="M81" s="72"/>
      <c r="N81" s="72"/>
      <c r="O81" s="72"/>
      <c r="P81" s="72"/>
      <c r="Q81" s="72"/>
      <c r="R81" s="72"/>
      <c r="S81" s="6" t="s">
        <v>145</v>
      </c>
      <c r="T81" s="72"/>
      <c r="U81" s="72"/>
      <c r="V81" s="72"/>
      <c r="W81" s="72"/>
      <c r="X81" s="72"/>
      <c r="Y81" s="72"/>
      <c r="Z81" s="73"/>
    </row>
    <row r="82" spans="1:26" s="13" customFormat="1" ht="15.75" customHeight="1" thickBot="1">
      <c r="A82" s="136" t="s">
        <v>984</v>
      </c>
      <c r="B82" s="42">
        <v>100418</v>
      </c>
      <c r="C82" s="124"/>
      <c r="D82" s="31">
        <v>0.21099999999999999</v>
      </c>
      <c r="E82" s="32">
        <f>C82*D82</f>
        <v>0</v>
      </c>
      <c r="F82" s="78" t="s">
        <v>33</v>
      </c>
      <c r="G82" s="36"/>
      <c r="H82" s="36"/>
      <c r="J82" s="71">
        <f>SUM(E78:E82)</f>
        <v>0</v>
      </c>
      <c r="S82" s="6" t="s">
        <v>146</v>
      </c>
    </row>
    <row r="83" spans="1:26" ht="15.75" customHeight="1" thickBot="1">
      <c r="A83" s="182" t="s">
        <v>1016</v>
      </c>
      <c r="B83" s="183"/>
      <c r="C83" s="183"/>
      <c r="D83" s="183"/>
      <c r="E83" s="184"/>
      <c r="F83" s="35"/>
      <c r="G83" s="28"/>
      <c r="H83" s="28"/>
      <c r="J83" s="44"/>
      <c r="S83" s="6" t="s">
        <v>147</v>
      </c>
    </row>
    <row r="84" spans="1:26" s="13" customFormat="1" ht="15.75" customHeight="1" thickBot="1">
      <c r="A84" s="140" t="s">
        <v>985</v>
      </c>
      <c r="B84" s="79">
        <v>100444</v>
      </c>
      <c r="C84" s="128"/>
      <c r="D84" s="80">
        <v>0.17979999999999999</v>
      </c>
      <c r="E84" s="81">
        <f>C84*D84</f>
        <v>0</v>
      </c>
      <c r="F84" s="82" t="s">
        <v>13</v>
      </c>
      <c r="G84" s="36"/>
      <c r="H84" s="36"/>
      <c r="J84" s="71">
        <f>E84</f>
        <v>0</v>
      </c>
      <c r="S84" s="6" t="s">
        <v>148</v>
      </c>
    </row>
    <row r="85" spans="1:26" ht="15.75" customHeight="1" thickBot="1">
      <c r="A85" s="182" t="s">
        <v>1015</v>
      </c>
      <c r="B85" s="183"/>
      <c r="C85" s="183"/>
      <c r="D85" s="183"/>
      <c r="E85" s="184"/>
      <c r="F85" s="35"/>
      <c r="G85" s="28"/>
      <c r="H85" s="28"/>
      <c r="J85" s="44"/>
      <c r="S85" s="6" t="s">
        <v>149</v>
      </c>
    </row>
    <row r="86" spans="1:26" s="13" customFormat="1" ht="15.75" customHeight="1" thickBot="1">
      <c r="A86" s="140" t="s">
        <v>986</v>
      </c>
      <c r="B86" s="79">
        <v>101031</v>
      </c>
      <c r="C86" s="128"/>
      <c r="D86" s="80">
        <v>0.51749999999999996</v>
      </c>
      <c r="E86" s="81">
        <f>C86*D86</f>
        <v>0</v>
      </c>
      <c r="F86" s="82" t="s">
        <v>45</v>
      </c>
      <c r="G86" s="36"/>
      <c r="H86" s="36"/>
      <c r="J86" s="71">
        <f>E86</f>
        <v>0</v>
      </c>
      <c r="S86" s="6" t="s">
        <v>150</v>
      </c>
    </row>
    <row r="87" spans="1:26" ht="15.75" customHeight="1" thickBot="1">
      <c r="A87" s="182" t="s">
        <v>1014</v>
      </c>
      <c r="B87" s="183"/>
      <c r="C87" s="183"/>
      <c r="D87" s="183"/>
      <c r="E87" s="184"/>
      <c r="F87" s="35"/>
      <c r="G87" s="28"/>
      <c r="H87" s="28"/>
      <c r="S87" s="6" t="s">
        <v>151</v>
      </c>
    </row>
    <row r="88" spans="1:26" ht="15.75" customHeight="1">
      <c r="A88" s="141" t="s">
        <v>987</v>
      </c>
      <c r="B88" s="83">
        <v>100892</v>
      </c>
      <c r="C88" s="129"/>
      <c r="D88" s="84">
        <v>1.6302000000000001</v>
      </c>
      <c r="E88" s="85">
        <f>C88*D88</f>
        <v>0</v>
      </c>
      <c r="F88" s="82" t="s">
        <v>20</v>
      </c>
      <c r="G88" s="28"/>
      <c r="H88" s="28"/>
      <c r="J88" s="44"/>
      <c r="S88" s="6" t="s">
        <v>152</v>
      </c>
    </row>
    <row r="89" spans="1:26" s="13" customFormat="1" ht="15.75" customHeight="1" thickBot="1">
      <c r="A89" s="142" t="s">
        <v>988</v>
      </c>
      <c r="B89" s="86">
        <v>100892</v>
      </c>
      <c r="C89" s="130"/>
      <c r="D89" s="87">
        <v>1.6302000000000001</v>
      </c>
      <c r="E89" s="88">
        <f>C89*D89</f>
        <v>0</v>
      </c>
      <c r="F89" s="82" t="s">
        <v>33</v>
      </c>
      <c r="G89" s="36"/>
      <c r="H89" s="36"/>
      <c r="J89" s="71">
        <f>SUM(E88:E89)</f>
        <v>0</v>
      </c>
      <c r="S89" s="6" t="s">
        <v>153</v>
      </c>
    </row>
    <row r="90" spans="1:26" ht="15.75" customHeight="1" thickBot="1">
      <c r="A90" s="182" t="s">
        <v>1013</v>
      </c>
      <c r="B90" s="183"/>
      <c r="C90" s="183"/>
      <c r="D90" s="183"/>
      <c r="E90" s="184"/>
      <c r="F90" s="89"/>
      <c r="G90" s="28"/>
      <c r="H90" s="28"/>
      <c r="S90" s="6" t="s">
        <v>154</v>
      </c>
    </row>
    <row r="91" spans="1:26" ht="15.75" customHeight="1">
      <c r="A91" s="141" t="s">
        <v>989</v>
      </c>
      <c r="B91" s="83">
        <v>110227</v>
      </c>
      <c r="C91" s="129"/>
      <c r="D91" s="84">
        <v>5.3600000000000002E-2</v>
      </c>
      <c r="E91" s="85">
        <f t="shared" ref="E91:E99" si="5">C91*D91</f>
        <v>0</v>
      </c>
      <c r="F91" s="82" t="s">
        <v>33</v>
      </c>
      <c r="G91" s="28"/>
      <c r="H91" s="28"/>
      <c r="S91" s="6" t="s">
        <v>155</v>
      </c>
    </row>
    <row r="92" spans="1:26" ht="15.75" customHeight="1">
      <c r="A92" s="143" t="s">
        <v>990</v>
      </c>
      <c r="B92" s="83">
        <v>110227</v>
      </c>
      <c r="C92" s="131"/>
      <c r="D92" s="90">
        <v>5.3600000000000002E-2</v>
      </c>
      <c r="E92" s="91">
        <f t="shared" si="5"/>
        <v>0</v>
      </c>
      <c r="F92" s="82" t="s">
        <v>45</v>
      </c>
      <c r="G92" s="28"/>
      <c r="H92" s="28"/>
      <c r="S92" s="6" t="s">
        <v>156</v>
      </c>
    </row>
    <row r="93" spans="1:26" ht="15.75" customHeight="1">
      <c r="A93" s="143" t="s">
        <v>991</v>
      </c>
      <c r="B93" s="83">
        <v>110227</v>
      </c>
      <c r="C93" s="131"/>
      <c r="D93" s="90">
        <v>5.3600000000000002E-2</v>
      </c>
      <c r="E93" s="91">
        <f t="shared" si="5"/>
        <v>0</v>
      </c>
      <c r="F93" s="82" t="s">
        <v>20</v>
      </c>
      <c r="G93" s="28"/>
      <c r="H93" s="28"/>
      <c r="S93" s="6" t="s">
        <v>157</v>
      </c>
    </row>
    <row r="94" spans="1:26" ht="15.75" customHeight="1">
      <c r="A94" s="143" t="s">
        <v>992</v>
      </c>
      <c r="B94" s="92">
        <v>100506</v>
      </c>
      <c r="C94" s="131"/>
      <c r="D94" s="90">
        <v>9.4500000000000001E-2</v>
      </c>
      <c r="E94" s="91">
        <f t="shared" si="5"/>
        <v>0</v>
      </c>
      <c r="F94" s="82" t="s">
        <v>20</v>
      </c>
      <c r="G94" s="28"/>
      <c r="H94" s="28"/>
      <c r="S94" s="6" t="s">
        <v>158</v>
      </c>
    </row>
    <row r="95" spans="1:26" ht="15.75" customHeight="1">
      <c r="A95" s="143" t="s">
        <v>993</v>
      </c>
      <c r="B95" s="92">
        <v>100506</v>
      </c>
      <c r="C95" s="131"/>
      <c r="D95" s="90">
        <v>9.4500000000000001E-2</v>
      </c>
      <c r="E95" s="91">
        <f t="shared" si="5"/>
        <v>0</v>
      </c>
      <c r="F95" s="82" t="s">
        <v>45</v>
      </c>
      <c r="G95" s="28"/>
      <c r="H95" s="28"/>
      <c r="S95" s="6" t="s">
        <v>159</v>
      </c>
    </row>
    <row r="96" spans="1:26" ht="15.75" customHeight="1">
      <c r="A96" s="143" t="s">
        <v>994</v>
      </c>
      <c r="B96" s="92">
        <v>100506</v>
      </c>
      <c r="C96" s="131"/>
      <c r="D96" s="90">
        <v>9.4500000000000001E-2</v>
      </c>
      <c r="E96" s="91">
        <f>C96*D96</f>
        <v>0</v>
      </c>
      <c r="F96" s="82" t="s">
        <v>33</v>
      </c>
      <c r="G96" s="28"/>
      <c r="H96" s="28"/>
      <c r="S96" s="6" t="s">
        <v>160</v>
      </c>
    </row>
    <row r="97" spans="1:19" ht="15.75" customHeight="1">
      <c r="A97" s="143" t="s">
        <v>995</v>
      </c>
      <c r="B97" s="92">
        <v>100980</v>
      </c>
      <c r="C97" s="131"/>
      <c r="D97" s="90">
        <v>0.19969999999999999</v>
      </c>
      <c r="E97" s="91">
        <f>C97*D97</f>
        <v>0</v>
      </c>
      <c r="F97" s="82" t="s">
        <v>20</v>
      </c>
      <c r="G97" s="28"/>
      <c r="H97" s="28"/>
      <c r="S97" s="6" t="s">
        <v>161</v>
      </c>
    </row>
    <row r="98" spans="1:19" ht="15.75" customHeight="1">
      <c r="A98" s="143" t="s">
        <v>996</v>
      </c>
      <c r="B98" s="92">
        <v>100980</v>
      </c>
      <c r="C98" s="131"/>
      <c r="D98" s="90">
        <v>0.19969999999999999</v>
      </c>
      <c r="E98" s="91">
        <f t="shared" si="5"/>
        <v>0</v>
      </c>
      <c r="F98" s="82" t="s">
        <v>45</v>
      </c>
      <c r="G98" s="28"/>
      <c r="H98" s="28"/>
      <c r="J98" s="71">
        <f>SUM(E91:E99)</f>
        <v>0</v>
      </c>
      <c r="S98" s="6" t="s">
        <v>162</v>
      </c>
    </row>
    <row r="99" spans="1:19" ht="15.75" customHeight="1" thickBot="1">
      <c r="A99" s="142" t="s">
        <v>997</v>
      </c>
      <c r="B99" s="86">
        <v>100980</v>
      </c>
      <c r="C99" s="130"/>
      <c r="D99" s="87">
        <v>0.19969999999999999</v>
      </c>
      <c r="E99" s="88">
        <f t="shared" si="5"/>
        <v>0</v>
      </c>
      <c r="F99" s="82" t="s">
        <v>33</v>
      </c>
      <c r="G99" s="93"/>
      <c r="H99" s="93"/>
      <c r="S99" s="6" t="s">
        <v>163</v>
      </c>
    </row>
    <row r="100" spans="1:19" ht="23.25" thickBot="1">
      <c r="A100" s="94"/>
      <c r="B100" s="94"/>
      <c r="C100" s="94"/>
      <c r="D100" s="94"/>
      <c r="E100" s="94"/>
      <c r="F100" s="94"/>
      <c r="S100" s="6" t="s">
        <v>164</v>
      </c>
    </row>
    <row r="101" spans="1:19" ht="23.25" thickBot="1">
      <c r="C101" s="185" t="s">
        <v>165</v>
      </c>
      <c r="D101" s="186"/>
      <c r="E101" s="96">
        <f>'Entitlement Details'!C23</f>
        <v>0</v>
      </c>
      <c r="F101" s="132" t="e">
        <f>IF('Entitlement Details'!C5&lt;0,"Request exceeds entitlement balance","")</f>
        <v>#N/A</v>
      </c>
      <c r="S101" s="6" t="s">
        <v>166</v>
      </c>
    </row>
    <row r="102" spans="1:19" ht="22.5">
      <c r="A102" s="13" t="s">
        <v>167</v>
      </c>
      <c r="S102" s="6" t="s">
        <v>168</v>
      </c>
    </row>
    <row r="103" spans="1:19" ht="18" customHeight="1">
      <c r="A103" s="98" t="s">
        <v>169</v>
      </c>
      <c r="S103" s="6" t="s">
        <v>170</v>
      </c>
    </row>
    <row r="104" spans="1:19" ht="18.75" customHeight="1">
      <c r="A104" s="164" t="s">
        <v>1004</v>
      </c>
      <c r="S104" s="6"/>
    </row>
    <row r="105" spans="1:19" ht="22.5">
      <c r="A105" t="s">
        <v>1036</v>
      </c>
      <c r="S105" s="6" t="s">
        <v>171</v>
      </c>
    </row>
    <row r="106" spans="1:19" ht="22.5">
      <c r="S106" s="6" t="s">
        <v>172</v>
      </c>
    </row>
    <row r="107" spans="1:19" s="72" customFormat="1" ht="22.5">
      <c r="B107" s="99"/>
      <c r="C107" s="99"/>
      <c r="D107" s="99"/>
      <c r="F107" s="100"/>
      <c r="G107" s="100"/>
      <c r="H107" s="100"/>
      <c r="S107" s="6" t="s">
        <v>173</v>
      </c>
    </row>
    <row r="108" spans="1:19" s="72" customFormat="1" ht="48" customHeight="1">
      <c r="A108" s="187"/>
      <c r="B108" s="187"/>
      <c r="C108" s="101"/>
      <c r="D108" s="188"/>
      <c r="E108" s="188"/>
      <c r="F108" s="100"/>
      <c r="G108" s="100"/>
      <c r="H108" s="100"/>
      <c r="S108" s="6" t="s">
        <v>174</v>
      </c>
    </row>
    <row r="109" spans="1:19" s="72" customFormat="1" ht="48" customHeight="1">
      <c r="A109" s="187"/>
      <c r="B109" s="187"/>
      <c r="C109" s="101"/>
      <c r="D109" s="188"/>
      <c r="E109" s="188"/>
      <c r="F109" s="100"/>
      <c r="G109" s="100"/>
      <c r="H109" s="100"/>
      <c r="S109" s="6" t="s">
        <v>175</v>
      </c>
    </row>
    <row r="110" spans="1:19" s="72" customFormat="1" ht="22.5">
      <c r="A110" s="187"/>
      <c r="B110" s="187"/>
      <c r="C110" s="102"/>
      <c r="D110" s="103"/>
      <c r="E110" s="103"/>
      <c r="F110" s="100"/>
      <c r="G110" s="100"/>
      <c r="H110" s="100"/>
      <c r="S110" s="6" t="s">
        <v>176</v>
      </c>
    </row>
    <row r="111" spans="1:19" s="72" customFormat="1" ht="22.5">
      <c r="A111" s="179"/>
      <c r="B111" s="179"/>
      <c r="C111" s="180"/>
      <c r="D111" s="180"/>
      <c r="F111" s="100"/>
      <c r="G111" s="100"/>
      <c r="H111" s="100"/>
      <c r="S111" s="6" t="s">
        <v>177</v>
      </c>
    </row>
    <row r="112" spans="1:19" s="72" customFormat="1" ht="22.5">
      <c r="A112" s="177"/>
      <c r="B112" s="177"/>
      <c r="C112" s="181"/>
      <c r="D112" s="181"/>
      <c r="F112" s="100"/>
      <c r="G112" s="100"/>
      <c r="H112" s="100"/>
      <c r="S112" s="6" t="s">
        <v>178</v>
      </c>
    </row>
    <row r="113" spans="1:19" s="72" customFormat="1" ht="22.5">
      <c r="A113" s="177"/>
      <c r="B113" s="177"/>
      <c r="C113" s="178"/>
      <c r="D113" s="178"/>
      <c r="F113" s="100"/>
      <c r="G113" s="100"/>
      <c r="H113" s="100"/>
      <c r="S113" s="6" t="s">
        <v>179</v>
      </c>
    </row>
    <row r="114" spans="1:19" s="72" customFormat="1">
      <c r="A114" s="177"/>
      <c r="B114" s="177"/>
      <c r="C114" s="178"/>
      <c r="D114" s="178"/>
      <c r="F114" s="100"/>
      <c r="G114" s="100"/>
      <c r="H114" s="100"/>
      <c r="S114" s="6" t="s">
        <v>180</v>
      </c>
    </row>
    <row r="115" spans="1:19" s="72" customFormat="1" ht="22.5">
      <c r="A115" s="177"/>
      <c r="B115" s="177"/>
      <c r="C115" s="178"/>
      <c r="D115" s="178"/>
      <c r="F115" s="100"/>
      <c r="G115" s="100"/>
      <c r="H115" s="100"/>
      <c r="S115" s="6" t="s">
        <v>181</v>
      </c>
    </row>
    <row r="116" spans="1:19" s="72" customFormat="1" ht="22.5">
      <c r="A116" s="177"/>
      <c r="B116" s="177"/>
      <c r="C116" s="178"/>
      <c r="D116" s="178"/>
      <c r="F116" s="100"/>
      <c r="G116" s="100"/>
      <c r="H116" s="100"/>
      <c r="S116" s="6" t="s">
        <v>182</v>
      </c>
    </row>
    <row r="117" spans="1:19" s="72" customFormat="1" ht="22.5">
      <c r="A117" s="177"/>
      <c r="B117" s="177"/>
      <c r="C117" s="178"/>
      <c r="D117" s="178"/>
      <c r="F117" s="100"/>
      <c r="G117" s="100"/>
      <c r="H117" s="100"/>
      <c r="S117" s="6" t="s">
        <v>183</v>
      </c>
    </row>
    <row r="118" spans="1:19" s="72" customFormat="1">
      <c r="A118" s="177"/>
      <c r="B118" s="177"/>
      <c r="C118" s="178"/>
      <c r="D118" s="178"/>
      <c r="F118" s="100"/>
      <c r="G118" s="100"/>
      <c r="H118" s="100"/>
      <c r="S118" s="6" t="s">
        <v>184</v>
      </c>
    </row>
    <row r="119" spans="1:19" s="72" customFormat="1" ht="22.5">
      <c r="A119" s="177"/>
      <c r="B119" s="177"/>
      <c r="C119" s="178"/>
      <c r="D119" s="178"/>
      <c r="F119" s="100"/>
      <c r="G119" s="100"/>
      <c r="H119" s="100"/>
      <c r="S119" s="6" t="s">
        <v>185</v>
      </c>
    </row>
    <row r="120" spans="1:19" s="72" customFormat="1" ht="22.5">
      <c r="A120" s="177"/>
      <c r="B120" s="177"/>
      <c r="C120" s="178"/>
      <c r="D120" s="178"/>
      <c r="F120" s="100"/>
      <c r="G120" s="100"/>
      <c r="H120" s="100"/>
      <c r="S120" s="6" t="s">
        <v>186</v>
      </c>
    </row>
    <row r="121" spans="1:19" s="72" customFormat="1" ht="22.5">
      <c r="A121" s="177"/>
      <c r="B121" s="177"/>
      <c r="C121" s="178"/>
      <c r="D121" s="178"/>
      <c r="F121" s="100"/>
      <c r="G121" s="100"/>
      <c r="H121" s="100"/>
      <c r="S121" s="6" t="s">
        <v>187</v>
      </c>
    </row>
    <row r="122" spans="1:19" s="72" customFormat="1">
      <c r="A122" s="177"/>
      <c r="B122" s="177"/>
      <c r="C122" s="178"/>
      <c r="D122" s="178"/>
      <c r="F122" s="100"/>
      <c r="G122" s="100"/>
      <c r="H122" s="100"/>
      <c r="S122" s="6" t="s">
        <v>188</v>
      </c>
    </row>
    <row r="123" spans="1:19" s="72" customFormat="1">
      <c r="A123" s="177"/>
      <c r="B123" s="177"/>
      <c r="C123" s="178"/>
      <c r="D123" s="178"/>
      <c r="F123" s="100"/>
      <c r="G123" s="100"/>
      <c r="H123" s="100"/>
      <c r="S123" s="6" t="s">
        <v>189</v>
      </c>
    </row>
    <row r="124" spans="1:19" s="72" customFormat="1" ht="22.5">
      <c r="A124" s="177"/>
      <c r="B124" s="177"/>
      <c r="C124" s="178"/>
      <c r="D124" s="178"/>
      <c r="F124" s="100"/>
      <c r="G124" s="100"/>
      <c r="H124" s="100"/>
      <c r="S124" s="6" t="s">
        <v>190</v>
      </c>
    </row>
    <row r="125" spans="1:19" s="72" customFormat="1" ht="22.5">
      <c r="A125" s="177"/>
      <c r="B125" s="177"/>
      <c r="C125" s="178"/>
      <c r="D125" s="178"/>
      <c r="F125" s="100"/>
      <c r="G125" s="100"/>
      <c r="H125" s="100"/>
      <c r="S125" s="6" t="s">
        <v>191</v>
      </c>
    </row>
    <row r="126" spans="1:19" s="72" customFormat="1">
      <c r="B126" s="104"/>
      <c r="C126" s="176"/>
      <c r="D126" s="176"/>
      <c r="F126" s="100"/>
      <c r="G126" s="100"/>
      <c r="H126" s="100"/>
      <c r="S126" s="6" t="s">
        <v>192</v>
      </c>
    </row>
    <row r="127" spans="1:19" s="72" customFormat="1" ht="22.5">
      <c r="C127" s="105"/>
      <c r="D127" s="106"/>
      <c r="F127" s="100"/>
      <c r="G127" s="100"/>
      <c r="H127" s="100"/>
      <c r="S127" s="6" t="s">
        <v>193</v>
      </c>
    </row>
    <row r="128" spans="1:19" ht="22.5">
      <c r="A128"/>
      <c r="B128"/>
      <c r="C128"/>
      <c r="D128"/>
      <c r="S128" s="6" t="s">
        <v>194</v>
      </c>
    </row>
    <row r="129" spans="1:19" ht="22.5">
      <c r="A129"/>
      <c r="B129"/>
      <c r="C129"/>
      <c r="D129"/>
      <c r="S129" s="6" t="s">
        <v>195</v>
      </c>
    </row>
    <row r="130" spans="1:19" ht="22.5">
      <c r="A130"/>
      <c r="B130"/>
      <c r="C130"/>
      <c r="D130"/>
      <c r="S130" s="6" t="s">
        <v>196</v>
      </c>
    </row>
    <row r="131" spans="1:19" ht="22.5">
      <c r="A131"/>
      <c r="B131"/>
      <c r="C131"/>
      <c r="D131"/>
      <c r="S131" s="6" t="s">
        <v>197</v>
      </c>
    </row>
    <row r="132" spans="1:19" ht="22.5">
      <c r="A132"/>
      <c r="B132"/>
      <c r="C132"/>
      <c r="D132"/>
      <c r="S132" s="6" t="s">
        <v>198</v>
      </c>
    </row>
    <row r="133" spans="1:19" ht="22.5">
      <c r="S133" s="6" t="s">
        <v>199</v>
      </c>
    </row>
    <row r="134" spans="1:19" ht="22.5">
      <c r="S134" s="6" t="s">
        <v>200</v>
      </c>
    </row>
    <row r="135" spans="1:19" ht="22.5">
      <c r="S135" s="6" t="s">
        <v>201</v>
      </c>
    </row>
    <row r="136" spans="1:19" ht="22.5">
      <c r="S136" s="6" t="s">
        <v>202</v>
      </c>
    </row>
    <row r="137" spans="1:19" ht="22.5">
      <c r="S137" s="6" t="s">
        <v>203</v>
      </c>
    </row>
    <row r="138" spans="1:19" ht="22.5">
      <c r="S138" s="6" t="s">
        <v>204</v>
      </c>
    </row>
    <row r="139" spans="1:19" ht="22.5">
      <c r="S139" s="6" t="s">
        <v>205</v>
      </c>
    </row>
    <row r="140" spans="1:19" ht="22.5">
      <c r="S140" s="6" t="s">
        <v>206</v>
      </c>
    </row>
    <row r="141" spans="1:19">
      <c r="S141" s="6" t="s">
        <v>207</v>
      </c>
    </row>
    <row r="142" spans="1:19" ht="22.5">
      <c r="S142" s="6" t="s">
        <v>208</v>
      </c>
    </row>
    <row r="143" spans="1:19" ht="22.5">
      <c r="S143" s="6" t="s">
        <v>209</v>
      </c>
    </row>
    <row r="144" spans="1:19">
      <c r="S144" s="6" t="s">
        <v>210</v>
      </c>
    </row>
    <row r="145" spans="19:19" ht="22.5">
      <c r="S145" s="6" t="s">
        <v>211</v>
      </c>
    </row>
    <row r="146" spans="19:19">
      <c r="S146" s="6" t="s">
        <v>212</v>
      </c>
    </row>
    <row r="147" spans="19:19" ht="22.5">
      <c r="S147" s="6" t="s">
        <v>213</v>
      </c>
    </row>
    <row r="148" spans="19:19">
      <c r="S148" s="6" t="s">
        <v>214</v>
      </c>
    </row>
    <row r="149" spans="19:19" ht="22.5">
      <c r="S149" s="6" t="s">
        <v>215</v>
      </c>
    </row>
    <row r="150" spans="19:19" ht="22.5">
      <c r="S150" s="6" t="s">
        <v>216</v>
      </c>
    </row>
    <row r="151" spans="19:19" ht="22.5">
      <c r="S151" s="6" t="s">
        <v>217</v>
      </c>
    </row>
    <row r="152" spans="19:19" ht="22.5">
      <c r="S152" s="6" t="s">
        <v>218</v>
      </c>
    </row>
    <row r="153" spans="19:19">
      <c r="S153" s="6" t="s">
        <v>219</v>
      </c>
    </row>
    <row r="154" spans="19:19">
      <c r="S154" s="6" t="s">
        <v>220</v>
      </c>
    </row>
    <row r="155" spans="19:19">
      <c r="S155" s="6" t="s">
        <v>221</v>
      </c>
    </row>
    <row r="156" spans="19:19" ht="22.5">
      <c r="S156" s="6" t="s">
        <v>222</v>
      </c>
    </row>
    <row r="157" spans="19:19" ht="22.5">
      <c r="S157" s="6" t="s">
        <v>223</v>
      </c>
    </row>
    <row r="158" spans="19:19" ht="22.5">
      <c r="S158" s="6" t="s">
        <v>224</v>
      </c>
    </row>
    <row r="159" spans="19:19" ht="22.5">
      <c r="S159" s="6" t="s">
        <v>225</v>
      </c>
    </row>
    <row r="160" spans="19:19">
      <c r="S160" s="6" t="s">
        <v>226</v>
      </c>
    </row>
    <row r="161" spans="19:19" ht="22.5">
      <c r="S161" s="6" t="s">
        <v>227</v>
      </c>
    </row>
    <row r="162" spans="19:19">
      <c r="S162" s="6" t="s">
        <v>228</v>
      </c>
    </row>
    <row r="163" spans="19:19" ht="22.5">
      <c r="S163" s="6" t="s">
        <v>229</v>
      </c>
    </row>
    <row r="164" spans="19:19" ht="22.5">
      <c r="S164" s="6" t="s">
        <v>230</v>
      </c>
    </row>
    <row r="165" spans="19:19" ht="22.5">
      <c r="S165" s="6" t="s">
        <v>231</v>
      </c>
    </row>
    <row r="166" spans="19:19" ht="22.5">
      <c r="S166" s="6" t="s">
        <v>232</v>
      </c>
    </row>
    <row r="167" spans="19:19">
      <c r="S167" s="6" t="s">
        <v>233</v>
      </c>
    </row>
    <row r="168" spans="19:19" ht="22.5">
      <c r="S168" s="6" t="s">
        <v>234</v>
      </c>
    </row>
    <row r="169" spans="19:19" ht="22.5">
      <c r="S169" s="6" t="s">
        <v>235</v>
      </c>
    </row>
    <row r="170" spans="19:19" ht="22.5">
      <c r="S170" s="6" t="s">
        <v>236</v>
      </c>
    </row>
    <row r="171" spans="19:19" ht="22.5">
      <c r="S171" s="6" t="s">
        <v>237</v>
      </c>
    </row>
    <row r="172" spans="19:19" ht="22.5">
      <c r="S172" s="6" t="s">
        <v>238</v>
      </c>
    </row>
    <row r="173" spans="19:19" ht="22.5">
      <c r="S173" s="6" t="s">
        <v>239</v>
      </c>
    </row>
    <row r="174" spans="19:19" ht="22.5">
      <c r="S174" s="6" t="s">
        <v>240</v>
      </c>
    </row>
    <row r="175" spans="19:19">
      <c r="S175" s="6" t="s">
        <v>241</v>
      </c>
    </row>
    <row r="176" spans="19:19" ht="22.5">
      <c r="S176" s="6" t="s">
        <v>242</v>
      </c>
    </row>
    <row r="177" spans="19:19" ht="22.5">
      <c r="S177" s="6" t="s">
        <v>243</v>
      </c>
    </row>
    <row r="178" spans="19:19" ht="22.5">
      <c r="S178" s="6" t="s">
        <v>244</v>
      </c>
    </row>
    <row r="179" spans="19:19" ht="22.5">
      <c r="S179" s="6" t="s">
        <v>245</v>
      </c>
    </row>
    <row r="180" spans="19:19" ht="22.5">
      <c r="S180" s="6" t="s">
        <v>246</v>
      </c>
    </row>
    <row r="181" spans="19:19">
      <c r="S181" s="6" t="s">
        <v>247</v>
      </c>
    </row>
    <row r="182" spans="19:19">
      <c r="S182" s="6" t="s">
        <v>248</v>
      </c>
    </row>
    <row r="183" spans="19:19">
      <c r="S183" s="6" t="s">
        <v>249</v>
      </c>
    </row>
    <row r="184" spans="19:19" ht="22.5">
      <c r="S184" s="6" t="s">
        <v>250</v>
      </c>
    </row>
    <row r="185" spans="19:19">
      <c r="S185" s="6" t="s">
        <v>251</v>
      </c>
    </row>
    <row r="186" spans="19:19" ht="22.5">
      <c r="S186" s="6" t="s">
        <v>252</v>
      </c>
    </row>
    <row r="187" spans="19:19">
      <c r="S187" s="6" t="s">
        <v>253</v>
      </c>
    </row>
    <row r="188" spans="19:19">
      <c r="S188" s="6" t="s">
        <v>254</v>
      </c>
    </row>
    <row r="189" spans="19:19" ht="22.5">
      <c r="S189" s="6" t="s">
        <v>255</v>
      </c>
    </row>
    <row r="190" spans="19:19" ht="22.5">
      <c r="S190" s="6" t="s">
        <v>256</v>
      </c>
    </row>
    <row r="191" spans="19:19">
      <c r="S191" s="6" t="s">
        <v>257</v>
      </c>
    </row>
    <row r="192" spans="19:19" ht="22.5">
      <c r="S192" s="6" t="s">
        <v>258</v>
      </c>
    </row>
    <row r="193" spans="19:19" ht="22.5">
      <c r="S193" s="6" t="s">
        <v>259</v>
      </c>
    </row>
    <row r="194" spans="19:19" ht="22.5">
      <c r="S194" s="6" t="s">
        <v>260</v>
      </c>
    </row>
    <row r="195" spans="19:19">
      <c r="S195" s="6" t="s">
        <v>261</v>
      </c>
    </row>
    <row r="196" spans="19:19" ht="22.5">
      <c r="S196" s="6" t="s">
        <v>262</v>
      </c>
    </row>
    <row r="197" spans="19:19" ht="22.5">
      <c r="S197" s="6" t="s">
        <v>263</v>
      </c>
    </row>
    <row r="198" spans="19:19" ht="22.5">
      <c r="S198" s="6" t="s">
        <v>264</v>
      </c>
    </row>
    <row r="199" spans="19:19" ht="22.5">
      <c r="S199" s="6" t="s">
        <v>265</v>
      </c>
    </row>
    <row r="200" spans="19:19" ht="22.5">
      <c r="S200" s="6" t="s">
        <v>266</v>
      </c>
    </row>
    <row r="201" spans="19:19">
      <c r="S201" s="6" t="s">
        <v>267</v>
      </c>
    </row>
    <row r="202" spans="19:19" ht="22.5">
      <c r="S202" s="6" t="s">
        <v>268</v>
      </c>
    </row>
    <row r="203" spans="19:19" ht="22.5">
      <c r="S203" s="6" t="s">
        <v>269</v>
      </c>
    </row>
    <row r="204" spans="19:19">
      <c r="S204" s="6" t="s">
        <v>270</v>
      </c>
    </row>
    <row r="205" spans="19:19">
      <c r="S205" s="6" t="s">
        <v>271</v>
      </c>
    </row>
    <row r="206" spans="19:19" ht="22.5">
      <c r="S206" s="6" t="s">
        <v>272</v>
      </c>
    </row>
    <row r="207" spans="19:19">
      <c r="S207" s="6" t="s">
        <v>273</v>
      </c>
    </row>
    <row r="208" spans="19:19" ht="22.5">
      <c r="S208" s="6" t="s">
        <v>274</v>
      </c>
    </row>
    <row r="209" spans="19:19" ht="22.5">
      <c r="S209" s="6" t="s">
        <v>275</v>
      </c>
    </row>
    <row r="210" spans="19:19">
      <c r="S210" s="6" t="s">
        <v>276</v>
      </c>
    </row>
    <row r="211" spans="19:19">
      <c r="S211" s="6" t="s">
        <v>277</v>
      </c>
    </row>
    <row r="212" spans="19:19" ht="22.5">
      <c r="S212" s="6" t="s">
        <v>278</v>
      </c>
    </row>
    <row r="213" spans="19:19">
      <c r="S213" s="6" t="s">
        <v>279</v>
      </c>
    </row>
    <row r="214" spans="19:19">
      <c r="S214" s="6" t="s">
        <v>280</v>
      </c>
    </row>
    <row r="215" spans="19:19">
      <c r="S215" s="6" t="s">
        <v>281</v>
      </c>
    </row>
    <row r="216" spans="19:19" ht="22.5">
      <c r="S216" s="6" t="s">
        <v>282</v>
      </c>
    </row>
    <row r="217" spans="19:19" ht="22.5">
      <c r="S217" s="6" t="s">
        <v>283</v>
      </c>
    </row>
    <row r="218" spans="19:19" ht="22.5">
      <c r="S218" s="6" t="s">
        <v>284</v>
      </c>
    </row>
    <row r="219" spans="19:19" ht="22.5">
      <c r="S219" s="6" t="s">
        <v>285</v>
      </c>
    </row>
    <row r="220" spans="19:19">
      <c r="S220" s="6" t="s">
        <v>286</v>
      </c>
    </row>
    <row r="221" spans="19:19" ht="22.5">
      <c r="S221" s="6" t="s">
        <v>287</v>
      </c>
    </row>
    <row r="222" spans="19:19" ht="22.5">
      <c r="S222" s="6" t="s">
        <v>288</v>
      </c>
    </row>
    <row r="223" spans="19:19" ht="22.5">
      <c r="S223" s="6" t="s">
        <v>289</v>
      </c>
    </row>
    <row r="224" spans="19:19">
      <c r="S224" s="6" t="s">
        <v>290</v>
      </c>
    </row>
    <row r="225" spans="19:19" ht="22.5">
      <c r="S225" s="6" t="s">
        <v>291</v>
      </c>
    </row>
    <row r="226" spans="19:19" ht="22.5">
      <c r="S226" s="6" t="s">
        <v>292</v>
      </c>
    </row>
    <row r="227" spans="19:19">
      <c r="S227" s="6" t="s">
        <v>293</v>
      </c>
    </row>
    <row r="228" spans="19:19" ht="22.5">
      <c r="S228" s="6" t="s">
        <v>294</v>
      </c>
    </row>
    <row r="229" spans="19:19" ht="22.5">
      <c r="S229" s="6" t="s">
        <v>295</v>
      </c>
    </row>
    <row r="230" spans="19:19" ht="22.5">
      <c r="S230" s="6" t="s">
        <v>296</v>
      </c>
    </row>
    <row r="231" spans="19:19">
      <c r="S231" s="6" t="s">
        <v>297</v>
      </c>
    </row>
    <row r="232" spans="19:19">
      <c r="S232" s="6" t="s">
        <v>298</v>
      </c>
    </row>
    <row r="233" spans="19:19" ht="22.5">
      <c r="S233" s="6" t="s">
        <v>299</v>
      </c>
    </row>
    <row r="234" spans="19:19" ht="22.5">
      <c r="S234" s="6" t="s">
        <v>300</v>
      </c>
    </row>
    <row r="235" spans="19:19">
      <c r="S235" s="6" t="s">
        <v>301</v>
      </c>
    </row>
    <row r="236" spans="19:19" ht="22.5">
      <c r="S236" s="6" t="s">
        <v>302</v>
      </c>
    </row>
    <row r="237" spans="19:19" ht="22.5">
      <c r="S237" s="6" t="s">
        <v>303</v>
      </c>
    </row>
    <row r="238" spans="19:19" ht="22.5">
      <c r="S238" s="6" t="s">
        <v>304</v>
      </c>
    </row>
    <row r="239" spans="19:19" ht="22.5">
      <c r="S239" s="6" t="s">
        <v>305</v>
      </c>
    </row>
    <row r="240" spans="19:19" ht="22.5">
      <c r="S240" s="6" t="s">
        <v>306</v>
      </c>
    </row>
    <row r="241" spans="19:19" ht="22.5">
      <c r="S241" s="6" t="s">
        <v>307</v>
      </c>
    </row>
    <row r="242" spans="19:19">
      <c r="S242" s="6" t="s">
        <v>308</v>
      </c>
    </row>
    <row r="243" spans="19:19" ht="22.5">
      <c r="S243" s="6" t="s">
        <v>309</v>
      </c>
    </row>
    <row r="244" spans="19:19">
      <c r="S244" s="6" t="s">
        <v>310</v>
      </c>
    </row>
    <row r="245" spans="19:19" ht="22.5">
      <c r="S245" s="6" t="s">
        <v>311</v>
      </c>
    </row>
    <row r="246" spans="19:19" ht="22.5">
      <c r="S246" s="6" t="s">
        <v>312</v>
      </c>
    </row>
    <row r="247" spans="19:19" ht="22.5">
      <c r="S247" s="6" t="s">
        <v>313</v>
      </c>
    </row>
    <row r="248" spans="19:19" ht="22.5">
      <c r="S248" s="6" t="s">
        <v>314</v>
      </c>
    </row>
    <row r="249" spans="19:19" ht="22.5">
      <c r="S249" s="6" t="s">
        <v>315</v>
      </c>
    </row>
    <row r="250" spans="19:19">
      <c r="S250" s="6" t="s">
        <v>316</v>
      </c>
    </row>
    <row r="251" spans="19:19">
      <c r="S251" s="6" t="s">
        <v>316</v>
      </c>
    </row>
    <row r="252" spans="19:19" ht="22.5">
      <c r="S252" s="6" t="s">
        <v>317</v>
      </c>
    </row>
    <row r="253" spans="19:19">
      <c r="S253" s="6" t="s">
        <v>318</v>
      </c>
    </row>
    <row r="254" spans="19:19" ht="22.5">
      <c r="S254" s="6" t="s">
        <v>319</v>
      </c>
    </row>
    <row r="255" spans="19:19" ht="22.5">
      <c r="S255" s="6" t="s">
        <v>320</v>
      </c>
    </row>
    <row r="256" spans="19:19" ht="22.5">
      <c r="S256" s="6" t="s">
        <v>321</v>
      </c>
    </row>
    <row r="257" spans="19:19" ht="22.5">
      <c r="S257" s="6" t="s">
        <v>322</v>
      </c>
    </row>
    <row r="258" spans="19:19" ht="22.5">
      <c r="S258" s="6" t="s">
        <v>323</v>
      </c>
    </row>
    <row r="259" spans="19:19" ht="22.5">
      <c r="S259" s="6" t="s">
        <v>324</v>
      </c>
    </row>
    <row r="260" spans="19:19" ht="22.5">
      <c r="S260" s="6" t="s">
        <v>325</v>
      </c>
    </row>
    <row r="261" spans="19:19" ht="22.5">
      <c r="S261" s="6" t="s">
        <v>326</v>
      </c>
    </row>
    <row r="262" spans="19:19">
      <c r="S262" s="6" t="s">
        <v>327</v>
      </c>
    </row>
    <row r="263" spans="19:19" ht="22.5">
      <c r="S263" s="6" t="s">
        <v>328</v>
      </c>
    </row>
    <row r="264" spans="19:19" ht="22.5">
      <c r="S264" s="6" t="s">
        <v>329</v>
      </c>
    </row>
    <row r="265" spans="19:19" ht="22.5">
      <c r="S265" s="6" t="s">
        <v>330</v>
      </c>
    </row>
    <row r="266" spans="19:19" ht="22.5">
      <c r="S266" s="6" t="s">
        <v>331</v>
      </c>
    </row>
    <row r="267" spans="19:19">
      <c r="S267" s="6" t="s">
        <v>332</v>
      </c>
    </row>
    <row r="268" spans="19:19" ht="22.5">
      <c r="S268" s="6" t="s">
        <v>333</v>
      </c>
    </row>
    <row r="269" spans="19:19" ht="22.5">
      <c r="S269" s="6" t="s">
        <v>334</v>
      </c>
    </row>
    <row r="270" spans="19:19" ht="22.5">
      <c r="S270" s="6" t="s">
        <v>335</v>
      </c>
    </row>
    <row r="271" spans="19:19" ht="22.5">
      <c r="S271" s="6" t="s">
        <v>336</v>
      </c>
    </row>
    <row r="272" spans="19:19" ht="22.5">
      <c r="S272" s="6" t="s">
        <v>337</v>
      </c>
    </row>
    <row r="273" spans="19:19" ht="22.5">
      <c r="S273" s="6" t="s">
        <v>338</v>
      </c>
    </row>
    <row r="274" spans="19:19" ht="22.5">
      <c r="S274" s="6" t="s">
        <v>339</v>
      </c>
    </row>
    <row r="275" spans="19:19" ht="22.5">
      <c r="S275" s="6" t="s">
        <v>340</v>
      </c>
    </row>
    <row r="276" spans="19:19" ht="22.5">
      <c r="S276" s="6" t="s">
        <v>341</v>
      </c>
    </row>
    <row r="277" spans="19:19">
      <c r="S277" s="6" t="s">
        <v>342</v>
      </c>
    </row>
    <row r="278" spans="19:19" ht="22.5">
      <c r="S278" s="6" t="s">
        <v>343</v>
      </c>
    </row>
    <row r="279" spans="19:19" ht="22.5">
      <c r="S279" s="6" t="s">
        <v>344</v>
      </c>
    </row>
    <row r="280" spans="19:19" ht="22.5">
      <c r="S280" s="6" t="s">
        <v>345</v>
      </c>
    </row>
    <row r="281" spans="19:19" ht="22.5">
      <c r="S281" s="6" t="s">
        <v>346</v>
      </c>
    </row>
    <row r="282" spans="19:19">
      <c r="S282" s="6" t="s">
        <v>347</v>
      </c>
    </row>
    <row r="283" spans="19:19" ht="22.5">
      <c r="S283" s="6" t="s">
        <v>348</v>
      </c>
    </row>
    <row r="284" spans="19:19" ht="22.5">
      <c r="S284" s="6" t="s">
        <v>349</v>
      </c>
    </row>
    <row r="285" spans="19:19" ht="22.5">
      <c r="S285" s="6" t="s">
        <v>350</v>
      </c>
    </row>
    <row r="286" spans="19:19" ht="22.5">
      <c r="S286" s="6" t="s">
        <v>351</v>
      </c>
    </row>
    <row r="287" spans="19:19" ht="22.5">
      <c r="S287" s="6" t="s">
        <v>352</v>
      </c>
    </row>
    <row r="288" spans="19:19" ht="22.5">
      <c r="S288" s="6" t="s">
        <v>353</v>
      </c>
    </row>
    <row r="289" spans="19:19" ht="22.5">
      <c r="S289" s="6" t="s">
        <v>354</v>
      </c>
    </row>
    <row r="290" spans="19:19" ht="22.5">
      <c r="S290" s="6" t="s">
        <v>355</v>
      </c>
    </row>
    <row r="291" spans="19:19" ht="22.5">
      <c r="S291" s="6" t="s">
        <v>356</v>
      </c>
    </row>
    <row r="292" spans="19:19" ht="22.5">
      <c r="S292" s="6" t="s">
        <v>357</v>
      </c>
    </row>
    <row r="293" spans="19:19" ht="22.5">
      <c r="S293" s="6" t="s">
        <v>358</v>
      </c>
    </row>
    <row r="294" spans="19:19" ht="22.5">
      <c r="S294" s="6" t="s">
        <v>359</v>
      </c>
    </row>
    <row r="295" spans="19:19">
      <c r="S295" s="6" t="s">
        <v>360</v>
      </c>
    </row>
    <row r="296" spans="19:19">
      <c r="S296" s="6" t="s">
        <v>361</v>
      </c>
    </row>
    <row r="297" spans="19:19" ht="22.5">
      <c r="S297" s="6" t="s">
        <v>362</v>
      </c>
    </row>
    <row r="298" spans="19:19" ht="22.5">
      <c r="S298" s="6" t="s">
        <v>363</v>
      </c>
    </row>
    <row r="299" spans="19:19">
      <c r="S299" s="6" t="s">
        <v>364</v>
      </c>
    </row>
    <row r="300" spans="19:19">
      <c r="S300" s="6" t="s">
        <v>365</v>
      </c>
    </row>
    <row r="301" spans="19:19" ht="22.5">
      <c r="S301" s="6" t="s">
        <v>366</v>
      </c>
    </row>
    <row r="302" spans="19:19">
      <c r="S302" s="6" t="s">
        <v>367</v>
      </c>
    </row>
    <row r="303" spans="19:19">
      <c r="S303" s="6" t="s">
        <v>368</v>
      </c>
    </row>
    <row r="304" spans="19:19" ht="22.5">
      <c r="S304" s="6" t="s">
        <v>369</v>
      </c>
    </row>
    <row r="305" spans="19:19">
      <c r="S305" s="6" t="s">
        <v>370</v>
      </c>
    </row>
    <row r="306" spans="19:19">
      <c r="S306" s="6" t="s">
        <v>371</v>
      </c>
    </row>
    <row r="307" spans="19:19" ht="22.5">
      <c r="S307" s="6" t="s">
        <v>372</v>
      </c>
    </row>
    <row r="308" spans="19:19" ht="22.5">
      <c r="S308" s="6" t="s">
        <v>373</v>
      </c>
    </row>
    <row r="309" spans="19:19" ht="22.5">
      <c r="S309" s="6" t="s">
        <v>374</v>
      </c>
    </row>
    <row r="310" spans="19:19" ht="22.5">
      <c r="S310" s="6" t="s">
        <v>375</v>
      </c>
    </row>
    <row r="311" spans="19:19">
      <c r="S311" s="6" t="s">
        <v>376</v>
      </c>
    </row>
    <row r="312" spans="19:19">
      <c r="S312" s="6" t="s">
        <v>377</v>
      </c>
    </row>
    <row r="313" spans="19:19">
      <c r="S313" s="6" t="s">
        <v>378</v>
      </c>
    </row>
    <row r="314" spans="19:19">
      <c r="S314" s="6" t="s">
        <v>379</v>
      </c>
    </row>
    <row r="315" spans="19:19">
      <c r="S315" s="6" t="s">
        <v>380</v>
      </c>
    </row>
    <row r="316" spans="19:19">
      <c r="S316" s="6" t="s">
        <v>381</v>
      </c>
    </row>
    <row r="317" spans="19:19" ht="22.5">
      <c r="S317" s="6" t="s">
        <v>382</v>
      </c>
    </row>
    <row r="318" spans="19:19" ht="22.5">
      <c r="S318" s="6" t="s">
        <v>383</v>
      </c>
    </row>
    <row r="319" spans="19:19" ht="22.5">
      <c r="S319" s="6" t="s">
        <v>384</v>
      </c>
    </row>
    <row r="320" spans="19:19">
      <c r="S320" s="6" t="s">
        <v>385</v>
      </c>
    </row>
    <row r="321" spans="19:19" ht="22.5">
      <c r="S321" s="6" t="s">
        <v>386</v>
      </c>
    </row>
    <row r="322" spans="19:19" ht="22.5">
      <c r="S322" s="6" t="s">
        <v>387</v>
      </c>
    </row>
    <row r="323" spans="19:19" ht="22.5">
      <c r="S323" s="6" t="s">
        <v>388</v>
      </c>
    </row>
    <row r="324" spans="19:19" ht="22.5">
      <c r="S324" s="6" t="s">
        <v>389</v>
      </c>
    </row>
    <row r="325" spans="19:19" ht="22.5">
      <c r="S325" s="6" t="s">
        <v>390</v>
      </c>
    </row>
    <row r="326" spans="19:19">
      <c r="S326" s="6" t="s">
        <v>391</v>
      </c>
    </row>
    <row r="327" spans="19:19">
      <c r="S327" s="6" t="s">
        <v>392</v>
      </c>
    </row>
    <row r="328" spans="19:19" ht="22.5">
      <c r="S328" s="6" t="s">
        <v>393</v>
      </c>
    </row>
    <row r="329" spans="19:19">
      <c r="S329" s="6" t="s">
        <v>394</v>
      </c>
    </row>
    <row r="330" spans="19:19">
      <c r="S330" s="6" t="s">
        <v>395</v>
      </c>
    </row>
    <row r="331" spans="19:19" ht="22.5">
      <c r="S331" s="6" t="s">
        <v>396</v>
      </c>
    </row>
    <row r="332" spans="19:19" ht="22.5">
      <c r="S332" s="6" t="s">
        <v>397</v>
      </c>
    </row>
    <row r="333" spans="19:19" ht="22.5">
      <c r="S333" s="6" t="s">
        <v>398</v>
      </c>
    </row>
    <row r="334" spans="19:19" ht="22.5">
      <c r="S334" s="6" t="s">
        <v>399</v>
      </c>
    </row>
    <row r="335" spans="19:19">
      <c r="S335" s="6" t="s">
        <v>400</v>
      </c>
    </row>
    <row r="336" spans="19:19" ht="22.5">
      <c r="S336" s="6" t="s">
        <v>401</v>
      </c>
    </row>
    <row r="337" spans="19:19" ht="22.5">
      <c r="S337" s="6" t="s">
        <v>402</v>
      </c>
    </row>
    <row r="338" spans="19:19" ht="22.5">
      <c r="S338" s="6" t="s">
        <v>403</v>
      </c>
    </row>
    <row r="339" spans="19:19" ht="22.5">
      <c r="S339" s="6" t="s">
        <v>404</v>
      </c>
    </row>
    <row r="340" spans="19:19" ht="22.5">
      <c r="S340" s="6" t="s">
        <v>405</v>
      </c>
    </row>
    <row r="341" spans="19:19" ht="22.5">
      <c r="S341" s="6" t="s">
        <v>406</v>
      </c>
    </row>
    <row r="342" spans="19:19">
      <c r="S342" s="6" t="s">
        <v>407</v>
      </c>
    </row>
    <row r="343" spans="19:19">
      <c r="S343" s="6" t="s">
        <v>407</v>
      </c>
    </row>
    <row r="344" spans="19:19">
      <c r="S344" s="6" t="s">
        <v>407</v>
      </c>
    </row>
    <row r="345" spans="19:19">
      <c r="S345" s="6" t="s">
        <v>407</v>
      </c>
    </row>
    <row r="346" spans="19:19">
      <c r="S346" s="6" t="s">
        <v>407</v>
      </c>
    </row>
    <row r="347" spans="19:19">
      <c r="S347" s="6" t="s">
        <v>407</v>
      </c>
    </row>
    <row r="348" spans="19:19">
      <c r="S348" s="6" t="s">
        <v>408</v>
      </c>
    </row>
    <row r="349" spans="19:19">
      <c r="S349" s="6" t="s">
        <v>409</v>
      </c>
    </row>
    <row r="350" spans="19:19" ht="22.5">
      <c r="S350" s="6" t="s">
        <v>410</v>
      </c>
    </row>
    <row r="351" spans="19:19" ht="22.5">
      <c r="S351" s="6" t="s">
        <v>411</v>
      </c>
    </row>
    <row r="352" spans="19:19" ht="22.5">
      <c r="S352" s="6" t="s">
        <v>412</v>
      </c>
    </row>
    <row r="353" spans="19:19">
      <c r="S353" s="6" t="s">
        <v>413</v>
      </c>
    </row>
    <row r="354" spans="19:19" ht="22.5">
      <c r="S354" s="6" t="s">
        <v>414</v>
      </c>
    </row>
    <row r="355" spans="19:19" ht="22.5">
      <c r="S355" s="6" t="s">
        <v>415</v>
      </c>
    </row>
    <row r="356" spans="19:19">
      <c r="S356" s="6" t="s">
        <v>416</v>
      </c>
    </row>
    <row r="357" spans="19:19" ht="22.5">
      <c r="S357" s="6" t="s">
        <v>417</v>
      </c>
    </row>
    <row r="358" spans="19:19" ht="22.5">
      <c r="S358" s="6" t="s">
        <v>418</v>
      </c>
    </row>
    <row r="359" spans="19:19">
      <c r="S359" s="6" t="s">
        <v>419</v>
      </c>
    </row>
    <row r="360" spans="19:19" ht="22.5">
      <c r="S360" s="6" t="s">
        <v>420</v>
      </c>
    </row>
    <row r="361" spans="19:19" ht="22.5">
      <c r="S361" s="6" t="s">
        <v>421</v>
      </c>
    </row>
    <row r="362" spans="19:19" ht="22.5">
      <c r="S362" s="6" t="s">
        <v>422</v>
      </c>
    </row>
    <row r="363" spans="19:19">
      <c r="S363" s="6" t="s">
        <v>423</v>
      </c>
    </row>
    <row r="364" spans="19:19" ht="22.5">
      <c r="S364" s="6" t="s">
        <v>424</v>
      </c>
    </row>
    <row r="365" spans="19:19" ht="22.5">
      <c r="S365" s="6" t="s">
        <v>425</v>
      </c>
    </row>
    <row r="366" spans="19:19" ht="22.5">
      <c r="S366" s="6" t="s">
        <v>426</v>
      </c>
    </row>
    <row r="367" spans="19:19" ht="22.5">
      <c r="S367" s="6" t="s">
        <v>427</v>
      </c>
    </row>
    <row r="368" spans="19:19" ht="22.5">
      <c r="S368" s="6" t="s">
        <v>428</v>
      </c>
    </row>
    <row r="369" spans="19:19">
      <c r="S369" s="6" t="s">
        <v>429</v>
      </c>
    </row>
    <row r="370" spans="19:19" ht="22.5">
      <c r="S370" s="6" t="s">
        <v>430</v>
      </c>
    </row>
    <row r="371" spans="19:19" ht="22.5">
      <c r="S371" s="6" t="s">
        <v>431</v>
      </c>
    </row>
    <row r="372" spans="19:19" ht="22.5">
      <c r="S372" s="6" t="s">
        <v>432</v>
      </c>
    </row>
    <row r="373" spans="19:19" ht="22.5">
      <c r="S373" s="6" t="s">
        <v>433</v>
      </c>
    </row>
    <row r="374" spans="19:19" ht="22.5">
      <c r="S374" s="6" t="s">
        <v>434</v>
      </c>
    </row>
    <row r="375" spans="19:19" ht="22.5">
      <c r="S375" s="6" t="s">
        <v>435</v>
      </c>
    </row>
    <row r="376" spans="19:19" ht="22.5">
      <c r="S376" s="6" t="s">
        <v>436</v>
      </c>
    </row>
    <row r="377" spans="19:19" ht="22.5">
      <c r="S377" s="6" t="s">
        <v>437</v>
      </c>
    </row>
    <row r="378" spans="19:19" ht="22.5">
      <c r="S378" s="6" t="s">
        <v>438</v>
      </c>
    </row>
    <row r="379" spans="19:19" ht="22.5">
      <c r="S379" s="6" t="s">
        <v>439</v>
      </c>
    </row>
    <row r="380" spans="19:19" ht="22.5">
      <c r="S380" s="6" t="s">
        <v>440</v>
      </c>
    </row>
    <row r="381" spans="19:19" ht="22.5">
      <c r="S381" s="6" t="s">
        <v>441</v>
      </c>
    </row>
    <row r="382" spans="19:19" ht="22.5">
      <c r="S382" s="6" t="s">
        <v>442</v>
      </c>
    </row>
    <row r="383" spans="19:19" ht="22.5">
      <c r="S383" s="6" t="s">
        <v>443</v>
      </c>
    </row>
    <row r="384" spans="19:19" ht="22.5">
      <c r="S384" s="6" t="s">
        <v>444</v>
      </c>
    </row>
    <row r="385" spans="19:19" ht="22.5">
      <c r="S385" s="6" t="s">
        <v>445</v>
      </c>
    </row>
    <row r="386" spans="19:19">
      <c r="S386" s="6" t="s">
        <v>446</v>
      </c>
    </row>
    <row r="387" spans="19:19">
      <c r="S387" s="6" t="s">
        <v>447</v>
      </c>
    </row>
    <row r="388" spans="19:19">
      <c r="S388" s="6" t="s">
        <v>448</v>
      </c>
    </row>
    <row r="389" spans="19:19">
      <c r="S389" s="6" t="s">
        <v>449</v>
      </c>
    </row>
    <row r="390" spans="19:19">
      <c r="S390" s="6" t="s">
        <v>450</v>
      </c>
    </row>
    <row r="391" spans="19:19">
      <c r="S391" s="6" t="s">
        <v>451</v>
      </c>
    </row>
    <row r="392" spans="19:19">
      <c r="S392" s="6" t="s">
        <v>452</v>
      </c>
    </row>
    <row r="393" spans="19:19">
      <c r="S393" s="6" t="s">
        <v>453</v>
      </c>
    </row>
    <row r="394" spans="19:19" ht="22.5">
      <c r="S394" s="6" t="s">
        <v>454</v>
      </c>
    </row>
    <row r="395" spans="19:19">
      <c r="S395" s="6" t="s">
        <v>455</v>
      </c>
    </row>
    <row r="396" spans="19:19">
      <c r="S396" s="6" t="s">
        <v>456</v>
      </c>
    </row>
    <row r="397" spans="19:19">
      <c r="S397" s="6" t="s">
        <v>457</v>
      </c>
    </row>
    <row r="398" spans="19:19">
      <c r="S398" s="6" t="s">
        <v>458</v>
      </c>
    </row>
    <row r="399" spans="19:19">
      <c r="S399" s="6" t="s">
        <v>459</v>
      </c>
    </row>
    <row r="400" spans="19:19">
      <c r="S400" s="6" t="s">
        <v>460</v>
      </c>
    </row>
    <row r="401" spans="19:19">
      <c r="S401" s="6" t="s">
        <v>461</v>
      </c>
    </row>
    <row r="402" spans="19:19">
      <c r="S402" s="6" t="s">
        <v>461</v>
      </c>
    </row>
    <row r="403" spans="19:19">
      <c r="S403" s="6" t="s">
        <v>462</v>
      </c>
    </row>
    <row r="404" spans="19:19">
      <c r="S404" s="6" t="s">
        <v>463</v>
      </c>
    </row>
    <row r="405" spans="19:19">
      <c r="S405" s="6" t="s">
        <v>463</v>
      </c>
    </row>
    <row r="406" spans="19:19">
      <c r="S406" s="6" t="s">
        <v>463</v>
      </c>
    </row>
    <row r="407" spans="19:19">
      <c r="S407" s="6" t="s">
        <v>463</v>
      </c>
    </row>
    <row r="408" spans="19:19">
      <c r="S408" s="6" t="s">
        <v>464</v>
      </c>
    </row>
    <row r="409" spans="19:19">
      <c r="S409" s="6" t="s">
        <v>465</v>
      </c>
    </row>
    <row r="410" spans="19:19">
      <c r="S410" s="6" t="s">
        <v>466</v>
      </c>
    </row>
    <row r="411" spans="19:19">
      <c r="S411" s="6" t="s">
        <v>467</v>
      </c>
    </row>
    <row r="412" spans="19:19">
      <c r="S412" s="6" t="s">
        <v>467</v>
      </c>
    </row>
    <row r="413" spans="19:19">
      <c r="S413" s="6" t="s">
        <v>468</v>
      </c>
    </row>
    <row r="414" spans="19:19">
      <c r="S414" s="6" t="s">
        <v>469</v>
      </c>
    </row>
    <row r="415" spans="19:19">
      <c r="S415" s="6" t="s">
        <v>470</v>
      </c>
    </row>
    <row r="416" spans="19:19">
      <c r="S416" s="6" t="s">
        <v>471</v>
      </c>
    </row>
    <row r="417" spans="19:19" ht="22.5">
      <c r="S417" s="6" t="s">
        <v>472</v>
      </c>
    </row>
    <row r="418" spans="19:19" ht="22.5">
      <c r="S418" s="6" t="s">
        <v>473</v>
      </c>
    </row>
    <row r="419" spans="19:19">
      <c r="S419" s="6" t="s">
        <v>474</v>
      </c>
    </row>
    <row r="420" spans="19:19">
      <c r="S420" s="6" t="s">
        <v>475</v>
      </c>
    </row>
    <row r="421" spans="19:19" ht="22.5">
      <c r="S421" s="6" t="s">
        <v>476</v>
      </c>
    </row>
    <row r="422" spans="19:19" ht="22.5">
      <c r="S422" s="6" t="s">
        <v>477</v>
      </c>
    </row>
    <row r="423" spans="19:19">
      <c r="S423" s="6" t="s">
        <v>478</v>
      </c>
    </row>
    <row r="424" spans="19:19" ht="22.5">
      <c r="S424" s="6" t="s">
        <v>479</v>
      </c>
    </row>
    <row r="425" spans="19:19">
      <c r="S425" s="6" t="s">
        <v>480</v>
      </c>
    </row>
    <row r="426" spans="19:19">
      <c r="S426" s="6" t="s">
        <v>481</v>
      </c>
    </row>
    <row r="427" spans="19:19">
      <c r="S427" s="6" t="s">
        <v>482</v>
      </c>
    </row>
    <row r="428" spans="19:19">
      <c r="S428" s="6" t="s">
        <v>483</v>
      </c>
    </row>
    <row r="429" spans="19:19" ht="22.5">
      <c r="S429" s="6" t="s">
        <v>484</v>
      </c>
    </row>
    <row r="430" spans="19:19" ht="22.5">
      <c r="S430" s="6" t="s">
        <v>485</v>
      </c>
    </row>
    <row r="431" spans="19:19" ht="22.5">
      <c r="S431" s="6" t="s">
        <v>486</v>
      </c>
    </row>
    <row r="432" spans="19:19" ht="22.5">
      <c r="S432" s="6" t="s">
        <v>487</v>
      </c>
    </row>
    <row r="433" spans="19:19">
      <c r="S433" s="6" t="s">
        <v>488</v>
      </c>
    </row>
    <row r="434" spans="19:19">
      <c r="S434" s="6" t="s">
        <v>489</v>
      </c>
    </row>
    <row r="435" spans="19:19">
      <c r="S435" s="6" t="s">
        <v>489</v>
      </c>
    </row>
    <row r="436" spans="19:19">
      <c r="S436" s="6" t="s">
        <v>490</v>
      </c>
    </row>
    <row r="437" spans="19:19" ht="22.5">
      <c r="S437" s="6" t="s">
        <v>491</v>
      </c>
    </row>
    <row r="438" spans="19:19" ht="22.5">
      <c r="S438" s="6" t="s">
        <v>492</v>
      </c>
    </row>
    <row r="439" spans="19:19" ht="22.5">
      <c r="S439" s="6" t="s">
        <v>493</v>
      </c>
    </row>
    <row r="440" spans="19:19" ht="22.5">
      <c r="S440" s="6" t="s">
        <v>494</v>
      </c>
    </row>
    <row r="441" spans="19:19">
      <c r="S441" s="6" t="s">
        <v>495</v>
      </c>
    </row>
    <row r="442" spans="19:19">
      <c r="S442" s="6" t="s">
        <v>496</v>
      </c>
    </row>
    <row r="443" spans="19:19">
      <c r="S443" s="6" t="s">
        <v>497</v>
      </c>
    </row>
    <row r="444" spans="19:19" ht="22.5">
      <c r="S444" s="6" t="s">
        <v>498</v>
      </c>
    </row>
    <row r="445" spans="19:19">
      <c r="S445" s="6" t="s">
        <v>499</v>
      </c>
    </row>
    <row r="446" spans="19:19" ht="22.5">
      <c r="S446" s="6" t="s">
        <v>500</v>
      </c>
    </row>
    <row r="447" spans="19:19" ht="22.5">
      <c r="S447" s="6" t="s">
        <v>501</v>
      </c>
    </row>
    <row r="448" spans="19:19" ht="22.5">
      <c r="S448" s="6" t="s">
        <v>502</v>
      </c>
    </row>
    <row r="449" spans="19:19">
      <c r="S449" s="6" t="s">
        <v>503</v>
      </c>
    </row>
    <row r="450" spans="19:19" ht="22.5">
      <c r="S450" s="6" t="s">
        <v>504</v>
      </c>
    </row>
    <row r="451" spans="19:19">
      <c r="S451" s="6" t="s">
        <v>505</v>
      </c>
    </row>
    <row r="452" spans="19:19">
      <c r="S452" s="6" t="s">
        <v>506</v>
      </c>
    </row>
    <row r="453" spans="19:19" ht="22.5">
      <c r="S453" s="6" t="s">
        <v>507</v>
      </c>
    </row>
    <row r="454" spans="19:19" ht="22.5">
      <c r="S454" s="6" t="s">
        <v>508</v>
      </c>
    </row>
    <row r="455" spans="19:19" ht="22.5">
      <c r="S455" s="6" t="s">
        <v>509</v>
      </c>
    </row>
    <row r="456" spans="19:19" ht="22.5">
      <c r="S456" s="6" t="s">
        <v>510</v>
      </c>
    </row>
    <row r="457" spans="19:19" ht="22.5">
      <c r="S457" s="6" t="s">
        <v>511</v>
      </c>
    </row>
    <row r="458" spans="19:19" ht="22.5">
      <c r="S458" s="6" t="s">
        <v>512</v>
      </c>
    </row>
    <row r="459" spans="19:19">
      <c r="S459" s="6" t="s">
        <v>513</v>
      </c>
    </row>
    <row r="460" spans="19:19" ht="22.5">
      <c r="S460" s="6" t="s">
        <v>514</v>
      </c>
    </row>
    <row r="461" spans="19:19" ht="22.5">
      <c r="S461" s="6" t="s">
        <v>515</v>
      </c>
    </row>
    <row r="462" spans="19:19" ht="22.5">
      <c r="S462" s="6" t="s">
        <v>516</v>
      </c>
    </row>
    <row r="463" spans="19:19" ht="22.5">
      <c r="S463" s="6" t="s">
        <v>517</v>
      </c>
    </row>
    <row r="464" spans="19:19" ht="22.5">
      <c r="S464" s="6" t="s">
        <v>518</v>
      </c>
    </row>
    <row r="465" spans="19:19" ht="22.5">
      <c r="S465" s="6" t="s">
        <v>519</v>
      </c>
    </row>
    <row r="466" spans="19:19" ht="22.5">
      <c r="S466" s="6" t="s">
        <v>520</v>
      </c>
    </row>
    <row r="467" spans="19:19" ht="22.5">
      <c r="S467" s="6" t="s">
        <v>521</v>
      </c>
    </row>
    <row r="468" spans="19:19">
      <c r="S468" s="6" t="s">
        <v>522</v>
      </c>
    </row>
    <row r="469" spans="19:19" ht="22.5">
      <c r="S469" s="6" t="s">
        <v>523</v>
      </c>
    </row>
    <row r="470" spans="19:19" ht="22.5">
      <c r="S470" s="6" t="s">
        <v>524</v>
      </c>
    </row>
    <row r="471" spans="19:19" ht="22.5">
      <c r="S471" s="6" t="s">
        <v>525</v>
      </c>
    </row>
    <row r="472" spans="19:19" ht="22.5">
      <c r="S472" s="6" t="s">
        <v>526</v>
      </c>
    </row>
    <row r="473" spans="19:19" ht="22.5">
      <c r="S473" s="6" t="s">
        <v>527</v>
      </c>
    </row>
    <row r="474" spans="19:19" ht="22.5">
      <c r="S474" s="6" t="s">
        <v>528</v>
      </c>
    </row>
    <row r="475" spans="19:19" ht="22.5">
      <c r="S475" s="6" t="s">
        <v>529</v>
      </c>
    </row>
    <row r="476" spans="19:19" ht="22.5">
      <c r="S476" s="6" t="s">
        <v>530</v>
      </c>
    </row>
    <row r="477" spans="19:19" ht="22.5">
      <c r="S477" s="6" t="s">
        <v>531</v>
      </c>
    </row>
    <row r="478" spans="19:19" ht="22.5">
      <c r="S478" s="6" t="s">
        <v>532</v>
      </c>
    </row>
    <row r="479" spans="19:19">
      <c r="S479" s="6" t="s">
        <v>533</v>
      </c>
    </row>
    <row r="480" spans="19:19" ht="22.5">
      <c r="S480" s="6" t="s">
        <v>534</v>
      </c>
    </row>
    <row r="481" spans="19:19">
      <c r="S481" s="6" t="s">
        <v>535</v>
      </c>
    </row>
    <row r="482" spans="19:19" ht="22.5">
      <c r="S482" s="6" t="s">
        <v>536</v>
      </c>
    </row>
    <row r="483" spans="19:19" ht="22.5">
      <c r="S483" s="6" t="s">
        <v>537</v>
      </c>
    </row>
    <row r="484" spans="19:19" ht="22.5">
      <c r="S484" s="6" t="s">
        <v>538</v>
      </c>
    </row>
    <row r="485" spans="19:19" ht="22.5">
      <c r="S485" s="6" t="s">
        <v>539</v>
      </c>
    </row>
    <row r="486" spans="19:19" ht="22.5">
      <c r="S486" s="6" t="s">
        <v>540</v>
      </c>
    </row>
    <row r="487" spans="19:19">
      <c r="S487" s="6" t="s">
        <v>541</v>
      </c>
    </row>
    <row r="488" spans="19:19" ht="22.5">
      <c r="S488" s="6" t="s">
        <v>542</v>
      </c>
    </row>
    <row r="489" spans="19:19">
      <c r="S489" s="6" t="s">
        <v>543</v>
      </c>
    </row>
    <row r="490" spans="19:19">
      <c r="S490" s="6" t="s">
        <v>544</v>
      </c>
    </row>
    <row r="491" spans="19:19">
      <c r="S491" s="6" t="s">
        <v>545</v>
      </c>
    </row>
    <row r="492" spans="19:19">
      <c r="S492" s="6" t="s">
        <v>546</v>
      </c>
    </row>
    <row r="493" spans="19:19">
      <c r="S493" s="6" t="s">
        <v>547</v>
      </c>
    </row>
    <row r="494" spans="19:19">
      <c r="S494" s="6" t="s">
        <v>548</v>
      </c>
    </row>
    <row r="495" spans="19:19">
      <c r="S495" s="6" t="s">
        <v>549</v>
      </c>
    </row>
    <row r="496" spans="19:19" ht="22.5">
      <c r="S496" s="6" t="s">
        <v>550</v>
      </c>
    </row>
  </sheetData>
  <sheetProtection password="C307" sheet="1" objects="1" scenarios="1"/>
  <mergeCells count="55">
    <mergeCell ref="A7:F7"/>
    <mergeCell ref="A1:F1"/>
    <mergeCell ref="B2:E2"/>
    <mergeCell ref="B3:E3"/>
    <mergeCell ref="B4:E4"/>
    <mergeCell ref="B5:E5"/>
    <mergeCell ref="A85:E85"/>
    <mergeCell ref="A8:E8"/>
    <mergeCell ref="A28:E28"/>
    <mergeCell ref="A32:E32"/>
    <mergeCell ref="A41:E41"/>
    <mergeCell ref="A49:E49"/>
    <mergeCell ref="A60:E60"/>
    <mergeCell ref="A65:E65"/>
    <mergeCell ref="A72:E72"/>
    <mergeCell ref="A75:E75"/>
    <mergeCell ref="A77:E77"/>
    <mergeCell ref="A83:E83"/>
    <mergeCell ref="A87:E87"/>
    <mergeCell ref="A90:E90"/>
    <mergeCell ref="C101:D101"/>
    <mergeCell ref="A108:B110"/>
    <mergeCell ref="D108:E108"/>
    <mergeCell ref="D109:E109"/>
    <mergeCell ref="A111:B111"/>
    <mergeCell ref="C111:D111"/>
    <mergeCell ref="A112:B112"/>
    <mergeCell ref="C112:D112"/>
    <mergeCell ref="A113:B113"/>
    <mergeCell ref="C113:D113"/>
    <mergeCell ref="A114:B114"/>
    <mergeCell ref="C114:D114"/>
    <mergeCell ref="A115:B115"/>
    <mergeCell ref="C115:D115"/>
    <mergeCell ref="A116:B116"/>
    <mergeCell ref="C116:D116"/>
    <mergeCell ref="A117:B117"/>
    <mergeCell ref="C117:D117"/>
    <mergeCell ref="A118:B118"/>
    <mergeCell ref="C118:D118"/>
    <mergeCell ref="A119:B119"/>
    <mergeCell ref="C119:D119"/>
    <mergeCell ref="A120:B120"/>
    <mergeCell ref="C120:D120"/>
    <mergeCell ref="A121:B121"/>
    <mergeCell ref="C121:D121"/>
    <mergeCell ref="A122:B122"/>
    <mergeCell ref="C122:D122"/>
    <mergeCell ref="C126:D126"/>
    <mergeCell ref="A123:B123"/>
    <mergeCell ref="C123:D123"/>
    <mergeCell ref="A124:B124"/>
    <mergeCell ref="C124:D124"/>
    <mergeCell ref="A125:B125"/>
    <mergeCell ref="C125:D125"/>
  </mergeCells>
  <dataValidations count="1">
    <dataValidation type="list" allowBlank="1" showInputMessage="1" showErrorMessage="1" sqref="B2:E2">
      <formula1>$S$1:$S$496</formula1>
    </dataValidation>
  </dataValidations>
  <hyperlinks>
    <hyperlink ref="A103" r:id="rId1"/>
    <hyperlink ref="F12" r:id="rId2"/>
    <hyperlink ref="F14" r:id="rId3"/>
    <hyperlink ref="F37" r:id="rId4"/>
    <hyperlink ref="F59" r:id="rId5"/>
    <hyperlink ref="F64" r:id="rId6" display="Advantage Waypoint "/>
    <hyperlink ref="F70" r:id="rId7"/>
    <hyperlink ref="F71" r:id="rId8"/>
    <hyperlink ref="F88" r:id="rId9"/>
    <hyperlink ref="F93" r:id="rId10"/>
    <hyperlink ref="F94" r:id="rId11"/>
    <hyperlink ref="F21" r:id="rId12"/>
    <hyperlink ref="F10" r:id="rId13"/>
    <hyperlink ref="F11" r:id="rId14"/>
    <hyperlink ref="F45" r:id="rId15" display="Wolff Group "/>
    <hyperlink ref="F53" r:id="rId16"/>
    <hyperlink ref="F62" r:id="rId17"/>
    <hyperlink ref="F84" r:id="rId18"/>
    <hyperlink ref="F25" r:id="rId19"/>
    <hyperlink ref="F26" r:id="rId20"/>
    <hyperlink ref="F30" r:id="rId21"/>
    <hyperlink ref="F33" r:id="rId22"/>
    <hyperlink ref="F57" r:id="rId23"/>
    <hyperlink ref="F78" r:id="rId24"/>
    <hyperlink ref="F86" r:id="rId25"/>
    <hyperlink ref="F92" r:id="rId26"/>
    <hyperlink ref="F95" r:id="rId27"/>
    <hyperlink ref="F98" r:id="rId28"/>
    <hyperlink ref="F17" r:id="rId29"/>
    <hyperlink ref="F18" r:id="rId30"/>
    <hyperlink ref="F35" r:id="rId31"/>
    <hyperlink ref="F48" r:id="rId32"/>
    <hyperlink ref="F61" r:id="rId33"/>
    <hyperlink ref="F66" r:id="rId34"/>
    <hyperlink ref="F67" r:id="rId35"/>
    <hyperlink ref="F68" r:id="rId36"/>
    <hyperlink ref="F76" r:id="rId37"/>
    <hyperlink ref="F81" r:id="rId38"/>
    <hyperlink ref="F89" r:id="rId39"/>
    <hyperlink ref="F91" r:id="rId40"/>
    <hyperlink ref="F99" r:id="rId41"/>
    <hyperlink ref="F96" r:id="rId42"/>
    <hyperlink ref="F36" r:id="rId43"/>
    <hyperlink ref="F44" r:id="rId44"/>
    <hyperlink ref="F69" r:id="rId45"/>
    <hyperlink ref="F19" r:id="rId46"/>
    <hyperlink ref="F51" r:id="rId47"/>
    <hyperlink ref="F9" r:id="rId48"/>
    <hyperlink ref="F50" r:id="rId49"/>
    <hyperlink ref="F43" r:id="rId50"/>
    <hyperlink ref="F23" r:id="rId51"/>
    <hyperlink ref="F52" r:id="rId52"/>
    <hyperlink ref="F73" r:id="rId53"/>
    <hyperlink ref="F31" r:id="rId54"/>
    <hyperlink ref="F82" r:id="rId55"/>
    <hyperlink ref="F47" r:id="rId56"/>
    <hyperlink ref="F13" r:id="rId57"/>
    <hyperlink ref="F20" r:id="rId58"/>
    <hyperlink ref="F42" r:id="rId59"/>
    <hyperlink ref="F15" r:id="rId60"/>
    <hyperlink ref="F29" r:id="rId61"/>
    <hyperlink ref="F56" r:id="rId62"/>
    <hyperlink ref="F39" r:id="rId63"/>
    <hyperlink ref="F97" r:id="rId64"/>
    <hyperlink ref="F22" r:id="rId65"/>
    <hyperlink ref="F74" r:id="rId66"/>
    <hyperlink ref="F40" r:id="rId67"/>
    <hyperlink ref="F55" r:id="rId68"/>
    <hyperlink ref="F58" r:id="rId69"/>
    <hyperlink ref="F46" r:id="rId70"/>
    <hyperlink ref="F27" r:id="rId71"/>
    <hyperlink ref="F24" r:id="rId72"/>
  </hyperlinks>
  <pageMargins left="0.2" right="0.25" top="0.25" bottom="0.25" header="0.05" footer="0.3"/>
  <pageSetup scale="90" fitToHeight="2" orientation="portrait" r:id="rId73"/>
  <rowBreaks count="1" manualBreakCount="1">
    <brk id="64" max="5" man="1"/>
  </rowBreaks>
  <legacyDrawing r:id="rId74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B1:G24"/>
  <sheetViews>
    <sheetView showGridLines="0" zoomScaleNormal="100" workbookViewId="0">
      <selection activeCell="C5" sqref="C5"/>
    </sheetView>
  </sheetViews>
  <sheetFormatPr defaultColWidth="28.140625" defaultRowHeight="15"/>
  <cols>
    <col min="1" max="1" width="3.28515625" customWidth="1"/>
    <col min="2" max="2" width="51.140625" customWidth="1"/>
    <col min="3" max="3" width="16.140625" customWidth="1"/>
    <col min="4" max="4" width="59.7109375" customWidth="1"/>
    <col min="5" max="5" width="7.42578125" customWidth="1"/>
    <col min="6" max="6" width="7.5703125" customWidth="1"/>
    <col min="7" max="254" width="9.140625" customWidth="1"/>
    <col min="255" max="255" width="3.28515625" customWidth="1"/>
  </cols>
  <sheetData>
    <row r="1" spans="2:7" ht="25.5" customHeight="1" thickBot="1">
      <c r="B1" s="202" t="s">
        <v>1002</v>
      </c>
      <c r="C1" s="202"/>
      <c r="D1" s="202"/>
      <c r="E1" s="107"/>
      <c r="F1" s="107"/>
      <c r="G1" s="107"/>
    </row>
    <row r="2" spans="2:7" ht="33" customHeight="1" thickTop="1">
      <c r="B2" s="151" t="s">
        <v>1006</v>
      </c>
      <c r="C2" s="152" t="e">
        <f>LOOKUP(Allocations!B2,Data!C2:C496,Data!E2:E496)</f>
        <v>#N/A</v>
      </c>
      <c r="D2" s="149"/>
      <c r="E2" s="108"/>
      <c r="F2" s="108"/>
      <c r="G2" s="55"/>
    </row>
    <row r="3" spans="2:7" ht="33" customHeight="1">
      <c r="B3" s="153" t="s">
        <v>1000</v>
      </c>
      <c r="C3" s="154" t="e">
        <f>LOOKUP(Allocations!B2,Data!C2:C496,Data!F2:F496)</f>
        <v>#N/A</v>
      </c>
      <c r="D3" s="150"/>
      <c r="E3" s="108"/>
      <c r="F3" s="108"/>
      <c r="G3" s="55"/>
    </row>
    <row r="4" spans="2:7" ht="33" customHeight="1">
      <c r="B4" s="153" t="s">
        <v>1001</v>
      </c>
      <c r="C4" s="154">
        <f>C23</f>
        <v>0</v>
      </c>
      <c r="D4" s="149"/>
      <c r="E4" s="108"/>
      <c r="F4" s="108"/>
      <c r="G4" s="55"/>
    </row>
    <row r="5" spans="2:7" ht="27.75" customHeight="1" thickBot="1">
      <c r="B5" s="155" t="s">
        <v>971</v>
      </c>
      <c r="C5" s="156" t="e">
        <f>C2-C23-C3</f>
        <v>#N/A</v>
      </c>
      <c r="D5" s="148"/>
      <c r="E5" s="108"/>
      <c r="F5" s="108"/>
      <c r="G5" s="55"/>
    </row>
    <row r="6" spans="2:7" ht="20.25" customHeight="1" thickTop="1">
      <c r="B6" s="157"/>
      <c r="C6" s="158"/>
      <c r="D6" s="148"/>
      <c r="E6" s="108"/>
      <c r="F6" s="108"/>
      <c r="G6" s="55"/>
    </row>
    <row r="7" spans="2:7" ht="20.25" customHeight="1" thickBot="1">
      <c r="B7" s="159"/>
      <c r="C7" s="160"/>
      <c r="D7" s="148"/>
      <c r="E7" s="108"/>
      <c r="F7" s="108"/>
      <c r="G7" s="55"/>
    </row>
    <row r="8" spans="2:7" ht="18.75" customHeight="1" thickTop="1" thickBot="1">
      <c r="B8" s="162" t="s">
        <v>1005</v>
      </c>
      <c r="C8" s="163" t="s">
        <v>551</v>
      </c>
      <c r="D8" s="109"/>
      <c r="E8" s="109"/>
      <c r="F8" s="109"/>
      <c r="G8" s="109"/>
    </row>
    <row r="9" spans="2:7" ht="18.75" customHeight="1" thickTop="1">
      <c r="B9" s="161" t="s">
        <v>552</v>
      </c>
      <c r="C9" s="168">
        <f>Cheese</f>
        <v>0</v>
      </c>
      <c r="D9" s="110"/>
      <c r="E9" s="111"/>
      <c r="F9" s="111"/>
      <c r="G9" s="112"/>
    </row>
    <row r="10" spans="2:7" ht="18.75" customHeight="1">
      <c r="B10" s="113" t="s">
        <v>553</v>
      </c>
      <c r="C10" s="169">
        <f>Eggs</f>
        <v>0</v>
      </c>
      <c r="D10" s="114"/>
      <c r="E10" s="111"/>
      <c r="F10" s="111"/>
      <c r="G10" s="112"/>
    </row>
    <row r="11" spans="2:7" ht="18.75" customHeight="1">
      <c r="B11" s="113" t="s">
        <v>1026</v>
      </c>
      <c r="C11" s="169">
        <f>Chicken</f>
        <v>0</v>
      </c>
      <c r="D11" s="114"/>
      <c r="E11" s="111"/>
      <c r="F11" s="111"/>
      <c r="G11" s="112"/>
    </row>
    <row r="12" spans="2:7" ht="18.75" customHeight="1">
      <c r="B12" s="113" t="s">
        <v>1027</v>
      </c>
      <c r="C12" s="169">
        <f>Turkey</f>
        <v>0</v>
      </c>
      <c r="D12" s="203" t="e">
        <f>IF(C5&lt;0,"Request exceeds entitlement balance !","")</f>
        <v>#N/A</v>
      </c>
      <c r="E12" s="111"/>
      <c r="F12" s="111"/>
      <c r="G12" s="112"/>
    </row>
    <row r="13" spans="2:7" ht="18.75" customHeight="1">
      <c r="B13" s="113" t="s">
        <v>1028</v>
      </c>
      <c r="C13" s="169">
        <f>Beef</f>
        <v>0</v>
      </c>
      <c r="D13" s="203"/>
      <c r="E13" s="111"/>
      <c r="F13" s="111"/>
      <c r="G13" s="112"/>
    </row>
    <row r="14" spans="2:7" ht="18.75" customHeight="1">
      <c r="B14" s="113" t="s">
        <v>1029</v>
      </c>
      <c r="C14" s="169">
        <f>Pork</f>
        <v>0</v>
      </c>
      <c r="D14" s="203"/>
      <c r="E14" s="111"/>
      <c r="F14" s="111"/>
      <c r="G14" s="112"/>
    </row>
    <row r="15" spans="2:7" ht="18.75" customHeight="1">
      <c r="B15" s="113" t="s">
        <v>1030</v>
      </c>
      <c r="C15" s="169">
        <f>Fruit_Juice</f>
        <v>0</v>
      </c>
      <c r="D15" s="203"/>
      <c r="E15" s="111"/>
      <c r="F15" s="111"/>
      <c r="G15" s="112"/>
    </row>
    <row r="16" spans="2:7" ht="18.75" customHeight="1">
      <c r="B16" s="113" t="s">
        <v>554</v>
      </c>
      <c r="C16" s="169">
        <f>Tomato_Paste</f>
        <v>0</v>
      </c>
      <c r="D16" s="203"/>
      <c r="E16" s="111"/>
      <c r="F16" s="111"/>
      <c r="G16" s="112"/>
    </row>
    <row r="17" spans="2:7" ht="18.75" customHeight="1">
      <c r="B17" s="113" t="s">
        <v>1034</v>
      </c>
      <c r="C17" s="169">
        <f>Peanut_Butter</f>
        <v>0</v>
      </c>
      <c r="D17" s="114"/>
      <c r="E17" s="111"/>
      <c r="F17" s="111"/>
      <c r="G17" s="112"/>
    </row>
    <row r="18" spans="2:7" ht="18.75" customHeight="1">
      <c r="B18" s="113" t="s">
        <v>1032</v>
      </c>
      <c r="C18" s="169">
        <f>Flour</f>
        <v>0</v>
      </c>
      <c r="D18" s="114"/>
      <c r="E18" s="111"/>
      <c r="F18" s="111"/>
      <c r="G18" s="112"/>
    </row>
    <row r="19" spans="2:7" ht="18.75" customHeight="1">
      <c r="B19" s="113" t="s">
        <v>1033</v>
      </c>
      <c r="C19" s="169">
        <f>Corn</f>
        <v>0</v>
      </c>
      <c r="D19" s="114"/>
      <c r="E19" s="111"/>
      <c r="F19" s="111"/>
      <c r="G19" s="112"/>
    </row>
    <row r="20" spans="2:7" ht="18.75" customHeight="1">
      <c r="B20" s="113" t="s">
        <v>1031</v>
      </c>
      <c r="C20" s="169">
        <f>Brown_Rice</f>
        <v>0</v>
      </c>
      <c r="D20" s="114"/>
      <c r="E20" s="111"/>
      <c r="F20" s="111"/>
      <c r="G20" s="112"/>
    </row>
    <row r="21" spans="2:7" ht="18.75" customHeight="1">
      <c r="B21" s="113" t="s">
        <v>1035</v>
      </c>
      <c r="C21" s="169">
        <f>Pollock</f>
        <v>0</v>
      </c>
      <c r="D21" s="114"/>
      <c r="E21" s="111"/>
      <c r="F21" s="111"/>
      <c r="G21" s="112"/>
    </row>
    <row r="22" spans="2:7" ht="18.75" customHeight="1" thickBot="1">
      <c r="B22" s="165" t="s">
        <v>1013</v>
      </c>
      <c r="C22" s="170">
        <f>Potatoes</f>
        <v>0</v>
      </c>
      <c r="D22" s="114"/>
      <c r="E22" s="111"/>
      <c r="F22" s="111"/>
      <c r="G22" s="112"/>
    </row>
    <row r="23" spans="2:7" ht="18.75" customHeight="1" thickBot="1">
      <c r="B23" s="167" t="s">
        <v>999</v>
      </c>
      <c r="C23" s="166">
        <f>SUM(C9:C22)</f>
        <v>0</v>
      </c>
      <c r="E23" s="111"/>
      <c r="F23" s="111"/>
      <c r="G23" s="112"/>
    </row>
    <row r="24" spans="2:7" ht="20.25" customHeight="1">
      <c r="C24" s="115"/>
    </row>
  </sheetData>
  <sheetProtection password="C307" sheet="1" objects="1" scenarios="1"/>
  <mergeCells count="2">
    <mergeCell ref="B1:D1"/>
    <mergeCell ref="D12:D16"/>
  </mergeCells>
  <pageMargins left="0.72" right="0.47" top="0.75" bottom="0.75" header="0.3" footer="0.3"/>
  <pageSetup scale="7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96"/>
  <sheetViews>
    <sheetView topLeftCell="A477" zoomScale="120" zoomScaleNormal="120" workbookViewId="0">
      <selection activeCell="F497" sqref="F497"/>
    </sheetView>
  </sheetViews>
  <sheetFormatPr defaultRowHeight="15"/>
  <cols>
    <col min="1" max="2" width="7.42578125" customWidth="1"/>
    <col min="3" max="3" width="21.28515625" customWidth="1"/>
    <col min="4" max="4" width="16.5703125" customWidth="1"/>
    <col min="5" max="5" width="23.7109375" customWidth="1"/>
    <col min="6" max="6" width="33.28515625" style="147" customWidth="1"/>
  </cols>
  <sheetData>
    <row r="1" spans="1:6" ht="15.75" thickBot="1">
      <c r="A1" s="2" t="s">
        <v>555</v>
      </c>
      <c r="B1" s="2" t="s">
        <v>556</v>
      </c>
      <c r="C1" s="2" t="s">
        <v>557</v>
      </c>
      <c r="D1" s="2" t="s">
        <v>558</v>
      </c>
      <c r="E1" s="2" t="s">
        <v>559</v>
      </c>
      <c r="F1" s="144" t="s">
        <v>560</v>
      </c>
    </row>
    <row r="2" spans="1:6">
      <c r="A2" s="118"/>
      <c r="B2" s="118"/>
      <c r="C2" s="118"/>
      <c r="D2" s="118"/>
      <c r="E2" s="118">
        <v>0</v>
      </c>
      <c r="F2" s="145">
        <v>0</v>
      </c>
    </row>
    <row r="3" spans="1:6" ht="22.5">
      <c r="A3" s="6" t="s">
        <v>561</v>
      </c>
      <c r="B3" s="6" t="s">
        <v>562</v>
      </c>
      <c r="C3" s="6" t="s">
        <v>1</v>
      </c>
      <c r="D3" s="116">
        <v>266</v>
      </c>
      <c r="E3" s="117">
        <v>11491.2</v>
      </c>
      <c r="F3" s="146"/>
    </row>
    <row r="4" spans="1:6" ht="22.5">
      <c r="A4" s="6" t="s">
        <v>563</v>
      </c>
      <c r="B4" s="6" t="s">
        <v>562</v>
      </c>
      <c r="C4" s="6" t="s">
        <v>3</v>
      </c>
      <c r="D4" s="116">
        <v>1110</v>
      </c>
      <c r="E4" s="117">
        <v>47952</v>
      </c>
      <c r="F4" s="146">
        <v>10000</v>
      </c>
    </row>
    <row r="5" spans="1:6">
      <c r="A5" s="6" t="s">
        <v>564</v>
      </c>
      <c r="B5" s="6" t="s">
        <v>562</v>
      </c>
      <c r="C5" s="6" t="s">
        <v>4</v>
      </c>
      <c r="D5" s="116">
        <v>143</v>
      </c>
      <c r="E5" s="117">
        <v>6177.6</v>
      </c>
      <c r="F5" s="146"/>
    </row>
    <row r="6" spans="1:6" ht="22.5">
      <c r="A6" s="6" t="s">
        <v>565</v>
      </c>
      <c r="B6" s="6" t="s">
        <v>562</v>
      </c>
      <c r="C6" s="6" t="s">
        <v>6</v>
      </c>
      <c r="D6" s="116">
        <v>460</v>
      </c>
      <c r="E6" s="117">
        <v>19872</v>
      </c>
      <c r="F6" s="146"/>
    </row>
    <row r="7" spans="1:6" ht="22.5">
      <c r="A7" s="6" t="s">
        <v>566</v>
      </c>
      <c r="B7" s="6" t="s">
        <v>562</v>
      </c>
      <c r="C7" s="6" t="s">
        <v>9</v>
      </c>
      <c r="D7" s="116">
        <v>486</v>
      </c>
      <c r="E7" s="117">
        <v>20995.200000000001</v>
      </c>
      <c r="F7" s="146"/>
    </row>
    <row r="8" spans="1:6" ht="22.5">
      <c r="A8" s="6" t="s">
        <v>567</v>
      </c>
      <c r="B8" s="6" t="s">
        <v>562</v>
      </c>
      <c r="C8" s="6" t="s">
        <v>10</v>
      </c>
      <c r="D8" s="116">
        <v>442</v>
      </c>
      <c r="E8" s="117">
        <v>19094.400000000001</v>
      </c>
      <c r="F8" s="146"/>
    </row>
    <row r="9" spans="1:6" ht="22.5">
      <c r="A9" s="6" t="s">
        <v>568</v>
      </c>
      <c r="B9" s="6" t="s">
        <v>562</v>
      </c>
      <c r="C9" s="6" t="s">
        <v>11</v>
      </c>
      <c r="D9" s="116">
        <v>88</v>
      </c>
      <c r="E9" s="117">
        <v>3801.6</v>
      </c>
      <c r="F9" s="146"/>
    </row>
    <row r="10" spans="1:6">
      <c r="A10" s="6" t="s">
        <v>569</v>
      </c>
      <c r="B10" s="6" t="s">
        <v>562</v>
      </c>
      <c r="C10" s="6" t="s">
        <v>14</v>
      </c>
      <c r="D10" s="116">
        <v>877</v>
      </c>
      <c r="E10" s="117">
        <v>37886.400000000001</v>
      </c>
      <c r="F10" s="146"/>
    </row>
    <row r="11" spans="1:6" ht="22.5">
      <c r="A11" s="6" t="s">
        <v>570</v>
      </c>
      <c r="B11" s="6" t="s">
        <v>562</v>
      </c>
      <c r="C11" s="6" t="s">
        <v>16</v>
      </c>
      <c r="D11" s="116">
        <v>514</v>
      </c>
      <c r="E11" s="117">
        <v>22204.799999999999</v>
      </c>
      <c r="F11" s="146">
        <v>7500</v>
      </c>
    </row>
    <row r="12" spans="1:6">
      <c r="A12" s="6" t="s">
        <v>571</v>
      </c>
      <c r="B12" s="6" t="s">
        <v>562</v>
      </c>
      <c r="C12" s="6" t="s">
        <v>18</v>
      </c>
      <c r="D12" s="116">
        <v>238</v>
      </c>
      <c r="E12" s="117">
        <v>10281.6</v>
      </c>
      <c r="F12" s="146"/>
    </row>
    <row r="13" spans="1:6">
      <c r="A13" s="6" t="s">
        <v>572</v>
      </c>
      <c r="B13" s="6" t="s">
        <v>562</v>
      </c>
      <c r="C13" s="6" t="s">
        <v>21</v>
      </c>
      <c r="D13" s="116">
        <v>1016</v>
      </c>
      <c r="E13" s="117">
        <v>43891.199999999997</v>
      </c>
      <c r="F13" s="146"/>
    </row>
    <row r="14" spans="1:6">
      <c r="A14" s="6" t="s">
        <v>573</v>
      </c>
      <c r="B14" s="6" t="s">
        <v>574</v>
      </c>
      <c r="C14" s="6" t="s">
        <v>23</v>
      </c>
      <c r="D14" s="116">
        <v>298</v>
      </c>
      <c r="E14" s="117">
        <v>12873.6</v>
      </c>
      <c r="F14" s="146">
        <v>5000</v>
      </c>
    </row>
    <row r="15" spans="1:6">
      <c r="A15" s="6" t="s">
        <v>575</v>
      </c>
      <c r="B15" s="6" t="s">
        <v>576</v>
      </c>
      <c r="C15" s="6" t="s">
        <v>25</v>
      </c>
      <c r="D15" s="116">
        <v>151</v>
      </c>
      <c r="E15" s="117">
        <v>6523.2</v>
      </c>
      <c r="F15" s="146"/>
    </row>
    <row r="16" spans="1:6" ht="22.5">
      <c r="A16" s="6" t="s">
        <v>577</v>
      </c>
      <c r="B16" s="6" t="s">
        <v>562</v>
      </c>
      <c r="C16" s="6" t="s">
        <v>28</v>
      </c>
      <c r="D16" s="116">
        <v>1041</v>
      </c>
      <c r="E16" s="117">
        <v>44971.199999999997</v>
      </c>
      <c r="F16" s="146"/>
    </row>
    <row r="17" spans="1:6">
      <c r="A17" s="6" t="s">
        <v>578</v>
      </c>
      <c r="B17" s="6" t="s">
        <v>562</v>
      </c>
      <c r="C17" s="6" t="s">
        <v>31</v>
      </c>
      <c r="D17" s="116">
        <v>417</v>
      </c>
      <c r="E17" s="117">
        <v>18014.400000000001</v>
      </c>
      <c r="F17" s="146"/>
    </row>
    <row r="18" spans="1:6">
      <c r="A18" s="6" t="s">
        <v>579</v>
      </c>
      <c r="B18" s="6" t="s">
        <v>562</v>
      </c>
      <c r="C18" s="6" t="s">
        <v>34</v>
      </c>
      <c r="D18" s="116">
        <v>2031</v>
      </c>
      <c r="E18" s="117">
        <v>87739.199999999997</v>
      </c>
      <c r="F18" s="147">
        <v>15000</v>
      </c>
    </row>
    <row r="19" spans="1:6" ht="22.5">
      <c r="A19" s="6" t="s">
        <v>580</v>
      </c>
      <c r="B19" s="6" t="s">
        <v>562</v>
      </c>
      <c r="C19" s="6" t="s">
        <v>36</v>
      </c>
      <c r="D19" s="116">
        <v>947</v>
      </c>
      <c r="E19" s="117">
        <v>40910.400000000001</v>
      </c>
    </row>
    <row r="20" spans="1:6" ht="22.5">
      <c r="A20" s="6" t="s">
        <v>581</v>
      </c>
      <c r="B20" s="6" t="s">
        <v>562</v>
      </c>
      <c r="C20" s="6" t="s">
        <v>38</v>
      </c>
      <c r="D20" s="116">
        <v>145</v>
      </c>
      <c r="E20" s="117">
        <v>6264</v>
      </c>
    </row>
    <row r="21" spans="1:6" ht="22.5">
      <c r="A21" s="6" t="s">
        <v>582</v>
      </c>
      <c r="B21" s="6" t="s">
        <v>562</v>
      </c>
      <c r="C21" s="6" t="s">
        <v>41</v>
      </c>
      <c r="D21" s="116">
        <v>4581</v>
      </c>
      <c r="E21" s="117">
        <v>197899.2</v>
      </c>
      <c r="F21" s="147">
        <v>50000</v>
      </c>
    </row>
    <row r="22" spans="1:6" ht="22.5">
      <c r="A22" s="6" t="s">
        <v>583</v>
      </c>
      <c r="B22" s="6" t="s">
        <v>562</v>
      </c>
      <c r="C22" s="6" t="s">
        <v>43</v>
      </c>
      <c r="D22" s="116">
        <v>732</v>
      </c>
      <c r="E22" s="117">
        <v>31622.400000000001</v>
      </c>
    </row>
    <row r="23" spans="1:6">
      <c r="A23" s="6" t="s">
        <v>584</v>
      </c>
      <c r="B23" s="6" t="s">
        <v>585</v>
      </c>
      <c r="C23" s="6" t="s">
        <v>46</v>
      </c>
      <c r="D23" s="116">
        <v>220</v>
      </c>
      <c r="E23" s="117">
        <v>9504</v>
      </c>
    </row>
    <row r="24" spans="1:6" ht="22.5">
      <c r="A24" s="6" t="s">
        <v>575</v>
      </c>
      <c r="B24" s="6" t="s">
        <v>586</v>
      </c>
      <c r="C24" s="6" t="s">
        <v>48</v>
      </c>
      <c r="D24" s="116">
        <v>19</v>
      </c>
      <c r="E24" s="117">
        <v>820.8</v>
      </c>
    </row>
    <row r="25" spans="1:6" ht="22.5">
      <c r="A25" s="6" t="s">
        <v>587</v>
      </c>
      <c r="B25" s="6" t="s">
        <v>562</v>
      </c>
      <c r="C25" s="6" t="s">
        <v>50</v>
      </c>
      <c r="D25" s="116">
        <v>275</v>
      </c>
      <c r="E25" s="117">
        <v>11880</v>
      </c>
    </row>
    <row r="26" spans="1:6" ht="22.5">
      <c r="A26" s="6" t="s">
        <v>588</v>
      </c>
      <c r="B26" s="6" t="s">
        <v>562</v>
      </c>
      <c r="C26" s="6" t="s">
        <v>52</v>
      </c>
      <c r="D26" s="116">
        <v>192</v>
      </c>
      <c r="E26" s="117">
        <v>8294.4</v>
      </c>
    </row>
    <row r="27" spans="1:6">
      <c r="A27" s="6" t="s">
        <v>573</v>
      </c>
      <c r="B27" s="6" t="s">
        <v>576</v>
      </c>
      <c r="C27" s="6" t="s">
        <v>54</v>
      </c>
      <c r="D27" s="116">
        <v>266</v>
      </c>
      <c r="E27" s="117">
        <v>11491.2</v>
      </c>
    </row>
    <row r="28" spans="1:6">
      <c r="A28" s="6" t="s">
        <v>589</v>
      </c>
      <c r="B28" s="6" t="s">
        <v>576</v>
      </c>
      <c r="C28" s="6" t="s">
        <v>56</v>
      </c>
      <c r="D28" s="116">
        <v>59</v>
      </c>
      <c r="E28" s="117">
        <v>2548.8000000000002</v>
      </c>
    </row>
    <row r="29" spans="1:6">
      <c r="A29" s="6" t="s">
        <v>590</v>
      </c>
      <c r="B29" s="6" t="s">
        <v>562</v>
      </c>
      <c r="C29" s="6" t="s">
        <v>58</v>
      </c>
      <c r="D29" s="116">
        <v>1193</v>
      </c>
      <c r="E29" s="117">
        <v>51537.599999999999</v>
      </c>
    </row>
    <row r="30" spans="1:6" ht="22.5">
      <c r="A30" s="6" t="s">
        <v>591</v>
      </c>
      <c r="B30" s="6" t="s">
        <v>562</v>
      </c>
      <c r="C30" s="6" t="s">
        <v>60</v>
      </c>
      <c r="D30" s="116">
        <v>466</v>
      </c>
      <c r="E30" s="117">
        <v>20131.2</v>
      </c>
    </row>
    <row r="31" spans="1:6">
      <c r="A31" s="6" t="s">
        <v>592</v>
      </c>
      <c r="B31" s="6" t="s">
        <v>562</v>
      </c>
      <c r="C31" s="6" t="s">
        <v>62</v>
      </c>
      <c r="D31" s="116">
        <v>238</v>
      </c>
      <c r="E31" s="117">
        <v>10281.6</v>
      </c>
    </row>
    <row r="32" spans="1:6">
      <c r="A32" s="6" t="s">
        <v>593</v>
      </c>
      <c r="B32" s="6" t="s">
        <v>562</v>
      </c>
      <c r="C32" s="6" t="s">
        <v>64</v>
      </c>
      <c r="D32" s="116">
        <v>1174</v>
      </c>
      <c r="E32" s="117">
        <v>50716.800000000003</v>
      </c>
    </row>
    <row r="33" spans="1:6" ht="22.5">
      <c r="A33" s="6" t="s">
        <v>594</v>
      </c>
      <c r="B33" s="6" t="s">
        <v>562</v>
      </c>
      <c r="C33" s="6" t="s">
        <v>65</v>
      </c>
      <c r="D33" s="116">
        <v>505</v>
      </c>
      <c r="E33" s="117">
        <v>21816</v>
      </c>
    </row>
    <row r="34" spans="1:6">
      <c r="A34" s="6" t="s">
        <v>595</v>
      </c>
      <c r="B34" s="6" t="s">
        <v>562</v>
      </c>
      <c r="C34" s="6" t="s">
        <v>67</v>
      </c>
      <c r="D34" s="116">
        <v>344</v>
      </c>
      <c r="E34" s="117">
        <v>14860.8</v>
      </c>
      <c r="F34" s="147">
        <v>2000</v>
      </c>
    </row>
    <row r="35" spans="1:6" ht="22.5">
      <c r="A35" s="6" t="s">
        <v>596</v>
      </c>
      <c r="B35" s="6" t="s">
        <v>562</v>
      </c>
      <c r="C35" s="6" t="s">
        <v>69</v>
      </c>
      <c r="D35" s="116">
        <v>528</v>
      </c>
      <c r="E35" s="117">
        <v>22809.599999999999</v>
      </c>
    </row>
    <row r="36" spans="1:6">
      <c r="A36" s="6" t="s">
        <v>584</v>
      </c>
      <c r="B36" s="6" t="s">
        <v>597</v>
      </c>
      <c r="C36" s="6" t="s">
        <v>71</v>
      </c>
      <c r="D36" s="116">
        <v>414</v>
      </c>
      <c r="E36" s="117">
        <v>17884.8</v>
      </c>
      <c r="F36" s="147">
        <v>5000</v>
      </c>
    </row>
    <row r="37" spans="1:6" ht="22.5">
      <c r="A37" s="6" t="s">
        <v>598</v>
      </c>
      <c r="B37" s="6" t="s">
        <v>562</v>
      </c>
      <c r="C37" s="6" t="s">
        <v>73</v>
      </c>
      <c r="D37" s="116">
        <v>438</v>
      </c>
      <c r="E37" s="117">
        <v>18921.599999999999</v>
      </c>
    </row>
    <row r="38" spans="1:6" ht="22.5">
      <c r="A38" s="6" t="s">
        <v>599</v>
      </c>
      <c r="B38" s="6" t="s">
        <v>562</v>
      </c>
      <c r="C38" s="6" t="s">
        <v>75</v>
      </c>
      <c r="D38" s="116">
        <v>441</v>
      </c>
      <c r="E38" s="117">
        <v>19051.2</v>
      </c>
      <c r="F38" s="147">
        <v>5000</v>
      </c>
    </row>
    <row r="39" spans="1:6" ht="22.5">
      <c r="A39" s="6" t="s">
        <v>600</v>
      </c>
      <c r="B39" s="6" t="s">
        <v>562</v>
      </c>
      <c r="C39" s="6" t="s">
        <v>77</v>
      </c>
      <c r="D39" s="116">
        <v>479</v>
      </c>
      <c r="E39" s="117">
        <v>20692.8</v>
      </c>
    </row>
    <row r="40" spans="1:6" ht="22.5">
      <c r="A40" s="6" t="s">
        <v>601</v>
      </c>
      <c r="B40" s="6" t="s">
        <v>562</v>
      </c>
      <c r="C40" s="6" t="s">
        <v>79</v>
      </c>
      <c r="D40" s="116">
        <v>527</v>
      </c>
      <c r="E40" s="117">
        <v>22766.400000000001</v>
      </c>
    </row>
    <row r="41" spans="1:6" ht="22.5">
      <c r="A41" s="6" t="s">
        <v>602</v>
      </c>
      <c r="B41" s="6" t="s">
        <v>562</v>
      </c>
      <c r="C41" s="6" t="s">
        <v>81</v>
      </c>
      <c r="D41" s="116">
        <v>63</v>
      </c>
      <c r="E41" s="117">
        <v>2721.6</v>
      </c>
    </row>
    <row r="42" spans="1:6">
      <c r="A42" s="6" t="s">
        <v>603</v>
      </c>
      <c r="B42" s="6" t="s">
        <v>562</v>
      </c>
      <c r="C42" s="6" t="s">
        <v>82</v>
      </c>
      <c r="D42" s="116">
        <v>1125</v>
      </c>
      <c r="E42" s="117">
        <v>48600</v>
      </c>
    </row>
    <row r="43" spans="1:6" ht="22.5">
      <c r="A43" s="6" t="s">
        <v>604</v>
      </c>
      <c r="B43" s="6" t="s">
        <v>562</v>
      </c>
      <c r="C43" s="6" t="s">
        <v>84</v>
      </c>
      <c r="D43" s="116">
        <v>2630</v>
      </c>
      <c r="E43" s="117">
        <v>113616</v>
      </c>
      <c r="F43" s="147">
        <v>35000</v>
      </c>
    </row>
    <row r="44" spans="1:6">
      <c r="A44" s="6" t="s">
        <v>572</v>
      </c>
      <c r="B44" s="6" t="s">
        <v>605</v>
      </c>
      <c r="C44" s="6" t="s">
        <v>86</v>
      </c>
      <c r="D44" s="116">
        <v>194</v>
      </c>
      <c r="E44" s="117">
        <v>8380.7999999999993</v>
      </c>
    </row>
    <row r="45" spans="1:6" ht="22.5">
      <c r="A45" s="6" t="s">
        <v>606</v>
      </c>
      <c r="B45" s="6" t="s">
        <v>607</v>
      </c>
      <c r="C45" s="6" t="s">
        <v>88</v>
      </c>
      <c r="D45" s="116">
        <v>295</v>
      </c>
      <c r="E45" s="117">
        <v>12744</v>
      </c>
      <c r="F45" s="147">
        <v>3000</v>
      </c>
    </row>
    <row r="46" spans="1:6" ht="22.5">
      <c r="A46" s="6" t="s">
        <v>606</v>
      </c>
      <c r="B46" s="6" t="s">
        <v>608</v>
      </c>
      <c r="C46" s="6" t="s">
        <v>90</v>
      </c>
      <c r="D46" s="116">
        <v>252</v>
      </c>
      <c r="E46" s="117">
        <v>10886.4</v>
      </c>
    </row>
    <row r="47" spans="1:6" ht="22.5">
      <c r="A47" s="6" t="s">
        <v>609</v>
      </c>
      <c r="B47" s="6" t="s">
        <v>610</v>
      </c>
      <c r="C47" s="6" t="s">
        <v>92</v>
      </c>
      <c r="D47" s="116">
        <v>7</v>
      </c>
      <c r="E47" s="117">
        <v>302.39999999999998</v>
      </c>
    </row>
    <row r="48" spans="1:6" ht="22.5">
      <c r="A48" s="6" t="s">
        <v>611</v>
      </c>
      <c r="B48" s="6" t="s">
        <v>562</v>
      </c>
      <c r="C48" s="6" t="s">
        <v>94</v>
      </c>
      <c r="D48" s="116">
        <v>1105</v>
      </c>
      <c r="E48" s="117">
        <v>47736</v>
      </c>
      <c r="F48" s="147">
        <v>18000</v>
      </c>
    </row>
    <row r="49" spans="1:6">
      <c r="A49" s="6" t="s">
        <v>612</v>
      </c>
      <c r="B49" s="6" t="s">
        <v>562</v>
      </c>
      <c r="C49" s="6" t="s">
        <v>96</v>
      </c>
      <c r="D49" s="116">
        <v>1542</v>
      </c>
      <c r="E49" s="117">
        <v>66614.399999999994</v>
      </c>
    </row>
    <row r="50" spans="1:6" ht="22.5">
      <c r="A50" s="6" t="s">
        <v>613</v>
      </c>
      <c r="B50" s="6" t="s">
        <v>562</v>
      </c>
      <c r="C50" s="6" t="s">
        <v>97</v>
      </c>
      <c r="D50" s="116">
        <v>500</v>
      </c>
      <c r="E50" s="117">
        <v>21600</v>
      </c>
    </row>
    <row r="51" spans="1:6" ht="22.5">
      <c r="A51" s="6" t="s">
        <v>614</v>
      </c>
      <c r="B51" s="6" t="s">
        <v>562</v>
      </c>
      <c r="C51" s="6" t="s">
        <v>99</v>
      </c>
      <c r="D51" s="116">
        <v>379</v>
      </c>
      <c r="E51" s="117">
        <v>16372.8</v>
      </c>
    </row>
    <row r="52" spans="1:6">
      <c r="A52" s="6" t="s">
        <v>606</v>
      </c>
      <c r="B52" s="6" t="s">
        <v>615</v>
      </c>
      <c r="C52" s="6" t="s">
        <v>101</v>
      </c>
      <c r="D52" s="116">
        <v>40</v>
      </c>
      <c r="E52" s="117">
        <v>1728</v>
      </c>
    </row>
    <row r="53" spans="1:6">
      <c r="A53" s="6" t="s">
        <v>616</v>
      </c>
      <c r="B53" s="6" t="s">
        <v>607</v>
      </c>
      <c r="C53" s="6" t="s">
        <v>103</v>
      </c>
      <c r="D53" s="116">
        <v>69</v>
      </c>
      <c r="E53" s="117">
        <v>2980.8</v>
      </c>
    </row>
    <row r="54" spans="1:6" ht="22.5">
      <c r="A54" s="6" t="s">
        <v>617</v>
      </c>
      <c r="B54" s="6" t="s">
        <v>562</v>
      </c>
      <c r="C54" s="6" t="s">
        <v>105</v>
      </c>
      <c r="D54" s="116">
        <v>462</v>
      </c>
      <c r="E54" s="117">
        <v>19958.400000000001</v>
      </c>
    </row>
    <row r="55" spans="1:6" ht="22.5">
      <c r="A55" s="6" t="s">
        <v>618</v>
      </c>
      <c r="B55" s="6" t="s">
        <v>562</v>
      </c>
      <c r="C55" s="6" t="s">
        <v>107</v>
      </c>
      <c r="D55" s="116">
        <v>2959</v>
      </c>
      <c r="E55" s="117">
        <v>127828.8</v>
      </c>
      <c r="F55" s="147">
        <v>61000</v>
      </c>
    </row>
    <row r="56" spans="1:6" ht="22.5">
      <c r="A56" s="6" t="s">
        <v>618</v>
      </c>
      <c r="B56" s="6" t="s">
        <v>607</v>
      </c>
      <c r="C56" s="6" t="s">
        <v>109</v>
      </c>
      <c r="D56" s="116">
        <v>167</v>
      </c>
      <c r="E56" s="117">
        <v>7214.4</v>
      </c>
    </row>
    <row r="57" spans="1:6">
      <c r="A57" s="6" t="s">
        <v>619</v>
      </c>
      <c r="B57" s="6" t="s">
        <v>562</v>
      </c>
      <c r="C57" s="6" t="s">
        <v>111</v>
      </c>
      <c r="D57" s="116">
        <v>248</v>
      </c>
      <c r="E57" s="117">
        <v>10713.6</v>
      </c>
    </row>
    <row r="58" spans="1:6" ht="22.5">
      <c r="A58" s="6" t="s">
        <v>620</v>
      </c>
      <c r="B58" s="6" t="s">
        <v>562</v>
      </c>
      <c r="C58" s="6" t="s">
        <v>113</v>
      </c>
      <c r="D58" s="116">
        <v>439</v>
      </c>
      <c r="E58" s="117">
        <v>18964.8</v>
      </c>
    </row>
    <row r="59" spans="1:6">
      <c r="A59" s="6" t="s">
        <v>621</v>
      </c>
      <c r="B59" s="6" t="s">
        <v>562</v>
      </c>
      <c r="C59" s="6" t="s">
        <v>115</v>
      </c>
      <c r="D59" s="116">
        <v>356</v>
      </c>
      <c r="E59" s="117">
        <v>15379.2</v>
      </c>
    </row>
    <row r="60" spans="1:6" ht="22.5">
      <c r="A60" s="6" t="s">
        <v>622</v>
      </c>
      <c r="B60" s="6" t="s">
        <v>562</v>
      </c>
      <c r="C60" s="6" t="s">
        <v>117</v>
      </c>
      <c r="D60" s="116">
        <v>847</v>
      </c>
      <c r="E60" s="117">
        <v>36590.400000000001</v>
      </c>
    </row>
    <row r="61" spans="1:6" ht="22.5">
      <c r="A61" s="6" t="s">
        <v>623</v>
      </c>
      <c r="B61" s="6" t="s">
        <v>562</v>
      </c>
      <c r="C61" s="6" t="s">
        <v>118</v>
      </c>
      <c r="D61" s="116">
        <v>507</v>
      </c>
      <c r="E61" s="117">
        <v>21902.400000000001</v>
      </c>
    </row>
    <row r="62" spans="1:6">
      <c r="A62" s="6" t="s">
        <v>624</v>
      </c>
      <c r="B62" s="6" t="s">
        <v>562</v>
      </c>
      <c r="C62" s="6" t="s">
        <v>120</v>
      </c>
      <c r="D62" s="116">
        <v>1315</v>
      </c>
      <c r="E62" s="117">
        <v>56808</v>
      </c>
    </row>
    <row r="63" spans="1:6">
      <c r="A63" s="6" t="s">
        <v>625</v>
      </c>
      <c r="B63" s="6" t="s">
        <v>562</v>
      </c>
      <c r="C63" s="6" t="s">
        <v>122</v>
      </c>
      <c r="D63" s="116">
        <v>1447</v>
      </c>
      <c r="E63" s="117">
        <v>62510.400000000001</v>
      </c>
      <c r="F63" s="147">
        <v>16000</v>
      </c>
    </row>
    <row r="64" spans="1:6" ht="22.5">
      <c r="A64" s="6" t="s">
        <v>626</v>
      </c>
      <c r="B64" s="6" t="s">
        <v>562</v>
      </c>
      <c r="C64" s="6" t="s">
        <v>124</v>
      </c>
      <c r="D64" s="116">
        <v>3099</v>
      </c>
      <c r="E64" s="117">
        <v>133876.79999999999</v>
      </c>
      <c r="F64" s="147">
        <v>48000</v>
      </c>
    </row>
    <row r="65" spans="1:6" ht="22.5">
      <c r="A65" s="6" t="s">
        <v>575</v>
      </c>
      <c r="B65" s="6" t="s">
        <v>562</v>
      </c>
      <c r="C65" s="6" t="s">
        <v>126</v>
      </c>
      <c r="D65" s="116">
        <v>11681</v>
      </c>
      <c r="E65" s="117">
        <v>504619.2</v>
      </c>
      <c r="F65" s="147">
        <v>80000</v>
      </c>
    </row>
    <row r="66" spans="1:6" ht="22.5">
      <c r="A66" s="6" t="s">
        <v>609</v>
      </c>
      <c r="B66" s="6" t="s">
        <v>627</v>
      </c>
      <c r="C66" s="6" t="s">
        <v>127</v>
      </c>
      <c r="D66" s="116">
        <v>847</v>
      </c>
      <c r="E66" s="117">
        <v>36590.400000000001</v>
      </c>
    </row>
    <row r="67" spans="1:6" ht="22.5">
      <c r="A67" s="6" t="s">
        <v>628</v>
      </c>
      <c r="B67" s="6" t="s">
        <v>562</v>
      </c>
      <c r="C67" s="6" t="s">
        <v>129</v>
      </c>
      <c r="D67" s="116">
        <v>1158</v>
      </c>
      <c r="E67" s="117">
        <v>50025.599999999999</v>
      </c>
      <c r="F67" s="147">
        <v>10000</v>
      </c>
    </row>
    <row r="68" spans="1:6" ht="22.5">
      <c r="A68" s="6" t="s">
        <v>629</v>
      </c>
      <c r="B68" s="6" t="s">
        <v>562</v>
      </c>
      <c r="C68" s="6" t="s">
        <v>130</v>
      </c>
      <c r="D68" s="116">
        <v>974</v>
      </c>
      <c r="E68" s="117">
        <v>42076.800000000003</v>
      </c>
    </row>
    <row r="69" spans="1:6" ht="22.5">
      <c r="A69" s="6" t="s">
        <v>630</v>
      </c>
      <c r="B69" s="6" t="s">
        <v>562</v>
      </c>
      <c r="C69" s="6" t="s">
        <v>131</v>
      </c>
      <c r="D69" s="116">
        <v>350</v>
      </c>
      <c r="E69" s="117">
        <v>15120</v>
      </c>
    </row>
    <row r="70" spans="1:6" ht="22.5">
      <c r="A70" s="6" t="s">
        <v>631</v>
      </c>
      <c r="B70" s="6" t="s">
        <v>562</v>
      </c>
      <c r="C70" s="6" t="s">
        <v>132</v>
      </c>
      <c r="D70" s="116">
        <v>1329</v>
      </c>
      <c r="E70" s="117">
        <v>57412.800000000003</v>
      </c>
      <c r="F70" s="147">
        <v>15000</v>
      </c>
    </row>
    <row r="71" spans="1:6">
      <c r="A71" s="6" t="s">
        <v>632</v>
      </c>
      <c r="B71" s="6" t="s">
        <v>562</v>
      </c>
      <c r="C71" s="6" t="s">
        <v>133</v>
      </c>
      <c r="D71" s="116">
        <v>371</v>
      </c>
      <c r="E71" s="117">
        <v>16027.2</v>
      </c>
    </row>
    <row r="72" spans="1:6" ht="22.5">
      <c r="A72" s="6" t="s">
        <v>633</v>
      </c>
      <c r="B72" s="6" t="s">
        <v>562</v>
      </c>
      <c r="C72" s="6" t="s">
        <v>134</v>
      </c>
      <c r="D72" s="116">
        <v>558</v>
      </c>
      <c r="E72" s="117">
        <v>24105.599999999999</v>
      </c>
      <c r="F72" s="147">
        <v>4500</v>
      </c>
    </row>
    <row r="73" spans="1:6">
      <c r="A73" s="6" t="s">
        <v>634</v>
      </c>
      <c r="B73" s="6" t="s">
        <v>635</v>
      </c>
      <c r="C73" s="6" t="s">
        <v>135</v>
      </c>
      <c r="D73" s="116">
        <v>17</v>
      </c>
      <c r="E73" s="117">
        <v>734.4</v>
      </c>
    </row>
    <row r="74" spans="1:6" ht="22.5">
      <c r="A74" s="6" t="s">
        <v>636</v>
      </c>
      <c r="B74" s="6" t="s">
        <v>562</v>
      </c>
      <c r="C74" s="6" t="s">
        <v>136</v>
      </c>
      <c r="D74" s="116">
        <v>766</v>
      </c>
      <c r="E74" s="117">
        <v>33091.199999999997</v>
      </c>
    </row>
    <row r="75" spans="1:6">
      <c r="A75" s="6" t="s">
        <v>603</v>
      </c>
      <c r="B75" s="6" t="s">
        <v>607</v>
      </c>
      <c r="C75" s="6" t="s">
        <v>138</v>
      </c>
      <c r="D75" s="116">
        <v>115</v>
      </c>
      <c r="E75" s="117">
        <v>4968</v>
      </c>
    </row>
    <row r="76" spans="1:6" ht="22.5">
      <c r="A76" s="6" t="s">
        <v>637</v>
      </c>
      <c r="B76" s="6" t="s">
        <v>562</v>
      </c>
      <c r="C76" s="6" t="s">
        <v>139</v>
      </c>
      <c r="D76" s="116">
        <v>548</v>
      </c>
      <c r="E76" s="117">
        <v>23673.599999999999</v>
      </c>
    </row>
    <row r="77" spans="1:6" ht="22.5">
      <c r="A77" s="6" t="s">
        <v>638</v>
      </c>
      <c r="B77" s="6" t="s">
        <v>562</v>
      </c>
      <c r="C77" s="6" t="s">
        <v>140</v>
      </c>
      <c r="D77" s="116">
        <v>592</v>
      </c>
      <c r="E77" s="117">
        <v>25574.400000000001</v>
      </c>
    </row>
    <row r="78" spans="1:6">
      <c r="A78" s="6" t="s">
        <v>639</v>
      </c>
      <c r="B78" s="6" t="s">
        <v>607</v>
      </c>
      <c r="C78" s="6" t="s">
        <v>141</v>
      </c>
      <c r="D78" s="116">
        <v>98</v>
      </c>
      <c r="E78" s="117">
        <v>4233.6000000000004</v>
      </c>
    </row>
    <row r="79" spans="1:6" ht="22.5">
      <c r="A79" s="6" t="s">
        <v>640</v>
      </c>
      <c r="B79" s="6" t="s">
        <v>562</v>
      </c>
      <c r="C79" s="6" t="s">
        <v>142</v>
      </c>
      <c r="D79" s="116">
        <v>961</v>
      </c>
      <c r="E79" s="117">
        <v>41515.199999999997</v>
      </c>
      <c r="F79" s="147">
        <v>20000</v>
      </c>
    </row>
    <row r="80" spans="1:6" ht="22.5">
      <c r="A80" s="6" t="s">
        <v>641</v>
      </c>
      <c r="B80" s="6" t="s">
        <v>562</v>
      </c>
      <c r="C80" s="6" t="s">
        <v>143</v>
      </c>
      <c r="D80" s="116">
        <v>1388</v>
      </c>
      <c r="E80" s="117">
        <v>59961.599999999999</v>
      </c>
    </row>
    <row r="81" spans="1:6" ht="22.5">
      <c r="A81" s="6" t="s">
        <v>642</v>
      </c>
      <c r="B81" s="6" t="s">
        <v>562</v>
      </c>
      <c r="C81" s="6" t="s">
        <v>144</v>
      </c>
      <c r="D81" s="116">
        <v>285</v>
      </c>
      <c r="E81" s="117">
        <v>12312</v>
      </c>
    </row>
    <row r="82" spans="1:6" ht="22.5">
      <c r="A82" s="6" t="s">
        <v>643</v>
      </c>
      <c r="B82" s="6" t="s">
        <v>562</v>
      </c>
      <c r="C82" s="6" t="s">
        <v>145</v>
      </c>
      <c r="D82" s="116">
        <v>753</v>
      </c>
      <c r="E82" s="117">
        <v>32529.599999999999</v>
      </c>
    </row>
    <row r="83" spans="1:6">
      <c r="A83" s="6" t="s">
        <v>644</v>
      </c>
      <c r="B83" s="6" t="s">
        <v>645</v>
      </c>
      <c r="C83" s="6" t="s">
        <v>146</v>
      </c>
      <c r="D83" s="116">
        <v>6</v>
      </c>
      <c r="E83" s="117">
        <v>259.2</v>
      </c>
    </row>
    <row r="84" spans="1:6">
      <c r="A84" s="6" t="s">
        <v>646</v>
      </c>
      <c r="B84" s="6" t="s">
        <v>607</v>
      </c>
      <c r="C84" s="6" t="s">
        <v>147</v>
      </c>
      <c r="D84" s="116">
        <v>43</v>
      </c>
      <c r="E84" s="117">
        <v>1857.6</v>
      </c>
    </row>
    <row r="85" spans="1:6">
      <c r="A85" s="6" t="s">
        <v>644</v>
      </c>
      <c r="B85" s="6" t="s">
        <v>647</v>
      </c>
      <c r="C85" s="6" t="s">
        <v>148</v>
      </c>
      <c r="D85" s="116">
        <v>174</v>
      </c>
      <c r="E85" s="117">
        <v>7516.8</v>
      </c>
      <c r="F85" s="147">
        <v>2000</v>
      </c>
    </row>
    <row r="86" spans="1:6">
      <c r="A86" s="6" t="s">
        <v>648</v>
      </c>
      <c r="B86" s="6" t="s">
        <v>610</v>
      </c>
      <c r="C86" s="6" t="s">
        <v>149</v>
      </c>
      <c r="D86" s="116">
        <v>204</v>
      </c>
      <c r="E86" s="117">
        <v>8812.7999999999993</v>
      </c>
    </row>
    <row r="87" spans="1:6" ht="22.5">
      <c r="A87" s="6" t="s">
        <v>648</v>
      </c>
      <c r="B87" s="6" t="s">
        <v>562</v>
      </c>
      <c r="C87" s="6" t="s">
        <v>150</v>
      </c>
      <c r="D87" s="116">
        <v>859</v>
      </c>
      <c r="E87" s="117">
        <v>37108.800000000003</v>
      </c>
    </row>
    <row r="88" spans="1:6" ht="22.5">
      <c r="A88" s="6" t="s">
        <v>649</v>
      </c>
      <c r="B88" s="6" t="s">
        <v>562</v>
      </c>
      <c r="C88" s="6" t="s">
        <v>151</v>
      </c>
      <c r="D88" s="116">
        <v>702</v>
      </c>
      <c r="E88" s="117">
        <v>30326.400000000001</v>
      </c>
      <c r="F88" s="147">
        <v>8000</v>
      </c>
    </row>
    <row r="89" spans="1:6">
      <c r="A89" s="6" t="s">
        <v>650</v>
      </c>
      <c r="B89" s="6" t="s">
        <v>562</v>
      </c>
      <c r="C89" s="6" t="s">
        <v>152</v>
      </c>
      <c r="D89" s="116">
        <v>1063</v>
      </c>
      <c r="E89" s="117">
        <v>45921.599999999999</v>
      </c>
      <c r="F89" s="147">
        <v>15000</v>
      </c>
    </row>
    <row r="90" spans="1:6" ht="22.5">
      <c r="A90" s="6" t="s">
        <v>651</v>
      </c>
      <c r="B90" s="6" t="s">
        <v>562</v>
      </c>
      <c r="C90" s="6" t="s">
        <v>153</v>
      </c>
      <c r="D90" s="116">
        <v>284</v>
      </c>
      <c r="E90" s="117">
        <v>12268.8</v>
      </c>
    </row>
    <row r="91" spans="1:6" ht="22.5">
      <c r="A91" s="6" t="s">
        <v>652</v>
      </c>
      <c r="B91" s="6" t="s">
        <v>562</v>
      </c>
      <c r="C91" s="6" t="s">
        <v>154</v>
      </c>
      <c r="D91" s="116">
        <v>283</v>
      </c>
      <c r="E91" s="117">
        <v>12225.6</v>
      </c>
    </row>
    <row r="92" spans="1:6" ht="22.5">
      <c r="A92" s="6" t="s">
        <v>653</v>
      </c>
      <c r="B92" s="6" t="s">
        <v>562</v>
      </c>
      <c r="C92" s="6" t="s">
        <v>155</v>
      </c>
      <c r="D92" s="116">
        <v>521</v>
      </c>
      <c r="E92" s="117">
        <v>22507.200000000001</v>
      </c>
    </row>
    <row r="93" spans="1:6" ht="22.5">
      <c r="A93" s="6" t="s">
        <v>654</v>
      </c>
      <c r="B93" s="6" t="s">
        <v>562</v>
      </c>
      <c r="C93" s="6" t="s">
        <v>156</v>
      </c>
      <c r="D93" s="116">
        <v>1363</v>
      </c>
      <c r="E93" s="117">
        <v>58881.599999999999</v>
      </c>
    </row>
    <row r="94" spans="1:6" ht="22.5">
      <c r="A94" s="6" t="s">
        <v>655</v>
      </c>
      <c r="B94" s="6" t="s">
        <v>562</v>
      </c>
      <c r="C94" s="6" t="s">
        <v>157</v>
      </c>
      <c r="D94" s="116">
        <v>1009</v>
      </c>
      <c r="E94" s="117">
        <v>43588.800000000003</v>
      </c>
      <c r="F94" s="147">
        <v>20000</v>
      </c>
    </row>
    <row r="95" spans="1:6" ht="22.5">
      <c r="A95" s="6" t="s">
        <v>656</v>
      </c>
      <c r="B95" s="6" t="s">
        <v>562</v>
      </c>
      <c r="C95" s="6" t="s">
        <v>158</v>
      </c>
      <c r="D95" s="116">
        <v>36</v>
      </c>
      <c r="E95" s="117">
        <v>1555.2</v>
      </c>
    </row>
    <row r="96" spans="1:6">
      <c r="A96" s="6" t="s">
        <v>657</v>
      </c>
      <c r="B96" s="6" t="s">
        <v>658</v>
      </c>
      <c r="C96" s="6" t="s">
        <v>159</v>
      </c>
      <c r="D96" s="116">
        <v>11</v>
      </c>
      <c r="E96" s="117">
        <v>475.2</v>
      </c>
    </row>
    <row r="97" spans="1:6">
      <c r="A97" s="6" t="s">
        <v>659</v>
      </c>
      <c r="B97" s="6" t="s">
        <v>562</v>
      </c>
      <c r="C97" s="6" t="s">
        <v>160</v>
      </c>
      <c r="D97" s="116">
        <v>2770</v>
      </c>
      <c r="E97" s="117">
        <v>119664</v>
      </c>
    </row>
    <row r="98" spans="1:6">
      <c r="A98" s="6" t="s">
        <v>646</v>
      </c>
      <c r="B98" s="6" t="s">
        <v>660</v>
      </c>
      <c r="C98" s="6" t="s">
        <v>161</v>
      </c>
      <c r="D98" s="116">
        <v>554</v>
      </c>
      <c r="E98" s="117">
        <v>23932.799999999999</v>
      </c>
      <c r="F98" s="147">
        <v>5000</v>
      </c>
    </row>
    <row r="99" spans="1:6" ht="22.5">
      <c r="A99" s="6" t="s">
        <v>661</v>
      </c>
      <c r="B99" s="6" t="s">
        <v>562</v>
      </c>
      <c r="C99" s="6" t="s">
        <v>162</v>
      </c>
      <c r="D99" s="116">
        <v>513</v>
      </c>
      <c r="E99" s="117">
        <v>22161.599999999999</v>
      </c>
    </row>
    <row r="100" spans="1:6">
      <c r="A100" s="6" t="s">
        <v>662</v>
      </c>
      <c r="B100" s="6" t="s">
        <v>562</v>
      </c>
      <c r="C100" s="6" t="s">
        <v>163</v>
      </c>
      <c r="D100" s="116">
        <v>3683</v>
      </c>
      <c r="E100" s="117">
        <v>159105.60000000001</v>
      </c>
      <c r="F100" s="147">
        <v>55000</v>
      </c>
    </row>
    <row r="101" spans="1:6" ht="22.5">
      <c r="A101" s="6" t="s">
        <v>663</v>
      </c>
      <c r="B101" s="6" t="s">
        <v>562</v>
      </c>
      <c r="C101" s="6" t="s">
        <v>164</v>
      </c>
      <c r="D101" s="116">
        <v>355</v>
      </c>
      <c r="E101" s="117">
        <v>15336</v>
      </c>
      <c r="F101" s="147">
        <v>6000</v>
      </c>
    </row>
    <row r="102" spans="1:6" ht="22.5">
      <c r="A102" s="6" t="s">
        <v>664</v>
      </c>
      <c r="B102" s="6" t="s">
        <v>562</v>
      </c>
      <c r="C102" s="6" t="s">
        <v>166</v>
      </c>
      <c r="D102" s="116">
        <v>318</v>
      </c>
      <c r="E102" s="117">
        <v>13737.6</v>
      </c>
      <c r="F102" s="147">
        <v>4000</v>
      </c>
    </row>
    <row r="103" spans="1:6" ht="22.5">
      <c r="A103" s="6" t="s">
        <v>665</v>
      </c>
      <c r="B103" s="6" t="s">
        <v>562</v>
      </c>
      <c r="C103" s="6" t="s">
        <v>168</v>
      </c>
      <c r="D103" s="116">
        <v>754</v>
      </c>
      <c r="E103" s="117">
        <v>32572.799999999999</v>
      </c>
    </row>
    <row r="104" spans="1:6">
      <c r="A104" s="6" t="s">
        <v>666</v>
      </c>
      <c r="B104" s="6" t="s">
        <v>607</v>
      </c>
      <c r="C104" s="6" t="s">
        <v>170</v>
      </c>
      <c r="D104" s="116">
        <v>29</v>
      </c>
      <c r="E104" s="117">
        <v>1252.8</v>
      </c>
    </row>
    <row r="105" spans="1:6" ht="22.5">
      <c r="A105" s="6" t="s">
        <v>667</v>
      </c>
      <c r="B105" s="6" t="s">
        <v>562</v>
      </c>
      <c r="C105" s="6" t="s">
        <v>171</v>
      </c>
      <c r="D105" s="116">
        <v>361</v>
      </c>
      <c r="E105" s="117">
        <v>15595.2</v>
      </c>
    </row>
    <row r="106" spans="1:6" ht="22.5">
      <c r="A106" s="6" t="s">
        <v>668</v>
      </c>
      <c r="B106" s="6" t="s">
        <v>562</v>
      </c>
      <c r="C106" s="6" t="s">
        <v>172</v>
      </c>
      <c r="D106" s="116">
        <v>357</v>
      </c>
      <c r="E106" s="117">
        <v>15422.4</v>
      </c>
    </row>
    <row r="107" spans="1:6" ht="22.5">
      <c r="A107" s="6" t="s">
        <v>669</v>
      </c>
      <c r="B107" s="6" t="s">
        <v>562</v>
      </c>
      <c r="C107" s="6" t="s">
        <v>173</v>
      </c>
      <c r="D107" s="116">
        <v>68</v>
      </c>
      <c r="E107" s="117">
        <v>2937.6</v>
      </c>
    </row>
    <row r="108" spans="1:6" ht="22.5">
      <c r="A108" s="6" t="s">
        <v>646</v>
      </c>
      <c r="B108" s="6" t="s">
        <v>562</v>
      </c>
      <c r="C108" s="6" t="s">
        <v>174</v>
      </c>
      <c r="D108" s="116">
        <v>6532</v>
      </c>
      <c r="E108" s="117">
        <v>282182.40000000002</v>
      </c>
    </row>
    <row r="109" spans="1:6" ht="22.5">
      <c r="A109" s="6" t="s">
        <v>670</v>
      </c>
      <c r="B109" s="6" t="s">
        <v>562</v>
      </c>
      <c r="C109" s="6" t="s">
        <v>175</v>
      </c>
      <c r="D109" s="116">
        <v>1140</v>
      </c>
      <c r="E109" s="117">
        <v>49248</v>
      </c>
      <c r="F109" s="147">
        <v>18000</v>
      </c>
    </row>
    <row r="110" spans="1:6" ht="22.5">
      <c r="A110" s="6" t="s">
        <v>671</v>
      </c>
      <c r="B110" s="6" t="s">
        <v>562</v>
      </c>
      <c r="C110" s="6" t="s">
        <v>176</v>
      </c>
      <c r="D110" s="116">
        <v>1673</v>
      </c>
      <c r="E110" s="117">
        <v>72273.600000000006</v>
      </c>
      <c r="F110" s="147">
        <v>30000</v>
      </c>
    </row>
    <row r="111" spans="1:6" ht="22.5">
      <c r="A111" s="6" t="s">
        <v>672</v>
      </c>
      <c r="B111" s="6" t="s">
        <v>562</v>
      </c>
      <c r="C111" s="6" t="s">
        <v>177</v>
      </c>
      <c r="D111" s="116">
        <v>490</v>
      </c>
      <c r="E111" s="117">
        <v>21168</v>
      </c>
    </row>
    <row r="112" spans="1:6" ht="22.5">
      <c r="A112" s="6" t="s">
        <v>573</v>
      </c>
      <c r="B112" s="6" t="s">
        <v>562</v>
      </c>
      <c r="C112" s="6" t="s">
        <v>178</v>
      </c>
      <c r="D112" s="116">
        <v>11050</v>
      </c>
      <c r="E112" s="117">
        <v>477360</v>
      </c>
      <c r="F112" s="147">
        <v>50000</v>
      </c>
    </row>
    <row r="113" spans="1:6" ht="22.5">
      <c r="A113" s="6" t="s">
        <v>673</v>
      </c>
      <c r="B113" s="6" t="s">
        <v>562</v>
      </c>
      <c r="C113" s="6" t="s">
        <v>179</v>
      </c>
      <c r="D113" s="116">
        <v>843</v>
      </c>
      <c r="E113" s="117">
        <v>36417.599999999999</v>
      </c>
    </row>
    <row r="114" spans="1:6">
      <c r="A114" s="6" t="s">
        <v>639</v>
      </c>
      <c r="B114" s="6" t="s">
        <v>674</v>
      </c>
      <c r="C114" s="6" t="s">
        <v>180</v>
      </c>
      <c r="D114" s="116">
        <v>89</v>
      </c>
      <c r="E114" s="117">
        <v>3844.8</v>
      </c>
    </row>
    <row r="115" spans="1:6" ht="22.5">
      <c r="A115" s="6" t="s">
        <v>675</v>
      </c>
      <c r="B115" s="6" t="s">
        <v>562</v>
      </c>
      <c r="C115" s="6" t="s">
        <v>181</v>
      </c>
      <c r="D115" s="116">
        <v>1285</v>
      </c>
      <c r="E115" s="117">
        <v>55512</v>
      </c>
    </row>
    <row r="116" spans="1:6" ht="22.5">
      <c r="A116" s="6" t="s">
        <v>676</v>
      </c>
      <c r="B116" s="6" t="s">
        <v>562</v>
      </c>
      <c r="C116" s="6" t="s">
        <v>182</v>
      </c>
      <c r="D116" s="116">
        <v>124</v>
      </c>
      <c r="E116" s="117">
        <v>5356.8</v>
      </c>
    </row>
    <row r="117" spans="1:6" ht="22.5">
      <c r="A117" s="6" t="s">
        <v>677</v>
      </c>
      <c r="B117" s="6" t="s">
        <v>562</v>
      </c>
      <c r="C117" s="6" t="s">
        <v>183</v>
      </c>
      <c r="D117" s="116">
        <v>1900</v>
      </c>
      <c r="E117" s="117">
        <v>82080</v>
      </c>
    </row>
    <row r="118" spans="1:6">
      <c r="A118" s="6" t="s">
        <v>678</v>
      </c>
      <c r="B118" s="6" t="s">
        <v>562</v>
      </c>
      <c r="C118" s="6" t="s">
        <v>184</v>
      </c>
      <c r="D118" s="116">
        <v>598</v>
      </c>
      <c r="E118" s="117">
        <v>25833.599999999999</v>
      </c>
    </row>
    <row r="119" spans="1:6" ht="22.5">
      <c r="A119" s="6" t="s">
        <v>644</v>
      </c>
      <c r="B119" s="6" t="s">
        <v>562</v>
      </c>
      <c r="C119" s="6" t="s">
        <v>185</v>
      </c>
      <c r="D119" s="116">
        <v>19184</v>
      </c>
      <c r="E119" s="117">
        <v>828748.80000000005</v>
      </c>
      <c r="F119" s="147">
        <v>200000</v>
      </c>
    </row>
    <row r="120" spans="1:6" ht="22.5">
      <c r="A120" s="6" t="s">
        <v>679</v>
      </c>
      <c r="B120" s="6" t="s">
        <v>562</v>
      </c>
      <c r="C120" s="6" t="s">
        <v>186</v>
      </c>
      <c r="D120" s="116">
        <v>124</v>
      </c>
      <c r="E120" s="117">
        <v>5356.8</v>
      </c>
    </row>
    <row r="121" spans="1:6" ht="22.5">
      <c r="A121" s="6" t="s">
        <v>680</v>
      </c>
      <c r="B121" s="6" t="s">
        <v>562</v>
      </c>
      <c r="C121" s="6" t="s">
        <v>187</v>
      </c>
      <c r="D121" s="116">
        <v>629</v>
      </c>
      <c r="E121" s="117">
        <v>27172.799999999999</v>
      </c>
    </row>
    <row r="122" spans="1:6">
      <c r="A122" s="6" t="s">
        <v>681</v>
      </c>
      <c r="B122" s="6" t="s">
        <v>574</v>
      </c>
      <c r="C122" s="6" t="s">
        <v>188</v>
      </c>
      <c r="D122" s="116">
        <v>1039</v>
      </c>
      <c r="E122" s="117">
        <v>44884.800000000003</v>
      </c>
      <c r="F122" s="147">
        <v>6000</v>
      </c>
    </row>
    <row r="123" spans="1:6">
      <c r="A123" s="6" t="s">
        <v>682</v>
      </c>
      <c r="B123" s="6" t="s">
        <v>562</v>
      </c>
      <c r="C123" s="6" t="s">
        <v>189</v>
      </c>
      <c r="D123" s="116">
        <v>45</v>
      </c>
      <c r="E123" s="117">
        <v>1944</v>
      </c>
    </row>
    <row r="124" spans="1:6" ht="22.5">
      <c r="A124" s="6" t="s">
        <v>683</v>
      </c>
      <c r="B124" s="6" t="s">
        <v>562</v>
      </c>
      <c r="C124" s="6" t="s">
        <v>190</v>
      </c>
      <c r="D124" s="116">
        <v>7353</v>
      </c>
      <c r="E124" s="117">
        <v>317649.59999999998</v>
      </c>
      <c r="F124" s="147">
        <v>35000</v>
      </c>
    </row>
    <row r="125" spans="1:6" ht="22.5">
      <c r="A125" s="6" t="s">
        <v>684</v>
      </c>
      <c r="B125" s="6" t="s">
        <v>562</v>
      </c>
      <c r="C125" s="6" t="s">
        <v>191</v>
      </c>
      <c r="D125" s="116">
        <v>383</v>
      </c>
      <c r="E125" s="117">
        <v>16545.599999999999</v>
      </c>
    </row>
    <row r="126" spans="1:6">
      <c r="A126" s="6" t="s">
        <v>685</v>
      </c>
      <c r="B126" s="6" t="s">
        <v>562</v>
      </c>
      <c r="C126" s="6" t="s">
        <v>192</v>
      </c>
      <c r="D126" s="116">
        <v>532</v>
      </c>
      <c r="E126" s="117">
        <v>22982.400000000001</v>
      </c>
      <c r="F126" s="147">
        <v>3500</v>
      </c>
    </row>
    <row r="127" spans="1:6" ht="22.5">
      <c r="A127" s="6" t="s">
        <v>686</v>
      </c>
      <c r="B127" s="6" t="s">
        <v>562</v>
      </c>
      <c r="C127" s="6" t="s">
        <v>193</v>
      </c>
      <c r="D127" s="116">
        <v>692</v>
      </c>
      <c r="E127" s="117">
        <v>29894.400000000001</v>
      </c>
    </row>
    <row r="128" spans="1:6" ht="22.5">
      <c r="A128" s="6" t="s">
        <v>687</v>
      </c>
      <c r="B128" s="6" t="s">
        <v>562</v>
      </c>
      <c r="C128" s="6" t="s">
        <v>194</v>
      </c>
      <c r="D128" s="116">
        <v>545</v>
      </c>
      <c r="E128" s="117">
        <v>23544</v>
      </c>
    </row>
    <row r="129" spans="1:6" ht="22.5">
      <c r="A129" s="6" t="s">
        <v>688</v>
      </c>
      <c r="B129" s="6" t="s">
        <v>562</v>
      </c>
      <c r="C129" s="6" t="s">
        <v>195</v>
      </c>
      <c r="D129" s="116">
        <v>458</v>
      </c>
      <c r="E129" s="117">
        <v>19785.599999999999</v>
      </c>
    </row>
    <row r="130" spans="1:6" ht="22.5">
      <c r="A130" s="6" t="s">
        <v>689</v>
      </c>
      <c r="B130" s="6" t="s">
        <v>562</v>
      </c>
      <c r="C130" s="6" t="s">
        <v>196</v>
      </c>
      <c r="D130" s="116">
        <v>121</v>
      </c>
      <c r="E130" s="117">
        <v>5227.2</v>
      </c>
    </row>
    <row r="131" spans="1:6" ht="22.5">
      <c r="A131" s="6" t="s">
        <v>690</v>
      </c>
      <c r="B131" s="6" t="s">
        <v>562</v>
      </c>
      <c r="C131" s="6" t="s">
        <v>197</v>
      </c>
      <c r="D131" s="116">
        <v>213</v>
      </c>
      <c r="E131" s="117">
        <v>9201.6</v>
      </c>
      <c r="F131" s="147">
        <v>2000</v>
      </c>
    </row>
    <row r="132" spans="1:6" ht="22.5">
      <c r="A132" s="6" t="s">
        <v>691</v>
      </c>
      <c r="B132" s="6" t="s">
        <v>562</v>
      </c>
      <c r="C132" s="6" t="s">
        <v>198</v>
      </c>
      <c r="D132" s="116">
        <v>746</v>
      </c>
      <c r="E132" s="117">
        <v>32227.200000000001</v>
      </c>
      <c r="F132" s="147">
        <v>7500</v>
      </c>
    </row>
    <row r="133" spans="1:6" ht="22.5">
      <c r="A133" s="6" t="s">
        <v>692</v>
      </c>
      <c r="B133" s="6" t="s">
        <v>562</v>
      </c>
      <c r="C133" s="6" t="s">
        <v>199</v>
      </c>
      <c r="D133" s="116">
        <v>409</v>
      </c>
      <c r="E133" s="117">
        <v>17668.8</v>
      </c>
    </row>
    <row r="134" spans="1:6" ht="22.5">
      <c r="A134" s="6" t="s">
        <v>693</v>
      </c>
      <c r="B134" s="6" t="s">
        <v>562</v>
      </c>
      <c r="C134" s="6" t="s">
        <v>200</v>
      </c>
      <c r="D134" s="116">
        <v>803</v>
      </c>
      <c r="E134" s="117">
        <v>34689.599999999999</v>
      </c>
    </row>
    <row r="135" spans="1:6" ht="22.5">
      <c r="A135" s="6" t="s">
        <v>694</v>
      </c>
      <c r="B135" s="6" t="s">
        <v>562</v>
      </c>
      <c r="C135" s="6" t="s">
        <v>201</v>
      </c>
      <c r="D135" s="116">
        <v>333</v>
      </c>
      <c r="E135" s="117">
        <v>14385.6</v>
      </c>
      <c r="F135" s="147">
        <v>6500</v>
      </c>
    </row>
    <row r="136" spans="1:6" ht="22.5">
      <c r="A136" s="6" t="s">
        <v>695</v>
      </c>
      <c r="B136" s="6" t="s">
        <v>562</v>
      </c>
      <c r="C136" s="6" t="s">
        <v>202</v>
      </c>
      <c r="D136" s="116">
        <v>342</v>
      </c>
      <c r="E136" s="117">
        <v>14774.4</v>
      </c>
    </row>
    <row r="137" spans="1:6" ht="22.5">
      <c r="A137" s="6" t="s">
        <v>696</v>
      </c>
      <c r="B137" s="6" t="s">
        <v>562</v>
      </c>
      <c r="C137" s="6" t="s">
        <v>203</v>
      </c>
      <c r="D137" s="116">
        <v>613</v>
      </c>
      <c r="E137" s="117">
        <v>26481.599999999999</v>
      </c>
    </row>
    <row r="138" spans="1:6" ht="22.5">
      <c r="A138" s="6" t="s">
        <v>697</v>
      </c>
      <c r="B138" s="6" t="s">
        <v>562</v>
      </c>
      <c r="C138" s="6" t="s">
        <v>204</v>
      </c>
      <c r="D138" s="116">
        <v>474</v>
      </c>
      <c r="E138" s="117">
        <v>20476.8</v>
      </c>
      <c r="F138" s="147">
        <v>2000</v>
      </c>
    </row>
    <row r="139" spans="1:6" ht="22.5">
      <c r="A139" s="6" t="s">
        <v>634</v>
      </c>
      <c r="B139" s="6" t="s">
        <v>562</v>
      </c>
      <c r="C139" s="6" t="s">
        <v>205</v>
      </c>
      <c r="D139" s="116">
        <v>456</v>
      </c>
      <c r="E139" s="117">
        <v>19699.2</v>
      </c>
      <c r="F139" s="147">
        <v>6000</v>
      </c>
    </row>
    <row r="140" spans="1:6" ht="22.5">
      <c r="A140" s="6" t="s">
        <v>698</v>
      </c>
      <c r="B140" s="6" t="s">
        <v>562</v>
      </c>
      <c r="C140" s="6" t="s">
        <v>206</v>
      </c>
      <c r="D140" s="116">
        <v>211</v>
      </c>
      <c r="E140" s="117">
        <v>9115.2000000000007</v>
      </c>
    </row>
    <row r="141" spans="1:6">
      <c r="A141" s="6" t="s">
        <v>699</v>
      </c>
      <c r="B141" s="6" t="s">
        <v>700</v>
      </c>
      <c r="C141" s="6" t="s">
        <v>207</v>
      </c>
      <c r="D141" s="116">
        <v>65</v>
      </c>
      <c r="E141" s="117">
        <v>2808</v>
      </c>
    </row>
    <row r="142" spans="1:6" ht="22.5">
      <c r="A142" s="6" t="s">
        <v>699</v>
      </c>
      <c r="B142" s="6" t="s">
        <v>562</v>
      </c>
      <c r="C142" s="6" t="s">
        <v>208</v>
      </c>
      <c r="D142" s="116">
        <v>620</v>
      </c>
      <c r="E142" s="117">
        <v>26784</v>
      </c>
    </row>
    <row r="143" spans="1:6" ht="22.5">
      <c r="A143" s="6" t="s">
        <v>701</v>
      </c>
      <c r="B143" s="6" t="s">
        <v>562</v>
      </c>
      <c r="C143" s="6" t="s">
        <v>209</v>
      </c>
      <c r="D143" s="116">
        <v>340</v>
      </c>
      <c r="E143" s="117">
        <v>14688</v>
      </c>
    </row>
    <row r="144" spans="1:6">
      <c r="A144" s="6" t="s">
        <v>702</v>
      </c>
      <c r="B144" s="6" t="s">
        <v>562</v>
      </c>
      <c r="C144" s="6" t="s">
        <v>210</v>
      </c>
      <c r="D144" s="116">
        <v>177</v>
      </c>
      <c r="E144" s="117">
        <v>7646.4</v>
      </c>
    </row>
    <row r="145" spans="1:6" ht="22.5">
      <c r="A145" s="6" t="s">
        <v>703</v>
      </c>
      <c r="B145" s="6" t="s">
        <v>562</v>
      </c>
      <c r="C145" s="6" t="s">
        <v>211</v>
      </c>
      <c r="D145" s="116">
        <v>1035</v>
      </c>
      <c r="E145" s="117">
        <v>44712</v>
      </c>
    </row>
    <row r="146" spans="1:6">
      <c r="A146" s="6" t="s">
        <v>704</v>
      </c>
      <c r="B146" s="6" t="s">
        <v>562</v>
      </c>
      <c r="C146" s="6" t="s">
        <v>212</v>
      </c>
      <c r="D146" s="116">
        <v>154</v>
      </c>
      <c r="E146" s="117">
        <v>6652.8</v>
      </c>
    </row>
    <row r="147" spans="1:6" ht="22.5">
      <c r="A147" s="6" t="s">
        <v>705</v>
      </c>
      <c r="B147" s="6" t="s">
        <v>562</v>
      </c>
      <c r="C147" s="6" t="s">
        <v>213</v>
      </c>
      <c r="D147" s="116">
        <v>1233</v>
      </c>
      <c r="E147" s="117">
        <v>53265.599999999999</v>
      </c>
      <c r="F147" s="147">
        <v>12500</v>
      </c>
    </row>
    <row r="148" spans="1:6">
      <c r="A148" s="6" t="s">
        <v>604</v>
      </c>
      <c r="B148" s="6" t="s">
        <v>610</v>
      </c>
      <c r="C148" s="6" t="s">
        <v>214</v>
      </c>
      <c r="D148" s="116">
        <v>101</v>
      </c>
      <c r="E148" s="117">
        <v>4363.2</v>
      </c>
    </row>
    <row r="149" spans="1:6" ht="22.5">
      <c r="A149" s="6" t="s">
        <v>706</v>
      </c>
      <c r="B149" s="6" t="s">
        <v>562</v>
      </c>
      <c r="C149" s="6" t="s">
        <v>215</v>
      </c>
      <c r="D149" s="116">
        <v>142</v>
      </c>
      <c r="E149" s="117">
        <v>6134.4</v>
      </c>
    </row>
    <row r="150" spans="1:6" ht="22.5">
      <c r="A150" s="6" t="s">
        <v>707</v>
      </c>
      <c r="B150" s="6" t="s">
        <v>562</v>
      </c>
      <c r="C150" s="6" t="s">
        <v>216</v>
      </c>
      <c r="D150" s="116">
        <v>954</v>
      </c>
      <c r="E150" s="117">
        <v>41212.800000000003</v>
      </c>
      <c r="F150" s="147">
        <v>10000</v>
      </c>
    </row>
    <row r="151" spans="1:6" ht="22.5">
      <c r="A151" s="6" t="s">
        <v>708</v>
      </c>
      <c r="B151" s="6" t="s">
        <v>562</v>
      </c>
      <c r="C151" s="6" t="s">
        <v>217</v>
      </c>
      <c r="D151" s="116">
        <v>2825</v>
      </c>
      <c r="E151" s="117">
        <v>122040</v>
      </c>
      <c r="F151" s="147">
        <v>25000</v>
      </c>
    </row>
    <row r="152" spans="1:6" ht="22.5">
      <c r="A152" s="6" t="s">
        <v>709</v>
      </c>
      <c r="B152" s="6" t="s">
        <v>562</v>
      </c>
      <c r="C152" s="6" t="s">
        <v>218</v>
      </c>
      <c r="D152" s="116">
        <v>1565</v>
      </c>
      <c r="E152" s="117">
        <v>67608</v>
      </c>
      <c r="F152" s="147">
        <v>5000</v>
      </c>
    </row>
    <row r="153" spans="1:6">
      <c r="A153" s="6" t="s">
        <v>575</v>
      </c>
      <c r="B153" s="6" t="s">
        <v>710</v>
      </c>
      <c r="C153" s="6" t="s">
        <v>219</v>
      </c>
      <c r="D153" s="116">
        <v>6</v>
      </c>
      <c r="E153" s="117">
        <v>259.2</v>
      </c>
    </row>
    <row r="154" spans="1:6">
      <c r="A154" s="6" t="s">
        <v>575</v>
      </c>
      <c r="B154" s="6" t="s">
        <v>711</v>
      </c>
      <c r="C154" s="6" t="s">
        <v>220</v>
      </c>
      <c r="D154" s="116">
        <v>128</v>
      </c>
      <c r="E154" s="117">
        <v>5529.6</v>
      </c>
    </row>
    <row r="155" spans="1:6">
      <c r="A155" s="6" t="s">
        <v>712</v>
      </c>
      <c r="B155" s="6" t="s">
        <v>711</v>
      </c>
      <c r="C155" s="6" t="s">
        <v>221</v>
      </c>
      <c r="D155" s="116">
        <v>15</v>
      </c>
      <c r="E155" s="117">
        <v>648</v>
      </c>
    </row>
    <row r="156" spans="1:6" ht="22.5">
      <c r="A156" s="6" t="s">
        <v>713</v>
      </c>
      <c r="B156" s="6" t="s">
        <v>562</v>
      </c>
      <c r="C156" s="6" t="s">
        <v>222</v>
      </c>
      <c r="D156" s="116">
        <v>263</v>
      </c>
      <c r="E156" s="117">
        <v>11361.6</v>
      </c>
    </row>
    <row r="157" spans="1:6" ht="22.5">
      <c r="A157" s="6" t="s">
        <v>714</v>
      </c>
      <c r="B157" s="6" t="s">
        <v>562</v>
      </c>
      <c r="C157" s="6" t="s">
        <v>223</v>
      </c>
      <c r="D157" s="116">
        <v>347</v>
      </c>
      <c r="E157" s="117">
        <v>14990.4</v>
      </c>
    </row>
    <row r="158" spans="1:6" ht="22.5">
      <c r="A158" s="6" t="s">
        <v>715</v>
      </c>
      <c r="B158" s="6" t="s">
        <v>562</v>
      </c>
      <c r="C158" s="6" t="s">
        <v>224</v>
      </c>
      <c r="D158" s="116">
        <v>374</v>
      </c>
      <c r="E158" s="117">
        <v>16156.8</v>
      </c>
      <c r="F158" s="147">
        <v>6000</v>
      </c>
    </row>
    <row r="159" spans="1:6" ht="22.5">
      <c r="A159" s="6" t="s">
        <v>716</v>
      </c>
      <c r="B159" s="6" t="s">
        <v>562</v>
      </c>
      <c r="C159" s="6" t="s">
        <v>225</v>
      </c>
      <c r="D159" s="116">
        <v>723</v>
      </c>
      <c r="E159" s="117">
        <v>31233.599999999999</v>
      </c>
    </row>
    <row r="160" spans="1:6">
      <c r="A160" s="6" t="s">
        <v>717</v>
      </c>
      <c r="B160" s="6" t="s">
        <v>607</v>
      </c>
      <c r="C160" s="6" t="s">
        <v>226</v>
      </c>
      <c r="D160" s="116">
        <v>402</v>
      </c>
      <c r="E160" s="117">
        <v>17366.400000000001</v>
      </c>
    </row>
    <row r="161" spans="1:6" ht="22.5">
      <c r="A161" s="6" t="s">
        <v>718</v>
      </c>
      <c r="B161" s="6" t="s">
        <v>562</v>
      </c>
      <c r="C161" s="6" t="s">
        <v>227</v>
      </c>
      <c r="D161" s="116">
        <v>393</v>
      </c>
      <c r="E161" s="117">
        <v>16977.599999999999</v>
      </c>
    </row>
    <row r="162" spans="1:6">
      <c r="A162" s="6" t="s">
        <v>719</v>
      </c>
      <c r="B162" s="6" t="s">
        <v>562</v>
      </c>
      <c r="C162" s="6" t="s">
        <v>228</v>
      </c>
      <c r="D162" s="116">
        <v>884</v>
      </c>
      <c r="E162" s="117">
        <v>38188.800000000003</v>
      </c>
    </row>
    <row r="163" spans="1:6" ht="22.5">
      <c r="A163" s="6" t="s">
        <v>720</v>
      </c>
      <c r="B163" s="6" t="s">
        <v>562</v>
      </c>
      <c r="C163" s="6" t="s">
        <v>229</v>
      </c>
      <c r="D163" s="116">
        <v>58</v>
      </c>
      <c r="E163" s="117">
        <v>2505.6</v>
      </c>
    </row>
    <row r="164" spans="1:6" ht="22.5">
      <c r="A164" s="6" t="s">
        <v>721</v>
      </c>
      <c r="B164" s="6" t="s">
        <v>562</v>
      </c>
      <c r="C164" s="6" t="s">
        <v>230</v>
      </c>
      <c r="D164" s="116">
        <v>428</v>
      </c>
      <c r="E164" s="117">
        <v>18489.599999999999</v>
      </c>
    </row>
    <row r="165" spans="1:6" ht="22.5">
      <c r="A165" s="6" t="s">
        <v>722</v>
      </c>
      <c r="B165" s="6" t="s">
        <v>562</v>
      </c>
      <c r="C165" s="6" t="s">
        <v>231</v>
      </c>
      <c r="D165" s="116">
        <v>1543</v>
      </c>
      <c r="E165" s="117">
        <v>66657.600000000006</v>
      </c>
      <c r="F165" s="147">
        <v>10000</v>
      </c>
    </row>
    <row r="166" spans="1:6" ht="22.5">
      <c r="A166" s="6" t="s">
        <v>723</v>
      </c>
      <c r="B166" s="6" t="s">
        <v>562</v>
      </c>
      <c r="C166" s="6" t="s">
        <v>232</v>
      </c>
      <c r="D166" s="116">
        <v>329</v>
      </c>
      <c r="E166" s="117">
        <v>14212.8</v>
      </c>
    </row>
    <row r="167" spans="1:6">
      <c r="A167" s="6" t="s">
        <v>724</v>
      </c>
      <c r="B167" s="6" t="s">
        <v>562</v>
      </c>
      <c r="C167" s="6" t="s">
        <v>233</v>
      </c>
      <c r="D167" s="116">
        <v>370</v>
      </c>
      <c r="E167" s="117">
        <v>15984</v>
      </c>
    </row>
    <row r="168" spans="1:6" ht="22.5">
      <c r="A168" s="6" t="s">
        <v>725</v>
      </c>
      <c r="B168" s="6" t="s">
        <v>562</v>
      </c>
      <c r="C168" s="6" t="s">
        <v>234</v>
      </c>
      <c r="D168" s="116">
        <v>275</v>
      </c>
      <c r="E168" s="117">
        <v>11880</v>
      </c>
    </row>
    <row r="169" spans="1:6" ht="22.5">
      <c r="A169" s="6" t="s">
        <v>726</v>
      </c>
      <c r="B169" s="6" t="s">
        <v>562</v>
      </c>
      <c r="C169" s="6" t="s">
        <v>235</v>
      </c>
      <c r="D169" s="116">
        <v>1210</v>
      </c>
      <c r="E169" s="117">
        <v>52272</v>
      </c>
      <c r="F169" s="147">
        <v>15000</v>
      </c>
    </row>
    <row r="170" spans="1:6" ht="22.5">
      <c r="A170" s="6" t="s">
        <v>727</v>
      </c>
      <c r="B170" s="6" t="s">
        <v>562</v>
      </c>
      <c r="C170" s="6" t="s">
        <v>236</v>
      </c>
      <c r="D170" s="116">
        <v>522</v>
      </c>
      <c r="E170" s="117">
        <v>22550.400000000001</v>
      </c>
    </row>
    <row r="171" spans="1:6" ht="22.5">
      <c r="A171" s="6" t="s">
        <v>728</v>
      </c>
      <c r="B171" s="6" t="s">
        <v>562</v>
      </c>
      <c r="C171" s="6" t="s">
        <v>237</v>
      </c>
      <c r="D171" s="116">
        <v>468</v>
      </c>
      <c r="E171" s="117">
        <v>20217.599999999999</v>
      </c>
    </row>
    <row r="172" spans="1:6" ht="22.5">
      <c r="A172" s="6" t="s">
        <v>729</v>
      </c>
      <c r="B172" s="6" t="s">
        <v>562</v>
      </c>
      <c r="C172" s="6" t="s">
        <v>238</v>
      </c>
      <c r="D172" s="116">
        <v>452</v>
      </c>
      <c r="E172" s="117">
        <v>19526.400000000001</v>
      </c>
    </row>
    <row r="173" spans="1:6" ht="22.5">
      <c r="A173" s="6" t="s">
        <v>730</v>
      </c>
      <c r="B173" s="6" t="s">
        <v>562</v>
      </c>
      <c r="C173" s="6" t="s">
        <v>239</v>
      </c>
      <c r="D173" s="116">
        <v>204</v>
      </c>
      <c r="E173" s="117">
        <v>8812.7999999999993</v>
      </c>
    </row>
    <row r="174" spans="1:6" ht="22.5">
      <c r="A174" s="6" t="s">
        <v>731</v>
      </c>
      <c r="B174" s="6" t="s">
        <v>562</v>
      </c>
      <c r="C174" s="6" t="s">
        <v>240</v>
      </c>
      <c r="D174" s="116">
        <v>1005</v>
      </c>
      <c r="E174" s="117">
        <v>43416</v>
      </c>
      <c r="F174" s="147">
        <v>4500</v>
      </c>
    </row>
    <row r="175" spans="1:6">
      <c r="A175" s="6" t="s">
        <v>732</v>
      </c>
      <c r="B175" s="6" t="s">
        <v>562</v>
      </c>
      <c r="C175" s="6" t="s">
        <v>241</v>
      </c>
      <c r="D175" s="116">
        <v>1321</v>
      </c>
      <c r="E175" s="117">
        <v>57067.199999999997</v>
      </c>
      <c r="F175" s="147">
        <v>10000</v>
      </c>
    </row>
    <row r="176" spans="1:6" ht="22.5">
      <c r="A176" s="6" t="s">
        <v>733</v>
      </c>
      <c r="B176" s="6" t="s">
        <v>562</v>
      </c>
      <c r="C176" s="6" t="s">
        <v>242</v>
      </c>
      <c r="D176" s="116">
        <v>269</v>
      </c>
      <c r="E176" s="117">
        <v>11620.8</v>
      </c>
    </row>
    <row r="177" spans="1:6" ht="22.5">
      <c r="A177" s="6" t="s">
        <v>734</v>
      </c>
      <c r="B177" s="6" t="s">
        <v>562</v>
      </c>
      <c r="C177" s="6" t="s">
        <v>243</v>
      </c>
      <c r="D177" s="116">
        <v>286</v>
      </c>
      <c r="E177" s="117">
        <v>12355.2</v>
      </c>
    </row>
    <row r="178" spans="1:6" ht="22.5">
      <c r="A178" s="6" t="s">
        <v>735</v>
      </c>
      <c r="B178" s="6" t="s">
        <v>562</v>
      </c>
      <c r="C178" s="6" t="s">
        <v>244</v>
      </c>
      <c r="D178" s="116">
        <v>551</v>
      </c>
      <c r="E178" s="117">
        <v>23803.200000000001</v>
      </c>
    </row>
    <row r="179" spans="1:6" ht="22.5">
      <c r="A179" s="6" t="s">
        <v>584</v>
      </c>
      <c r="B179" s="6" t="s">
        <v>736</v>
      </c>
      <c r="C179" s="6" t="s">
        <v>245</v>
      </c>
      <c r="D179" s="116">
        <v>58</v>
      </c>
      <c r="E179" s="117">
        <v>2505.6</v>
      </c>
    </row>
    <row r="180" spans="1:6" ht="22.5">
      <c r="A180" s="6" t="s">
        <v>737</v>
      </c>
      <c r="B180" s="6" t="s">
        <v>562</v>
      </c>
      <c r="C180" s="6" t="s">
        <v>246</v>
      </c>
      <c r="D180" s="116">
        <v>557</v>
      </c>
      <c r="E180" s="117">
        <v>24062.400000000001</v>
      </c>
      <c r="F180" s="147">
        <v>6000</v>
      </c>
    </row>
    <row r="181" spans="1:6">
      <c r="A181" s="6" t="s">
        <v>683</v>
      </c>
      <c r="B181" s="6" t="s">
        <v>607</v>
      </c>
      <c r="C181" s="6" t="s">
        <v>247</v>
      </c>
      <c r="D181" s="116">
        <v>71</v>
      </c>
      <c r="E181" s="117">
        <v>3067.2</v>
      </c>
    </row>
    <row r="182" spans="1:6">
      <c r="A182" s="6" t="s">
        <v>738</v>
      </c>
      <c r="B182" s="6" t="s">
        <v>562</v>
      </c>
      <c r="C182" s="6" t="s">
        <v>248</v>
      </c>
      <c r="D182" s="116">
        <v>532</v>
      </c>
      <c r="E182" s="117">
        <v>22982.400000000001</v>
      </c>
    </row>
    <row r="183" spans="1:6">
      <c r="A183" s="6" t="s">
        <v>739</v>
      </c>
      <c r="B183" s="6" t="s">
        <v>562</v>
      </c>
      <c r="C183" s="6" t="s">
        <v>249</v>
      </c>
      <c r="D183" s="116">
        <v>287</v>
      </c>
      <c r="E183" s="117">
        <v>12398.4</v>
      </c>
      <c r="F183" s="147">
        <v>2000</v>
      </c>
    </row>
    <row r="184" spans="1:6" ht="22.5">
      <c r="A184" s="6" t="s">
        <v>606</v>
      </c>
      <c r="B184" s="6" t="s">
        <v>740</v>
      </c>
      <c r="C184" s="6" t="s">
        <v>250</v>
      </c>
      <c r="D184" s="116">
        <v>91</v>
      </c>
      <c r="E184" s="117">
        <v>3931.2</v>
      </c>
    </row>
    <row r="185" spans="1:6">
      <c r="A185" s="6" t="s">
        <v>584</v>
      </c>
      <c r="B185" s="6" t="s">
        <v>741</v>
      </c>
      <c r="C185" s="6" t="s">
        <v>251</v>
      </c>
      <c r="D185" s="116">
        <v>90</v>
      </c>
      <c r="E185" s="117">
        <v>3888</v>
      </c>
    </row>
    <row r="186" spans="1:6" ht="22.5">
      <c r="A186" s="6" t="s">
        <v>606</v>
      </c>
      <c r="B186" s="6" t="s">
        <v>742</v>
      </c>
      <c r="C186" s="6" t="s">
        <v>252</v>
      </c>
      <c r="D186" s="116">
        <v>77</v>
      </c>
      <c r="E186" s="117">
        <v>3326.4</v>
      </c>
    </row>
    <row r="187" spans="1:6">
      <c r="A187" s="6" t="s">
        <v>575</v>
      </c>
      <c r="B187" s="6" t="s">
        <v>607</v>
      </c>
      <c r="C187" s="6" t="s">
        <v>253</v>
      </c>
      <c r="D187" s="116">
        <v>343</v>
      </c>
      <c r="E187" s="117">
        <v>14817.6</v>
      </c>
      <c r="F187" s="147">
        <v>3350</v>
      </c>
    </row>
    <row r="188" spans="1:6">
      <c r="A188" s="6" t="s">
        <v>644</v>
      </c>
      <c r="B188" s="6" t="s">
        <v>711</v>
      </c>
      <c r="C188" s="6" t="s">
        <v>254</v>
      </c>
      <c r="D188" s="116">
        <v>230</v>
      </c>
      <c r="E188" s="117">
        <v>9936</v>
      </c>
    </row>
    <row r="189" spans="1:6" ht="22.5">
      <c r="A189" s="6" t="s">
        <v>683</v>
      </c>
      <c r="B189" s="6" t="s">
        <v>586</v>
      </c>
      <c r="C189" s="6" t="s">
        <v>255</v>
      </c>
      <c r="D189" s="116">
        <v>1382</v>
      </c>
      <c r="E189" s="117">
        <v>59702.400000000001</v>
      </c>
      <c r="F189" s="147">
        <v>18000</v>
      </c>
    </row>
    <row r="190" spans="1:6" ht="22.5">
      <c r="A190" s="6" t="s">
        <v>709</v>
      </c>
      <c r="B190" s="6" t="s">
        <v>607</v>
      </c>
      <c r="C190" s="6" t="s">
        <v>256</v>
      </c>
      <c r="D190" s="116">
        <v>262</v>
      </c>
      <c r="E190" s="117">
        <v>11318.4</v>
      </c>
    </row>
    <row r="191" spans="1:6">
      <c r="A191" s="6" t="s">
        <v>644</v>
      </c>
      <c r="B191" s="6" t="s">
        <v>743</v>
      </c>
      <c r="C191" s="6" t="s">
        <v>257</v>
      </c>
      <c r="D191" s="116">
        <v>322</v>
      </c>
      <c r="E191" s="117">
        <v>13910.4</v>
      </c>
      <c r="F191" s="147">
        <v>6500</v>
      </c>
    </row>
    <row r="192" spans="1:6" ht="22.5">
      <c r="A192" s="6" t="s">
        <v>744</v>
      </c>
      <c r="B192" s="6" t="s">
        <v>562</v>
      </c>
      <c r="C192" s="6" t="s">
        <v>258</v>
      </c>
      <c r="D192" s="116">
        <v>1156</v>
      </c>
      <c r="E192" s="117">
        <v>49939.199999999997</v>
      </c>
      <c r="F192" s="147">
        <v>2000</v>
      </c>
    </row>
    <row r="193" spans="1:6" ht="22.5">
      <c r="A193" s="6" t="s">
        <v>745</v>
      </c>
      <c r="B193" s="6" t="s">
        <v>562</v>
      </c>
      <c r="C193" s="6" t="s">
        <v>259</v>
      </c>
      <c r="D193" s="116">
        <v>316</v>
      </c>
      <c r="E193" s="117">
        <v>13651.2</v>
      </c>
      <c r="F193" s="147">
        <v>4000</v>
      </c>
    </row>
    <row r="194" spans="1:6" ht="22.5">
      <c r="A194" s="6" t="s">
        <v>746</v>
      </c>
      <c r="B194" s="6" t="s">
        <v>562</v>
      </c>
      <c r="C194" s="6" t="s">
        <v>260</v>
      </c>
      <c r="D194" s="116">
        <v>389</v>
      </c>
      <c r="E194" s="117">
        <v>16804.8</v>
      </c>
    </row>
    <row r="195" spans="1:6">
      <c r="A195" s="6" t="s">
        <v>613</v>
      </c>
      <c r="B195" s="6" t="s">
        <v>747</v>
      </c>
      <c r="C195" s="6" t="s">
        <v>261</v>
      </c>
      <c r="D195" s="116">
        <v>130</v>
      </c>
      <c r="E195" s="117">
        <v>5616</v>
      </c>
    </row>
    <row r="196" spans="1:6" ht="22.5">
      <c r="A196" s="6" t="s">
        <v>748</v>
      </c>
      <c r="B196" s="6" t="s">
        <v>562</v>
      </c>
      <c r="C196" s="6" t="s">
        <v>262</v>
      </c>
      <c r="D196" s="116">
        <v>999</v>
      </c>
      <c r="E196" s="117">
        <v>43156.800000000003</v>
      </c>
    </row>
    <row r="197" spans="1:6" ht="22.5">
      <c r="A197" s="6" t="s">
        <v>749</v>
      </c>
      <c r="B197" s="6" t="s">
        <v>562</v>
      </c>
      <c r="C197" s="6" t="s">
        <v>263</v>
      </c>
      <c r="D197" s="116">
        <v>637</v>
      </c>
      <c r="E197" s="117">
        <v>27518.400000000001</v>
      </c>
    </row>
    <row r="198" spans="1:6" ht="22.5">
      <c r="A198" s="6" t="s">
        <v>750</v>
      </c>
      <c r="B198" s="6" t="s">
        <v>562</v>
      </c>
      <c r="C198" s="6" t="s">
        <v>264</v>
      </c>
      <c r="D198" s="116">
        <v>1017</v>
      </c>
      <c r="E198" s="117">
        <v>43934.400000000001</v>
      </c>
      <c r="F198" s="147">
        <v>15000</v>
      </c>
    </row>
    <row r="199" spans="1:6" ht="22.5">
      <c r="A199" s="6" t="s">
        <v>751</v>
      </c>
      <c r="B199" s="6" t="s">
        <v>562</v>
      </c>
      <c r="C199" s="6" t="s">
        <v>265</v>
      </c>
      <c r="D199" s="116">
        <v>1997</v>
      </c>
      <c r="E199" s="117">
        <v>86270.399999999994</v>
      </c>
    </row>
    <row r="200" spans="1:6" ht="22.5">
      <c r="A200" s="6" t="s">
        <v>752</v>
      </c>
      <c r="B200" s="6" t="s">
        <v>562</v>
      </c>
      <c r="C200" s="6" t="s">
        <v>266</v>
      </c>
      <c r="D200" s="116">
        <v>695</v>
      </c>
      <c r="E200" s="117">
        <v>30024</v>
      </c>
    </row>
    <row r="201" spans="1:6">
      <c r="A201" s="6" t="s">
        <v>753</v>
      </c>
      <c r="B201" s="6" t="s">
        <v>754</v>
      </c>
      <c r="C201" s="6" t="s">
        <v>267</v>
      </c>
      <c r="D201" s="116">
        <v>32</v>
      </c>
      <c r="E201" s="117">
        <v>1382.4</v>
      </c>
    </row>
    <row r="202" spans="1:6" ht="22.5">
      <c r="A202" s="6" t="s">
        <v>755</v>
      </c>
      <c r="B202" s="6" t="s">
        <v>562</v>
      </c>
      <c r="C202" s="6" t="s">
        <v>268</v>
      </c>
      <c r="D202" s="116">
        <v>6716</v>
      </c>
      <c r="E202" s="117">
        <v>290131.20000000001</v>
      </c>
    </row>
    <row r="203" spans="1:6" ht="22.5">
      <c r="A203" s="6" t="s">
        <v>756</v>
      </c>
      <c r="B203" s="6" t="s">
        <v>562</v>
      </c>
      <c r="C203" s="6" t="s">
        <v>269</v>
      </c>
      <c r="D203" s="116">
        <v>906</v>
      </c>
      <c r="E203" s="117">
        <v>39139.199999999997</v>
      </c>
      <c r="F203" s="147">
        <v>8000</v>
      </c>
    </row>
    <row r="204" spans="1:6">
      <c r="A204" s="6" t="s">
        <v>757</v>
      </c>
      <c r="B204" s="6" t="s">
        <v>758</v>
      </c>
      <c r="C204" s="6" t="s">
        <v>270</v>
      </c>
      <c r="D204" s="116">
        <v>91</v>
      </c>
      <c r="E204" s="117">
        <v>3931.2</v>
      </c>
    </row>
    <row r="205" spans="1:6">
      <c r="A205" s="6" t="s">
        <v>646</v>
      </c>
      <c r="B205" s="6" t="s">
        <v>710</v>
      </c>
      <c r="C205" s="6" t="s">
        <v>271</v>
      </c>
      <c r="D205" s="116">
        <v>79</v>
      </c>
      <c r="E205" s="117">
        <v>3412.8</v>
      </c>
    </row>
    <row r="206" spans="1:6" ht="22.5">
      <c r="A206" s="6" t="s">
        <v>759</v>
      </c>
      <c r="B206" s="6" t="s">
        <v>562</v>
      </c>
      <c r="C206" s="6" t="s">
        <v>272</v>
      </c>
      <c r="D206" s="116">
        <v>480</v>
      </c>
      <c r="E206" s="117">
        <v>20736</v>
      </c>
    </row>
    <row r="207" spans="1:6">
      <c r="A207" s="6" t="s">
        <v>760</v>
      </c>
      <c r="B207" s="6" t="s">
        <v>761</v>
      </c>
      <c r="C207" s="6" t="s">
        <v>273</v>
      </c>
      <c r="D207" s="116">
        <v>64</v>
      </c>
      <c r="E207" s="117">
        <v>2764.8</v>
      </c>
    </row>
    <row r="208" spans="1:6" ht="22.5">
      <c r="A208" s="6" t="s">
        <v>762</v>
      </c>
      <c r="B208" s="6" t="s">
        <v>562</v>
      </c>
      <c r="C208" s="6" t="s">
        <v>274</v>
      </c>
      <c r="D208" s="116">
        <v>225</v>
      </c>
      <c r="E208" s="117">
        <v>9720</v>
      </c>
    </row>
    <row r="209" spans="1:6" ht="22.5">
      <c r="A209" s="6" t="s">
        <v>763</v>
      </c>
      <c r="B209" s="6" t="s">
        <v>562</v>
      </c>
      <c r="C209" s="6" t="s">
        <v>275</v>
      </c>
      <c r="D209" s="116">
        <v>814</v>
      </c>
      <c r="E209" s="117">
        <v>35164.800000000003</v>
      </c>
      <c r="F209" s="147">
        <v>10000</v>
      </c>
    </row>
    <row r="210" spans="1:6">
      <c r="A210" s="6" t="s">
        <v>764</v>
      </c>
      <c r="B210" s="6" t="s">
        <v>562</v>
      </c>
      <c r="C210" s="6" t="s">
        <v>276</v>
      </c>
      <c r="D210" s="116">
        <v>679</v>
      </c>
      <c r="E210" s="117">
        <v>29332.799999999999</v>
      </c>
      <c r="F210" s="147">
        <v>10000</v>
      </c>
    </row>
    <row r="211" spans="1:6">
      <c r="A211" s="6" t="s">
        <v>573</v>
      </c>
      <c r="B211" s="6" t="s">
        <v>765</v>
      </c>
      <c r="C211" s="6" t="s">
        <v>277</v>
      </c>
      <c r="D211" s="116">
        <v>244</v>
      </c>
      <c r="E211" s="117">
        <v>10540.8</v>
      </c>
      <c r="F211" s="147">
        <v>10000</v>
      </c>
    </row>
    <row r="212" spans="1:6" ht="22.5">
      <c r="A212" s="6" t="s">
        <v>766</v>
      </c>
      <c r="B212" s="6" t="s">
        <v>562</v>
      </c>
      <c r="C212" s="6" t="s">
        <v>278</v>
      </c>
      <c r="D212" s="116">
        <v>4105</v>
      </c>
      <c r="E212" s="117">
        <v>177336</v>
      </c>
      <c r="F212" s="147">
        <v>120000</v>
      </c>
    </row>
    <row r="213" spans="1:6">
      <c r="A213" s="6" t="s">
        <v>767</v>
      </c>
      <c r="B213" s="6" t="s">
        <v>768</v>
      </c>
      <c r="C213" s="6" t="s">
        <v>279</v>
      </c>
      <c r="D213" s="116">
        <v>17</v>
      </c>
      <c r="E213" s="117">
        <v>734.4</v>
      </c>
    </row>
    <row r="214" spans="1:6">
      <c r="A214" s="6" t="s">
        <v>769</v>
      </c>
      <c r="B214" s="6" t="s">
        <v>562</v>
      </c>
      <c r="C214" s="6" t="s">
        <v>280</v>
      </c>
      <c r="D214" s="116">
        <v>1375</v>
      </c>
      <c r="E214" s="117">
        <v>59400</v>
      </c>
    </row>
    <row r="215" spans="1:6">
      <c r="A215" s="6" t="s">
        <v>770</v>
      </c>
      <c r="B215" s="6" t="s">
        <v>562</v>
      </c>
      <c r="C215" s="6" t="s">
        <v>281</v>
      </c>
      <c r="D215" s="116">
        <v>273</v>
      </c>
      <c r="E215" s="117">
        <v>11793.6</v>
      </c>
    </row>
    <row r="216" spans="1:6" ht="22.5">
      <c r="A216" s="6" t="s">
        <v>771</v>
      </c>
      <c r="B216" s="6" t="s">
        <v>562</v>
      </c>
      <c r="C216" s="6" t="s">
        <v>282</v>
      </c>
      <c r="D216" s="116">
        <v>379</v>
      </c>
      <c r="E216" s="117">
        <v>16372.8</v>
      </c>
      <c r="F216" s="147">
        <v>4000</v>
      </c>
    </row>
    <row r="217" spans="1:6" ht="22.5">
      <c r="A217" s="6" t="s">
        <v>772</v>
      </c>
      <c r="B217" s="6" t="s">
        <v>562</v>
      </c>
      <c r="C217" s="6" t="s">
        <v>283</v>
      </c>
      <c r="D217" s="116">
        <v>1357</v>
      </c>
      <c r="E217" s="117">
        <v>58622.400000000001</v>
      </c>
      <c r="F217" s="147">
        <v>10000</v>
      </c>
    </row>
    <row r="218" spans="1:6" ht="22.5">
      <c r="A218" s="6" t="s">
        <v>625</v>
      </c>
      <c r="B218" s="6" t="s">
        <v>660</v>
      </c>
      <c r="C218" s="6" t="s">
        <v>284</v>
      </c>
      <c r="D218" s="116">
        <v>883</v>
      </c>
      <c r="E218" s="117">
        <v>38145.599999999999</v>
      </c>
      <c r="F218" s="147">
        <v>4000</v>
      </c>
    </row>
    <row r="219" spans="1:6" ht="22.5">
      <c r="A219" s="6" t="s">
        <v>773</v>
      </c>
      <c r="B219" s="6" t="s">
        <v>562</v>
      </c>
      <c r="C219" s="6" t="s">
        <v>285</v>
      </c>
      <c r="D219" s="116">
        <v>604</v>
      </c>
      <c r="E219" s="117">
        <v>26092.799999999999</v>
      </c>
    </row>
    <row r="220" spans="1:6">
      <c r="A220" s="6" t="s">
        <v>774</v>
      </c>
      <c r="B220" s="6" t="s">
        <v>562</v>
      </c>
      <c r="C220" s="6" t="s">
        <v>286</v>
      </c>
      <c r="D220" s="116">
        <v>318</v>
      </c>
      <c r="E220" s="117">
        <v>13737.6</v>
      </c>
    </row>
    <row r="221" spans="1:6" ht="22.5">
      <c r="A221" s="6" t="s">
        <v>775</v>
      </c>
      <c r="B221" s="6" t="s">
        <v>562</v>
      </c>
      <c r="C221" s="6" t="s">
        <v>287</v>
      </c>
      <c r="D221" s="116">
        <v>254</v>
      </c>
      <c r="E221" s="117">
        <v>10972.8</v>
      </c>
    </row>
    <row r="222" spans="1:6" ht="22.5">
      <c r="A222" s="6" t="s">
        <v>776</v>
      </c>
      <c r="B222" s="6" t="s">
        <v>562</v>
      </c>
      <c r="C222" s="6" t="s">
        <v>288</v>
      </c>
      <c r="D222" s="116">
        <v>483</v>
      </c>
      <c r="E222" s="117">
        <v>20865.599999999999</v>
      </c>
    </row>
    <row r="223" spans="1:6" ht="22.5">
      <c r="A223" s="6" t="s">
        <v>717</v>
      </c>
      <c r="B223" s="6" t="s">
        <v>562</v>
      </c>
      <c r="C223" s="6" t="s">
        <v>289</v>
      </c>
      <c r="D223" s="116">
        <v>1383</v>
      </c>
      <c r="E223" s="117">
        <v>59745.599999999999</v>
      </c>
      <c r="F223" s="147">
        <v>20000</v>
      </c>
    </row>
    <row r="224" spans="1:6">
      <c r="A224" s="6" t="s">
        <v>777</v>
      </c>
      <c r="B224" s="6" t="s">
        <v>562</v>
      </c>
      <c r="C224" s="6" t="s">
        <v>290</v>
      </c>
      <c r="D224" s="116">
        <v>404</v>
      </c>
      <c r="E224" s="117">
        <v>17452.8</v>
      </c>
    </row>
    <row r="225" spans="1:6" ht="22.5">
      <c r="A225" s="6" t="s">
        <v>778</v>
      </c>
      <c r="B225" s="6" t="s">
        <v>562</v>
      </c>
      <c r="C225" s="6" t="s">
        <v>291</v>
      </c>
      <c r="D225" s="116">
        <v>2232</v>
      </c>
      <c r="E225" s="117">
        <v>96422.399999999994</v>
      </c>
      <c r="F225" s="147">
        <v>55000</v>
      </c>
    </row>
    <row r="226" spans="1:6" ht="22.5">
      <c r="A226" s="6" t="s">
        <v>779</v>
      </c>
      <c r="B226" s="6" t="s">
        <v>562</v>
      </c>
      <c r="C226" s="6" t="s">
        <v>292</v>
      </c>
      <c r="D226" s="116">
        <v>4392</v>
      </c>
      <c r="E226" s="117">
        <v>189734.39999999999</v>
      </c>
      <c r="F226" s="147">
        <v>70000</v>
      </c>
    </row>
    <row r="227" spans="1:6">
      <c r="A227" s="6" t="s">
        <v>780</v>
      </c>
      <c r="B227" s="6" t="s">
        <v>562</v>
      </c>
      <c r="C227" s="6" t="s">
        <v>293</v>
      </c>
      <c r="D227" s="116">
        <v>445</v>
      </c>
      <c r="E227" s="117">
        <v>19224</v>
      </c>
    </row>
    <row r="228" spans="1:6" ht="22.5">
      <c r="A228" s="6" t="s">
        <v>781</v>
      </c>
      <c r="B228" s="6" t="s">
        <v>562</v>
      </c>
      <c r="C228" s="6" t="s">
        <v>294</v>
      </c>
      <c r="D228" s="116">
        <v>518</v>
      </c>
      <c r="E228" s="117">
        <v>22377.599999999999</v>
      </c>
    </row>
    <row r="229" spans="1:6" ht="22.5">
      <c r="A229" s="6" t="s">
        <v>782</v>
      </c>
      <c r="B229" s="6" t="s">
        <v>562</v>
      </c>
      <c r="C229" s="6" t="s">
        <v>295</v>
      </c>
      <c r="D229" s="116">
        <v>415</v>
      </c>
      <c r="E229" s="117">
        <v>17928</v>
      </c>
      <c r="F229" s="147">
        <v>6000</v>
      </c>
    </row>
    <row r="230" spans="1:6" ht="22.5">
      <c r="A230" s="6" t="s">
        <v>783</v>
      </c>
      <c r="B230" s="6" t="s">
        <v>562</v>
      </c>
      <c r="C230" s="6" t="s">
        <v>296</v>
      </c>
      <c r="D230" s="116">
        <v>663</v>
      </c>
      <c r="E230" s="117">
        <v>28641.599999999999</v>
      </c>
    </row>
    <row r="231" spans="1:6">
      <c r="A231" s="6" t="s">
        <v>579</v>
      </c>
      <c r="B231" s="6" t="s">
        <v>610</v>
      </c>
      <c r="C231" s="6" t="s">
        <v>297</v>
      </c>
      <c r="D231" s="116">
        <v>23</v>
      </c>
      <c r="E231" s="117">
        <v>993.6</v>
      </c>
    </row>
    <row r="232" spans="1:6">
      <c r="A232" s="6" t="s">
        <v>784</v>
      </c>
      <c r="B232" s="6" t="s">
        <v>785</v>
      </c>
      <c r="C232" s="6" t="s">
        <v>298</v>
      </c>
      <c r="D232" s="116">
        <v>104</v>
      </c>
      <c r="E232" s="117">
        <v>4492.8</v>
      </c>
    </row>
    <row r="233" spans="1:6" ht="22.5">
      <c r="A233" s="6" t="s">
        <v>786</v>
      </c>
      <c r="B233" s="6" t="s">
        <v>562</v>
      </c>
      <c r="C233" s="6" t="s">
        <v>299</v>
      </c>
      <c r="D233" s="116">
        <v>77</v>
      </c>
      <c r="E233" s="117">
        <v>3326.4</v>
      </c>
    </row>
    <row r="234" spans="1:6" ht="22.5">
      <c r="A234" s="6" t="s">
        <v>787</v>
      </c>
      <c r="B234" s="6" t="s">
        <v>562</v>
      </c>
      <c r="C234" s="6" t="s">
        <v>300</v>
      </c>
      <c r="D234" s="116">
        <v>381</v>
      </c>
      <c r="E234" s="117">
        <v>16459.2</v>
      </c>
    </row>
    <row r="235" spans="1:6">
      <c r="A235" s="6" t="s">
        <v>788</v>
      </c>
      <c r="B235" s="6" t="s">
        <v>562</v>
      </c>
      <c r="C235" s="6" t="s">
        <v>301</v>
      </c>
      <c r="D235" s="116">
        <v>538</v>
      </c>
      <c r="E235" s="117">
        <v>23241.599999999999</v>
      </c>
    </row>
    <row r="236" spans="1:6" ht="22.5">
      <c r="A236" s="6" t="s">
        <v>789</v>
      </c>
      <c r="B236" s="6" t="s">
        <v>562</v>
      </c>
      <c r="C236" s="6" t="s">
        <v>302</v>
      </c>
      <c r="D236" s="116">
        <v>536</v>
      </c>
      <c r="E236" s="117">
        <v>23155.200000000001</v>
      </c>
    </row>
    <row r="237" spans="1:6" ht="22.5">
      <c r="A237" s="6" t="s">
        <v>790</v>
      </c>
      <c r="B237" s="6" t="s">
        <v>562</v>
      </c>
      <c r="C237" s="6" t="s">
        <v>303</v>
      </c>
      <c r="D237" s="116">
        <v>382</v>
      </c>
      <c r="E237" s="117">
        <v>16502.400000000001</v>
      </c>
    </row>
    <row r="238" spans="1:6" ht="22.5">
      <c r="A238" s="6" t="s">
        <v>791</v>
      </c>
      <c r="B238" s="6" t="s">
        <v>562</v>
      </c>
      <c r="C238" s="6" t="s">
        <v>304</v>
      </c>
      <c r="D238" s="116">
        <v>1171</v>
      </c>
      <c r="E238" s="117">
        <v>50587.199999999997</v>
      </c>
    </row>
    <row r="239" spans="1:6" ht="22.5">
      <c r="A239" s="6" t="s">
        <v>792</v>
      </c>
      <c r="B239" s="6" t="s">
        <v>562</v>
      </c>
      <c r="C239" s="6" t="s">
        <v>305</v>
      </c>
      <c r="D239" s="116">
        <v>620</v>
      </c>
      <c r="E239" s="117">
        <v>26784</v>
      </c>
    </row>
    <row r="240" spans="1:6" ht="22.5">
      <c r="A240" s="6" t="s">
        <v>793</v>
      </c>
      <c r="B240" s="6" t="s">
        <v>562</v>
      </c>
      <c r="C240" s="6" t="s">
        <v>306</v>
      </c>
      <c r="D240" s="116">
        <v>350</v>
      </c>
      <c r="E240" s="117">
        <v>15120</v>
      </c>
    </row>
    <row r="241" spans="1:6" ht="22.5">
      <c r="A241" s="6" t="s">
        <v>794</v>
      </c>
      <c r="B241" s="6" t="s">
        <v>562</v>
      </c>
      <c r="C241" s="6" t="s">
        <v>307</v>
      </c>
      <c r="D241" s="116">
        <v>1214</v>
      </c>
      <c r="E241" s="117">
        <v>52444.800000000003</v>
      </c>
      <c r="F241" s="147">
        <v>25000</v>
      </c>
    </row>
    <row r="242" spans="1:6">
      <c r="A242" s="6" t="s">
        <v>573</v>
      </c>
      <c r="B242" s="6" t="s">
        <v>647</v>
      </c>
      <c r="C242" s="6" t="s">
        <v>308</v>
      </c>
      <c r="D242" s="116">
        <v>21</v>
      </c>
      <c r="E242" s="117">
        <v>907.2</v>
      </c>
    </row>
    <row r="243" spans="1:6" ht="22.5">
      <c r="A243" s="6" t="s">
        <v>600</v>
      </c>
      <c r="B243" s="6" t="s">
        <v>607</v>
      </c>
      <c r="C243" s="6" t="s">
        <v>309</v>
      </c>
      <c r="D243" s="116">
        <v>206</v>
      </c>
      <c r="E243" s="117">
        <v>8899.2000000000007</v>
      </c>
    </row>
    <row r="244" spans="1:6">
      <c r="A244" s="6" t="s">
        <v>795</v>
      </c>
      <c r="B244" s="6" t="s">
        <v>607</v>
      </c>
      <c r="C244" s="6" t="s">
        <v>310</v>
      </c>
      <c r="D244" s="116">
        <v>144</v>
      </c>
      <c r="E244" s="117">
        <v>6220.8</v>
      </c>
    </row>
    <row r="245" spans="1:6" ht="22.5">
      <c r="A245" s="6" t="s">
        <v>795</v>
      </c>
      <c r="B245" s="6" t="s">
        <v>562</v>
      </c>
      <c r="C245" s="6" t="s">
        <v>311</v>
      </c>
      <c r="D245" s="116">
        <v>3923</v>
      </c>
      <c r="E245" s="117">
        <v>169473.6</v>
      </c>
      <c r="F245" s="147">
        <v>74000</v>
      </c>
    </row>
    <row r="246" spans="1:6" ht="22.5">
      <c r="A246" s="6" t="s">
        <v>796</v>
      </c>
      <c r="B246" s="6" t="s">
        <v>562</v>
      </c>
      <c r="C246" s="6" t="s">
        <v>312</v>
      </c>
      <c r="D246" s="116">
        <v>413</v>
      </c>
      <c r="E246" s="117">
        <v>17841.599999999999</v>
      </c>
    </row>
    <row r="247" spans="1:6" ht="22.5">
      <c r="A247" s="6" t="s">
        <v>712</v>
      </c>
      <c r="B247" s="6" t="s">
        <v>562</v>
      </c>
      <c r="C247" s="6" t="s">
        <v>313</v>
      </c>
      <c r="D247" s="116">
        <v>2379</v>
      </c>
      <c r="E247" s="117">
        <v>102772.8</v>
      </c>
      <c r="F247" s="147">
        <v>60000</v>
      </c>
    </row>
    <row r="248" spans="1:6" ht="22.5">
      <c r="A248" s="6" t="s">
        <v>797</v>
      </c>
      <c r="B248" s="6" t="s">
        <v>562</v>
      </c>
      <c r="C248" s="6" t="s">
        <v>314</v>
      </c>
      <c r="D248" s="116">
        <v>634</v>
      </c>
      <c r="E248" s="117">
        <v>27388.799999999999</v>
      </c>
    </row>
    <row r="249" spans="1:6" ht="22.5">
      <c r="A249" s="6" t="s">
        <v>798</v>
      </c>
      <c r="B249" s="6" t="s">
        <v>562</v>
      </c>
      <c r="C249" s="6" t="s">
        <v>315</v>
      </c>
      <c r="D249" s="116">
        <v>222</v>
      </c>
      <c r="E249" s="117">
        <v>9590.4</v>
      </c>
      <c r="F249" s="147">
        <v>3500</v>
      </c>
    </row>
    <row r="250" spans="1:6">
      <c r="A250" s="6" t="s">
        <v>750</v>
      </c>
      <c r="B250" s="6" t="s">
        <v>607</v>
      </c>
      <c r="C250" s="6" t="s">
        <v>316</v>
      </c>
      <c r="D250" s="116">
        <v>22</v>
      </c>
      <c r="E250" s="117">
        <v>950.4</v>
      </c>
    </row>
    <row r="251" spans="1:6">
      <c r="A251" s="6" t="s">
        <v>643</v>
      </c>
      <c r="B251" s="6" t="s">
        <v>799</v>
      </c>
      <c r="C251" s="6" t="s">
        <v>316</v>
      </c>
      <c r="D251" s="116">
        <v>7</v>
      </c>
      <c r="E251" s="117">
        <v>302.39999999999998</v>
      </c>
    </row>
    <row r="252" spans="1:6" ht="22.5">
      <c r="A252" s="6" t="s">
        <v>800</v>
      </c>
      <c r="B252" s="6" t="s">
        <v>562</v>
      </c>
      <c r="C252" s="6" t="s">
        <v>317</v>
      </c>
      <c r="D252" s="116">
        <v>664</v>
      </c>
      <c r="E252" s="117">
        <v>28684.799999999999</v>
      </c>
    </row>
    <row r="253" spans="1:6">
      <c r="A253" s="6" t="s">
        <v>801</v>
      </c>
      <c r="B253" s="6" t="s">
        <v>562</v>
      </c>
      <c r="C253" s="6" t="s">
        <v>318</v>
      </c>
      <c r="D253" s="116">
        <v>359</v>
      </c>
      <c r="E253" s="117">
        <v>15508.8</v>
      </c>
    </row>
    <row r="254" spans="1:6" ht="22.5">
      <c r="A254" s="6" t="s">
        <v>757</v>
      </c>
      <c r="B254" s="6" t="s">
        <v>562</v>
      </c>
      <c r="C254" s="6" t="s">
        <v>319</v>
      </c>
      <c r="D254" s="116">
        <v>943</v>
      </c>
      <c r="E254" s="117">
        <v>40737.599999999999</v>
      </c>
    </row>
    <row r="255" spans="1:6" ht="22.5">
      <c r="A255" s="6" t="s">
        <v>802</v>
      </c>
      <c r="B255" s="6" t="s">
        <v>562</v>
      </c>
      <c r="C255" s="6" t="s">
        <v>320</v>
      </c>
      <c r="D255" s="116">
        <v>591</v>
      </c>
      <c r="E255" s="117">
        <v>25531.200000000001</v>
      </c>
    </row>
    <row r="256" spans="1:6" ht="22.5">
      <c r="A256" s="6" t="s">
        <v>803</v>
      </c>
      <c r="B256" s="6" t="s">
        <v>562</v>
      </c>
      <c r="C256" s="6" t="s">
        <v>321</v>
      </c>
      <c r="D256" s="116">
        <v>1101</v>
      </c>
      <c r="E256" s="117">
        <v>47563.199999999997</v>
      </c>
    </row>
    <row r="257" spans="1:6" ht="22.5">
      <c r="A257" s="6" t="s">
        <v>804</v>
      </c>
      <c r="B257" s="6" t="s">
        <v>562</v>
      </c>
      <c r="C257" s="6" t="s">
        <v>322</v>
      </c>
      <c r="D257" s="116">
        <v>411</v>
      </c>
      <c r="E257" s="117">
        <v>17755.2</v>
      </c>
    </row>
    <row r="258" spans="1:6" ht="22.5">
      <c r="A258" s="6" t="s">
        <v>805</v>
      </c>
      <c r="B258" s="6" t="s">
        <v>562</v>
      </c>
      <c r="C258" s="6" t="s">
        <v>323</v>
      </c>
      <c r="D258" s="116">
        <v>825</v>
      </c>
      <c r="E258" s="117">
        <v>35640</v>
      </c>
      <c r="F258" s="147">
        <v>4000</v>
      </c>
    </row>
    <row r="259" spans="1:6" ht="22.5">
      <c r="A259" s="6" t="s">
        <v>806</v>
      </c>
      <c r="B259" s="6" t="s">
        <v>562</v>
      </c>
      <c r="C259" s="6" t="s">
        <v>324</v>
      </c>
      <c r="D259" s="116">
        <v>331</v>
      </c>
      <c r="E259" s="117">
        <v>14299.2</v>
      </c>
    </row>
    <row r="260" spans="1:6" ht="22.5">
      <c r="A260" s="6" t="s">
        <v>807</v>
      </c>
      <c r="B260" s="6" t="s">
        <v>562</v>
      </c>
      <c r="C260" s="6" t="s">
        <v>325</v>
      </c>
      <c r="D260" s="116">
        <v>197</v>
      </c>
      <c r="E260" s="117">
        <v>8510.4</v>
      </c>
    </row>
    <row r="261" spans="1:6" ht="22.5">
      <c r="A261" s="6" t="s">
        <v>808</v>
      </c>
      <c r="B261" s="6" t="s">
        <v>562</v>
      </c>
      <c r="C261" s="6" t="s">
        <v>326</v>
      </c>
      <c r="D261" s="116">
        <v>97</v>
      </c>
      <c r="E261" s="117">
        <v>4190.3999999999996</v>
      </c>
    </row>
    <row r="262" spans="1:6">
      <c r="A262" s="6" t="s">
        <v>707</v>
      </c>
      <c r="B262" s="6" t="s">
        <v>607</v>
      </c>
      <c r="C262" s="6" t="s">
        <v>327</v>
      </c>
      <c r="D262" s="116">
        <v>4</v>
      </c>
      <c r="E262" s="117">
        <v>172.8</v>
      </c>
    </row>
    <row r="263" spans="1:6" ht="22.5">
      <c r="A263" s="6" t="s">
        <v>809</v>
      </c>
      <c r="B263" s="6" t="s">
        <v>562</v>
      </c>
      <c r="C263" s="6" t="s">
        <v>328</v>
      </c>
      <c r="D263" s="116">
        <v>157</v>
      </c>
      <c r="E263" s="117">
        <v>6782.4</v>
      </c>
    </row>
    <row r="264" spans="1:6" ht="22.5">
      <c r="A264" s="6" t="s">
        <v>810</v>
      </c>
      <c r="B264" s="6" t="s">
        <v>562</v>
      </c>
      <c r="C264" s="6" t="s">
        <v>329</v>
      </c>
      <c r="D264" s="116">
        <v>535</v>
      </c>
      <c r="E264" s="117">
        <v>23112</v>
      </c>
    </row>
    <row r="265" spans="1:6" ht="22.5">
      <c r="A265" s="6" t="s">
        <v>811</v>
      </c>
      <c r="B265" s="6" t="s">
        <v>562</v>
      </c>
      <c r="C265" s="6" t="s">
        <v>330</v>
      </c>
      <c r="D265" s="116">
        <v>1718</v>
      </c>
      <c r="E265" s="117">
        <v>74217.600000000006</v>
      </c>
      <c r="F265" s="147">
        <v>25000</v>
      </c>
    </row>
    <row r="266" spans="1:6" ht="22.5">
      <c r="A266" s="6" t="s">
        <v>812</v>
      </c>
      <c r="B266" s="6" t="s">
        <v>562</v>
      </c>
      <c r="C266" s="6" t="s">
        <v>331</v>
      </c>
      <c r="D266" s="116">
        <v>947</v>
      </c>
      <c r="E266" s="117">
        <v>40910.400000000001</v>
      </c>
      <c r="F266" s="147">
        <v>15000</v>
      </c>
    </row>
    <row r="267" spans="1:6">
      <c r="A267" s="6" t="s">
        <v>813</v>
      </c>
      <c r="B267" s="6" t="s">
        <v>562</v>
      </c>
      <c r="C267" s="6" t="s">
        <v>332</v>
      </c>
      <c r="D267" s="116">
        <v>289</v>
      </c>
      <c r="E267" s="117">
        <v>12484.8</v>
      </c>
      <c r="F267" s="147">
        <v>4000</v>
      </c>
    </row>
    <row r="268" spans="1:6" ht="22.5">
      <c r="A268" s="6" t="s">
        <v>814</v>
      </c>
      <c r="B268" s="6" t="s">
        <v>562</v>
      </c>
      <c r="C268" s="6" t="s">
        <v>333</v>
      </c>
      <c r="D268" s="116">
        <v>4036</v>
      </c>
      <c r="E268" s="117">
        <v>174355.20000000001</v>
      </c>
      <c r="F268" s="147">
        <v>20000</v>
      </c>
    </row>
    <row r="269" spans="1:6" ht="22.5">
      <c r="A269" s="6" t="s">
        <v>815</v>
      </c>
      <c r="B269" s="6" t="s">
        <v>562</v>
      </c>
      <c r="C269" s="6" t="s">
        <v>334</v>
      </c>
      <c r="D269" s="116">
        <v>510</v>
      </c>
      <c r="E269" s="117">
        <v>22032</v>
      </c>
      <c r="F269" s="147">
        <v>5000</v>
      </c>
    </row>
    <row r="270" spans="1:6" ht="22.5">
      <c r="A270" s="6" t="s">
        <v>816</v>
      </c>
      <c r="B270" s="6" t="s">
        <v>817</v>
      </c>
      <c r="C270" s="6" t="s">
        <v>335</v>
      </c>
      <c r="D270" s="116">
        <v>342</v>
      </c>
      <c r="E270" s="117">
        <v>14774.4</v>
      </c>
    </row>
    <row r="271" spans="1:6" ht="22.5">
      <c r="A271" s="6" t="s">
        <v>818</v>
      </c>
      <c r="B271" s="6" t="s">
        <v>562</v>
      </c>
      <c r="C271" s="6" t="s">
        <v>336</v>
      </c>
      <c r="D271" s="116">
        <v>1114</v>
      </c>
      <c r="E271" s="117">
        <v>48124.800000000003</v>
      </c>
      <c r="F271" s="147">
        <v>15000</v>
      </c>
    </row>
    <row r="272" spans="1:6" ht="22.5">
      <c r="A272" s="6" t="s">
        <v>819</v>
      </c>
      <c r="B272" s="6" t="s">
        <v>562</v>
      </c>
      <c r="C272" s="6" t="s">
        <v>337</v>
      </c>
      <c r="D272" s="116">
        <v>877</v>
      </c>
      <c r="E272" s="117">
        <v>37886.400000000001</v>
      </c>
    </row>
    <row r="273" spans="1:6" ht="22.5">
      <c r="A273" s="6" t="s">
        <v>820</v>
      </c>
      <c r="B273" s="6" t="s">
        <v>562</v>
      </c>
      <c r="C273" s="6" t="s">
        <v>338</v>
      </c>
      <c r="D273" s="116">
        <v>377</v>
      </c>
      <c r="E273" s="117">
        <v>16286.4</v>
      </c>
    </row>
    <row r="274" spans="1:6" ht="22.5">
      <c r="A274" s="6" t="s">
        <v>821</v>
      </c>
      <c r="B274" s="6" t="s">
        <v>562</v>
      </c>
      <c r="C274" s="6" t="s">
        <v>339</v>
      </c>
      <c r="D274" s="116">
        <v>411</v>
      </c>
      <c r="E274" s="117">
        <v>17755.2</v>
      </c>
    </row>
    <row r="275" spans="1:6" ht="22.5">
      <c r="A275" s="6" t="s">
        <v>712</v>
      </c>
      <c r="B275" s="6" t="s">
        <v>607</v>
      </c>
      <c r="C275" s="6" t="s">
        <v>340</v>
      </c>
      <c r="D275" s="116">
        <v>469</v>
      </c>
      <c r="E275" s="117">
        <v>20260.8</v>
      </c>
    </row>
    <row r="276" spans="1:6" ht="22.5">
      <c r="A276" s="6" t="s">
        <v>822</v>
      </c>
      <c r="B276" s="6" t="s">
        <v>562</v>
      </c>
      <c r="C276" s="6" t="s">
        <v>341</v>
      </c>
      <c r="D276" s="116">
        <v>2194</v>
      </c>
      <c r="E276" s="117">
        <v>94780.800000000003</v>
      </c>
      <c r="F276" s="147">
        <v>18000</v>
      </c>
    </row>
    <row r="277" spans="1:6">
      <c r="A277" s="6" t="s">
        <v>609</v>
      </c>
      <c r="B277" s="6" t="s">
        <v>823</v>
      </c>
      <c r="C277" s="6" t="s">
        <v>342</v>
      </c>
      <c r="D277" s="116">
        <v>5</v>
      </c>
      <c r="E277" s="117">
        <v>216</v>
      </c>
    </row>
    <row r="278" spans="1:6" ht="22.5">
      <c r="A278" s="6" t="s">
        <v>824</v>
      </c>
      <c r="B278" s="6" t="s">
        <v>562</v>
      </c>
      <c r="C278" s="6" t="s">
        <v>343</v>
      </c>
      <c r="D278" s="116">
        <v>622</v>
      </c>
      <c r="E278" s="117">
        <v>26870.400000000001</v>
      </c>
    </row>
    <row r="279" spans="1:6" ht="22.5">
      <c r="A279" s="6" t="s">
        <v>825</v>
      </c>
      <c r="B279" s="6" t="s">
        <v>562</v>
      </c>
      <c r="C279" s="6" t="s">
        <v>344</v>
      </c>
      <c r="D279" s="116">
        <v>533</v>
      </c>
      <c r="E279" s="117">
        <v>23025.599999999999</v>
      </c>
    </row>
    <row r="280" spans="1:6" ht="22.5">
      <c r="A280" s="6" t="s">
        <v>826</v>
      </c>
      <c r="B280" s="6" t="s">
        <v>562</v>
      </c>
      <c r="C280" s="6" t="s">
        <v>345</v>
      </c>
      <c r="D280" s="116">
        <v>679</v>
      </c>
      <c r="E280" s="117">
        <v>29332.799999999999</v>
      </c>
      <c r="F280" s="147">
        <v>5000</v>
      </c>
    </row>
    <row r="281" spans="1:6" ht="22.5">
      <c r="A281" s="6" t="s">
        <v>827</v>
      </c>
      <c r="B281" s="6" t="s">
        <v>562</v>
      </c>
      <c r="C281" s="6" t="s">
        <v>346</v>
      </c>
      <c r="D281" s="116">
        <v>709</v>
      </c>
      <c r="E281" s="117">
        <v>30628.799999999999</v>
      </c>
    </row>
    <row r="282" spans="1:6">
      <c r="A282" s="6" t="s">
        <v>712</v>
      </c>
      <c r="B282" s="6" t="s">
        <v>828</v>
      </c>
      <c r="C282" s="6" t="s">
        <v>347</v>
      </c>
      <c r="D282" s="116">
        <v>33</v>
      </c>
      <c r="E282" s="117">
        <v>1425.6</v>
      </c>
    </row>
    <row r="283" spans="1:6" ht="22.5">
      <c r="A283" s="6" t="s">
        <v>829</v>
      </c>
      <c r="B283" s="6" t="s">
        <v>562</v>
      </c>
      <c r="C283" s="6" t="s">
        <v>348</v>
      </c>
      <c r="D283" s="116">
        <v>386</v>
      </c>
      <c r="E283" s="117">
        <v>16675.2</v>
      </c>
    </row>
    <row r="284" spans="1:6" ht="22.5">
      <c r="A284" s="6" t="s">
        <v>830</v>
      </c>
      <c r="B284" s="6" t="s">
        <v>562</v>
      </c>
      <c r="C284" s="6" t="s">
        <v>349</v>
      </c>
      <c r="D284" s="116">
        <v>192</v>
      </c>
      <c r="E284" s="117">
        <v>8294.4</v>
      </c>
    </row>
    <row r="285" spans="1:6" ht="22.5">
      <c r="A285" s="6" t="s">
        <v>831</v>
      </c>
      <c r="B285" s="6" t="s">
        <v>562</v>
      </c>
      <c r="C285" s="6" t="s">
        <v>350</v>
      </c>
      <c r="D285" s="116">
        <v>545</v>
      </c>
      <c r="E285" s="117">
        <v>23544</v>
      </c>
      <c r="F285" s="147">
        <v>3000</v>
      </c>
    </row>
    <row r="286" spans="1:6" ht="22.5">
      <c r="A286" s="6" t="s">
        <v>832</v>
      </c>
      <c r="B286" s="6" t="s">
        <v>562</v>
      </c>
      <c r="C286" s="6" t="s">
        <v>351</v>
      </c>
      <c r="D286" s="116">
        <v>475</v>
      </c>
      <c r="E286" s="117">
        <v>20520</v>
      </c>
    </row>
    <row r="287" spans="1:6" ht="22.5">
      <c r="A287" s="6" t="s">
        <v>833</v>
      </c>
      <c r="B287" s="6" t="s">
        <v>562</v>
      </c>
      <c r="C287" s="6" t="s">
        <v>352</v>
      </c>
      <c r="D287" s="116">
        <v>872</v>
      </c>
      <c r="E287" s="117">
        <v>37670.400000000001</v>
      </c>
      <c r="F287" s="147">
        <v>8000</v>
      </c>
    </row>
    <row r="288" spans="1:6" ht="22.5">
      <c r="A288" s="6" t="s">
        <v>834</v>
      </c>
      <c r="B288" s="6" t="s">
        <v>562</v>
      </c>
      <c r="C288" s="6" t="s">
        <v>353</v>
      </c>
      <c r="D288" s="116">
        <v>2137</v>
      </c>
      <c r="E288" s="117">
        <v>92318.399999999994</v>
      </c>
      <c r="F288" s="147">
        <v>40000</v>
      </c>
    </row>
    <row r="289" spans="1:6" ht="22.5">
      <c r="A289" s="6" t="s">
        <v>835</v>
      </c>
      <c r="B289" s="6" t="s">
        <v>562</v>
      </c>
      <c r="C289" s="6" t="s">
        <v>354</v>
      </c>
      <c r="D289" s="116">
        <v>432</v>
      </c>
      <c r="E289" s="117">
        <v>18662.400000000001</v>
      </c>
    </row>
    <row r="290" spans="1:6" ht="22.5">
      <c r="A290" s="6" t="s">
        <v>836</v>
      </c>
      <c r="B290" s="6" t="s">
        <v>562</v>
      </c>
      <c r="C290" s="6" t="s">
        <v>355</v>
      </c>
      <c r="D290" s="116">
        <v>141</v>
      </c>
      <c r="E290" s="117">
        <v>6091.2</v>
      </c>
    </row>
    <row r="291" spans="1:6" ht="22.5">
      <c r="A291" s="6" t="s">
        <v>837</v>
      </c>
      <c r="B291" s="6" t="s">
        <v>562</v>
      </c>
      <c r="C291" s="6" t="s">
        <v>356</v>
      </c>
      <c r="D291" s="116">
        <v>661</v>
      </c>
      <c r="E291" s="117">
        <v>28555.200000000001</v>
      </c>
    </row>
    <row r="292" spans="1:6" ht="22.5">
      <c r="A292" s="6" t="s">
        <v>838</v>
      </c>
      <c r="B292" s="6" t="s">
        <v>562</v>
      </c>
      <c r="C292" s="6" t="s">
        <v>357</v>
      </c>
      <c r="D292" s="116">
        <v>183</v>
      </c>
      <c r="E292" s="117">
        <v>7905.6</v>
      </c>
    </row>
    <row r="293" spans="1:6" ht="22.5">
      <c r="A293" s="6" t="s">
        <v>839</v>
      </c>
      <c r="B293" s="6" t="s">
        <v>562</v>
      </c>
      <c r="C293" s="6" t="s">
        <v>358</v>
      </c>
      <c r="D293" s="116">
        <v>427</v>
      </c>
      <c r="E293" s="117">
        <v>18446.400000000001</v>
      </c>
    </row>
    <row r="294" spans="1:6" ht="22.5">
      <c r="A294" s="6" t="s">
        <v>840</v>
      </c>
      <c r="B294" s="6" t="s">
        <v>562</v>
      </c>
      <c r="C294" s="6" t="s">
        <v>359</v>
      </c>
      <c r="D294" s="116">
        <v>1518</v>
      </c>
      <c r="E294" s="117">
        <v>65577.600000000006</v>
      </c>
      <c r="F294" s="147">
        <v>30000</v>
      </c>
    </row>
    <row r="295" spans="1:6">
      <c r="A295" s="6" t="s">
        <v>744</v>
      </c>
      <c r="B295" s="6" t="s">
        <v>607</v>
      </c>
      <c r="C295" s="6" t="s">
        <v>360</v>
      </c>
      <c r="D295" s="116">
        <v>138</v>
      </c>
      <c r="E295" s="117">
        <v>5961.6</v>
      </c>
    </row>
    <row r="296" spans="1:6">
      <c r="A296" s="6" t="s">
        <v>643</v>
      </c>
      <c r="B296" s="6" t="s">
        <v>610</v>
      </c>
      <c r="C296" s="6" t="s">
        <v>361</v>
      </c>
      <c r="D296" s="116">
        <v>5</v>
      </c>
      <c r="E296" s="117">
        <v>216</v>
      </c>
    </row>
    <row r="297" spans="1:6" ht="22.5">
      <c r="A297" s="6" t="s">
        <v>841</v>
      </c>
      <c r="B297" s="6" t="s">
        <v>562</v>
      </c>
      <c r="C297" s="6" t="s">
        <v>362</v>
      </c>
      <c r="D297" s="116">
        <v>287</v>
      </c>
      <c r="E297" s="117">
        <v>12398.4</v>
      </c>
    </row>
    <row r="298" spans="1:6" ht="22.5">
      <c r="A298" s="6" t="s">
        <v>842</v>
      </c>
      <c r="B298" s="6" t="s">
        <v>562</v>
      </c>
      <c r="C298" s="6" t="s">
        <v>363</v>
      </c>
      <c r="D298" s="116">
        <v>980</v>
      </c>
      <c r="E298" s="117">
        <v>42336</v>
      </c>
      <c r="F298" s="147">
        <v>7500</v>
      </c>
    </row>
    <row r="299" spans="1:6">
      <c r="A299" s="6" t="s">
        <v>843</v>
      </c>
      <c r="B299" s="6" t="s">
        <v>562</v>
      </c>
      <c r="C299" s="6" t="s">
        <v>364</v>
      </c>
      <c r="D299" s="116">
        <v>524</v>
      </c>
      <c r="E299" s="117">
        <v>22636.799999999999</v>
      </c>
    </row>
    <row r="300" spans="1:6">
      <c r="A300" s="6" t="s">
        <v>844</v>
      </c>
      <c r="B300" s="6" t="s">
        <v>562</v>
      </c>
      <c r="C300" s="6" t="s">
        <v>365</v>
      </c>
      <c r="D300" s="116">
        <v>711</v>
      </c>
      <c r="E300" s="117">
        <v>30715.200000000001</v>
      </c>
    </row>
    <row r="301" spans="1:6" ht="22.5">
      <c r="A301" s="6" t="s">
        <v>845</v>
      </c>
      <c r="B301" s="6" t="s">
        <v>562</v>
      </c>
      <c r="C301" s="6" t="s">
        <v>366</v>
      </c>
      <c r="D301" s="116">
        <v>117</v>
      </c>
      <c r="E301" s="117">
        <v>5054.3999999999996</v>
      </c>
    </row>
    <row r="302" spans="1:6">
      <c r="A302" s="6" t="s">
        <v>803</v>
      </c>
      <c r="B302" s="6" t="s">
        <v>846</v>
      </c>
      <c r="C302" s="6" t="s">
        <v>367</v>
      </c>
      <c r="D302" s="116">
        <v>194</v>
      </c>
      <c r="E302" s="117">
        <v>8380.7999999999993</v>
      </c>
    </row>
    <row r="303" spans="1:6">
      <c r="A303" s="6" t="s">
        <v>644</v>
      </c>
      <c r="B303" s="6" t="s">
        <v>847</v>
      </c>
      <c r="C303" s="6" t="s">
        <v>368</v>
      </c>
      <c r="D303" s="116">
        <v>80</v>
      </c>
      <c r="E303" s="117">
        <v>3456</v>
      </c>
    </row>
    <row r="304" spans="1:6" ht="22.5">
      <c r="A304" s="6" t="s">
        <v>848</v>
      </c>
      <c r="B304" s="6" t="s">
        <v>562</v>
      </c>
      <c r="C304" s="6" t="s">
        <v>369</v>
      </c>
      <c r="D304" s="116">
        <v>157</v>
      </c>
      <c r="E304" s="117">
        <v>6782.4</v>
      </c>
    </row>
    <row r="305" spans="1:6">
      <c r="A305" s="6" t="s">
        <v>849</v>
      </c>
      <c r="B305" s="6" t="s">
        <v>562</v>
      </c>
      <c r="C305" s="6" t="s">
        <v>370</v>
      </c>
      <c r="D305" s="116">
        <v>760</v>
      </c>
      <c r="E305" s="117">
        <v>32832</v>
      </c>
      <c r="F305" s="147">
        <v>2000</v>
      </c>
    </row>
    <row r="306" spans="1:6">
      <c r="A306" s="6" t="s">
        <v>850</v>
      </c>
      <c r="B306" s="6" t="s">
        <v>851</v>
      </c>
      <c r="C306" s="6" t="s">
        <v>371</v>
      </c>
      <c r="D306" s="116">
        <v>147</v>
      </c>
      <c r="E306" s="117">
        <v>6350.4</v>
      </c>
    </row>
    <row r="307" spans="1:6" ht="22.5">
      <c r="A307" s="6" t="s">
        <v>850</v>
      </c>
      <c r="B307" s="6" t="s">
        <v>562</v>
      </c>
      <c r="C307" s="6" t="s">
        <v>372</v>
      </c>
      <c r="D307" s="116">
        <v>1659</v>
      </c>
      <c r="E307" s="117">
        <v>71668.800000000003</v>
      </c>
      <c r="F307" s="147">
        <v>35000</v>
      </c>
    </row>
    <row r="308" spans="1:6" ht="22.5">
      <c r="A308" s="6" t="s">
        <v>852</v>
      </c>
      <c r="B308" s="6" t="s">
        <v>562</v>
      </c>
      <c r="C308" s="6" t="s">
        <v>373</v>
      </c>
      <c r="D308" s="116">
        <v>3112</v>
      </c>
      <c r="E308" s="117">
        <v>134438.39999999999</v>
      </c>
      <c r="F308" s="147">
        <v>2000</v>
      </c>
    </row>
    <row r="309" spans="1:6" ht="22.5">
      <c r="A309" s="6" t="s">
        <v>853</v>
      </c>
      <c r="B309" s="6" t="s">
        <v>562</v>
      </c>
      <c r="C309" s="6" t="s">
        <v>374</v>
      </c>
      <c r="D309" s="116">
        <v>623</v>
      </c>
      <c r="E309" s="117">
        <v>26913.599999999999</v>
      </c>
      <c r="F309" s="147">
        <v>6000</v>
      </c>
    </row>
    <row r="310" spans="1:6" ht="22.5">
      <c r="A310" s="6" t="s">
        <v>854</v>
      </c>
      <c r="B310" s="6" t="s">
        <v>562</v>
      </c>
      <c r="C310" s="6" t="s">
        <v>375</v>
      </c>
      <c r="D310" s="116">
        <v>122</v>
      </c>
      <c r="E310" s="117">
        <v>5270.4</v>
      </c>
    </row>
    <row r="311" spans="1:6">
      <c r="A311" s="6" t="s">
        <v>855</v>
      </c>
      <c r="B311" s="6" t="s">
        <v>562</v>
      </c>
      <c r="C311" s="6" t="s">
        <v>376</v>
      </c>
      <c r="D311" s="116">
        <v>845</v>
      </c>
      <c r="E311" s="117">
        <v>36504</v>
      </c>
    </row>
    <row r="312" spans="1:6">
      <c r="A312" s="6" t="s">
        <v>856</v>
      </c>
      <c r="B312" s="6" t="s">
        <v>562</v>
      </c>
      <c r="C312" s="6" t="s">
        <v>377</v>
      </c>
      <c r="D312" s="116">
        <v>585</v>
      </c>
      <c r="E312" s="117">
        <v>25272</v>
      </c>
    </row>
    <row r="313" spans="1:6">
      <c r="A313" s="6" t="s">
        <v>857</v>
      </c>
      <c r="B313" s="6" t="s">
        <v>851</v>
      </c>
      <c r="C313" s="6" t="s">
        <v>378</v>
      </c>
      <c r="D313" s="116">
        <v>279</v>
      </c>
      <c r="E313" s="117">
        <v>12052.8</v>
      </c>
    </row>
    <row r="314" spans="1:6">
      <c r="A314" s="6" t="s">
        <v>857</v>
      </c>
      <c r="B314" s="6" t="s">
        <v>768</v>
      </c>
      <c r="C314" s="6" t="s">
        <v>379</v>
      </c>
      <c r="D314" s="116">
        <v>244</v>
      </c>
      <c r="E314" s="117">
        <v>10540.8</v>
      </c>
    </row>
    <row r="315" spans="1:6">
      <c r="A315" s="6" t="s">
        <v>857</v>
      </c>
      <c r="B315" s="6" t="s">
        <v>562</v>
      </c>
      <c r="C315" s="6" t="s">
        <v>380</v>
      </c>
      <c r="D315" s="116">
        <v>1710</v>
      </c>
      <c r="E315" s="117">
        <v>73872</v>
      </c>
    </row>
    <row r="316" spans="1:6">
      <c r="A316" s="6" t="s">
        <v>858</v>
      </c>
      <c r="B316" s="6" t="s">
        <v>562</v>
      </c>
      <c r="C316" s="6" t="s">
        <v>381</v>
      </c>
      <c r="D316" s="116">
        <v>1502</v>
      </c>
      <c r="E316" s="117">
        <v>64886.400000000001</v>
      </c>
      <c r="F316" s="147">
        <v>15000</v>
      </c>
    </row>
    <row r="317" spans="1:6" ht="22.5">
      <c r="A317" s="6" t="s">
        <v>859</v>
      </c>
      <c r="B317" s="6" t="s">
        <v>562</v>
      </c>
      <c r="C317" s="6" t="s">
        <v>382</v>
      </c>
      <c r="D317" s="116">
        <v>2144</v>
      </c>
      <c r="E317" s="117">
        <v>92620.800000000003</v>
      </c>
      <c r="F317" s="147">
        <v>18000</v>
      </c>
    </row>
    <row r="318" spans="1:6" ht="22.5">
      <c r="A318" s="6" t="s">
        <v>860</v>
      </c>
      <c r="B318" s="6" t="s">
        <v>562</v>
      </c>
      <c r="C318" s="6" t="s">
        <v>383</v>
      </c>
      <c r="D318" s="116">
        <v>540</v>
      </c>
      <c r="E318" s="117">
        <v>23328</v>
      </c>
    </row>
    <row r="319" spans="1:6" ht="22.5">
      <c r="A319" s="6" t="s">
        <v>861</v>
      </c>
      <c r="B319" s="6" t="s">
        <v>562</v>
      </c>
      <c r="C319" s="6" t="s">
        <v>384</v>
      </c>
      <c r="D319" s="116">
        <v>642</v>
      </c>
      <c r="E319" s="117">
        <v>27734.400000000001</v>
      </c>
    </row>
    <row r="320" spans="1:6">
      <c r="A320" s="6" t="s">
        <v>644</v>
      </c>
      <c r="B320" s="6" t="s">
        <v>660</v>
      </c>
      <c r="C320" s="6" t="s">
        <v>385</v>
      </c>
      <c r="D320" s="116">
        <v>24</v>
      </c>
      <c r="E320" s="117">
        <v>1036.8</v>
      </c>
    </row>
    <row r="321" spans="1:6" ht="22.5">
      <c r="A321" s="6" t="s">
        <v>862</v>
      </c>
      <c r="B321" s="6" t="s">
        <v>562</v>
      </c>
      <c r="C321" s="6" t="s">
        <v>386</v>
      </c>
      <c r="D321" s="116">
        <v>483</v>
      </c>
      <c r="E321" s="117">
        <v>20865.599999999999</v>
      </c>
    </row>
    <row r="322" spans="1:6" ht="22.5">
      <c r="A322" s="6" t="s">
        <v>863</v>
      </c>
      <c r="B322" s="6" t="s">
        <v>562</v>
      </c>
      <c r="C322" s="6" t="s">
        <v>387</v>
      </c>
      <c r="D322" s="116">
        <v>538</v>
      </c>
      <c r="E322" s="117">
        <v>23241.599999999999</v>
      </c>
    </row>
    <row r="323" spans="1:6" ht="22.5">
      <c r="A323" s="6" t="s">
        <v>864</v>
      </c>
      <c r="B323" s="6" t="s">
        <v>562</v>
      </c>
      <c r="C323" s="6" t="s">
        <v>388</v>
      </c>
      <c r="D323" s="116">
        <v>37</v>
      </c>
      <c r="E323" s="117">
        <v>1598.4</v>
      </c>
    </row>
    <row r="324" spans="1:6" ht="22.5">
      <c r="A324" s="6" t="s">
        <v>865</v>
      </c>
      <c r="B324" s="6" t="s">
        <v>562</v>
      </c>
      <c r="C324" s="6" t="s">
        <v>389</v>
      </c>
      <c r="D324" s="116">
        <v>355</v>
      </c>
      <c r="E324" s="117">
        <v>15336</v>
      </c>
    </row>
    <row r="325" spans="1:6" ht="22.5">
      <c r="A325" s="6" t="s">
        <v>659</v>
      </c>
      <c r="B325" s="6" t="s">
        <v>607</v>
      </c>
      <c r="C325" s="6" t="s">
        <v>390</v>
      </c>
      <c r="D325" s="116">
        <v>145</v>
      </c>
      <c r="E325" s="117">
        <v>6264</v>
      </c>
    </row>
    <row r="326" spans="1:6">
      <c r="A326" s="6" t="s">
        <v>634</v>
      </c>
      <c r="B326" s="6" t="s">
        <v>607</v>
      </c>
      <c r="C326" s="6" t="s">
        <v>391</v>
      </c>
      <c r="D326" s="116">
        <v>12</v>
      </c>
      <c r="E326" s="117">
        <v>518.4</v>
      </c>
    </row>
    <row r="327" spans="1:6">
      <c r="A327" s="6" t="s">
        <v>708</v>
      </c>
      <c r="B327" s="6" t="s">
        <v>711</v>
      </c>
      <c r="C327" s="6" t="s">
        <v>392</v>
      </c>
      <c r="D327" s="116">
        <v>53</v>
      </c>
      <c r="E327" s="117">
        <v>2289.6</v>
      </c>
    </row>
    <row r="328" spans="1:6" ht="22.5">
      <c r="A328" s="6" t="s">
        <v>866</v>
      </c>
      <c r="B328" s="6" t="s">
        <v>562</v>
      </c>
      <c r="C328" s="6" t="s">
        <v>393</v>
      </c>
      <c r="D328" s="116">
        <v>918</v>
      </c>
      <c r="E328" s="117">
        <v>39657.599999999999</v>
      </c>
    </row>
    <row r="329" spans="1:6">
      <c r="A329" s="6" t="s">
        <v>755</v>
      </c>
      <c r="B329" s="6" t="s">
        <v>607</v>
      </c>
      <c r="C329" s="6" t="s">
        <v>394</v>
      </c>
      <c r="D329" s="116">
        <v>595</v>
      </c>
      <c r="E329" s="117">
        <v>25704</v>
      </c>
    </row>
    <row r="330" spans="1:6">
      <c r="A330" s="6" t="s">
        <v>575</v>
      </c>
      <c r="B330" s="6" t="s">
        <v>867</v>
      </c>
      <c r="C330" s="6" t="s">
        <v>395</v>
      </c>
      <c r="D330" s="116">
        <v>393</v>
      </c>
      <c r="E330" s="117">
        <v>16977.599999999999</v>
      </c>
      <c r="F330" s="147">
        <v>4000</v>
      </c>
    </row>
    <row r="331" spans="1:6" ht="22.5">
      <c r="A331" s="6" t="s">
        <v>868</v>
      </c>
      <c r="B331" s="6" t="s">
        <v>562</v>
      </c>
      <c r="C331" s="6" t="s">
        <v>396</v>
      </c>
      <c r="D331" s="116">
        <v>308</v>
      </c>
      <c r="E331" s="117">
        <v>13305.6</v>
      </c>
    </row>
    <row r="332" spans="1:6" ht="22.5">
      <c r="A332" s="6" t="s">
        <v>869</v>
      </c>
      <c r="B332" s="6" t="s">
        <v>562</v>
      </c>
      <c r="C332" s="6" t="s">
        <v>397</v>
      </c>
      <c r="D332" s="116">
        <v>248</v>
      </c>
      <c r="E332" s="117">
        <v>10713.6</v>
      </c>
    </row>
    <row r="333" spans="1:6" ht="22.5">
      <c r="A333" s="6" t="s">
        <v>870</v>
      </c>
      <c r="B333" s="6" t="s">
        <v>562</v>
      </c>
      <c r="C333" s="6" t="s">
        <v>398</v>
      </c>
      <c r="D333" s="116">
        <v>365</v>
      </c>
      <c r="E333" s="117">
        <v>15768</v>
      </c>
    </row>
    <row r="334" spans="1:6" ht="22.5">
      <c r="A334" s="6" t="s">
        <v>871</v>
      </c>
      <c r="B334" s="6" t="s">
        <v>562</v>
      </c>
      <c r="C334" s="6" t="s">
        <v>399</v>
      </c>
      <c r="D334" s="116">
        <v>496</v>
      </c>
      <c r="E334" s="117">
        <v>21427.200000000001</v>
      </c>
    </row>
    <row r="335" spans="1:6">
      <c r="A335" s="6" t="s">
        <v>816</v>
      </c>
      <c r="B335" s="6" t="s">
        <v>872</v>
      </c>
      <c r="C335" s="6" t="s">
        <v>400</v>
      </c>
      <c r="D335" s="116">
        <v>192</v>
      </c>
      <c r="E335" s="117">
        <v>8294.4</v>
      </c>
    </row>
    <row r="336" spans="1:6" ht="22.5">
      <c r="A336" s="6" t="s">
        <v>816</v>
      </c>
      <c r="B336" s="6" t="s">
        <v>562</v>
      </c>
      <c r="C336" s="6" t="s">
        <v>401</v>
      </c>
      <c r="D336" s="116">
        <v>650</v>
      </c>
      <c r="E336" s="117">
        <v>28080</v>
      </c>
    </row>
    <row r="337" spans="1:6" ht="22.5">
      <c r="A337" s="6" t="s">
        <v>873</v>
      </c>
      <c r="B337" s="6" t="s">
        <v>562</v>
      </c>
      <c r="C337" s="6" t="s">
        <v>402</v>
      </c>
      <c r="D337" s="116">
        <v>395</v>
      </c>
      <c r="E337" s="117">
        <v>17064</v>
      </c>
    </row>
    <row r="338" spans="1:6" ht="22.5">
      <c r="A338" s="6" t="s">
        <v>874</v>
      </c>
      <c r="B338" s="6" t="s">
        <v>562</v>
      </c>
      <c r="C338" s="6" t="s">
        <v>403</v>
      </c>
      <c r="D338" s="116">
        <v>795</v>
      </c>
      <c r="E338" s="117">
        <v>34344</v>
      </c>
    </row>
    <row r="339" spans="1:6" ht="22.5">
      <c r="A339" s="6" t="s">
        <v>875</v>
      </c>
      <c r="B339" s="6" t="s">
        <v>562</v>
      </c>
      <c r="C339" s="6" t="s">
        <v>404</v>
      </c>
      <c r="D339" s="116">
        <v>380</v>
      </c>
      <c r="E339" s="117">
        <v>16416</v>
      </c>
    </row>
    <row r="340" spans="1:6" ht="22.5">
      <c r="A340" s="6" t="s">
        <v>876</v>
      </c>
      <c r="B340" s="6" t="s">
        <v>562</v>
      </c>
      <c r="C340" s="6" t="s">
        <v>405</v>
      </c>
      <c r="D340" s="116">
        <v>203</v>
      </c>
      <c r="E340" s="117">
        <v>8769.6</v>
      </c>
    </row>
    <row r="341" spans="1:6" ht="22.5">
      <c r="A341" s="6" t="s">
        <v>842</v>
      </c>
      <c r="B341" s="6" t="s">
        <v>700</v>
      </c>
      <c r="C341" s="6" t="s">
        <v>406</v>
      </c>
      <c r="D341" s="116">
        <v>96</v>
      </c>
      <c r="E341" s="117">
        <v>4147.2</v>
      </c>
    </row>
    <row r="342" spans="1:6">
      <c r="A342" s="6" t="s">
        <v>606</v>
      </c>
      <c r="B342" s="6" t="s">
        <v>877</v>
      </c>
      <c r="C342" s="6" t="s">
        <v>407</v>
      </c>
      <c r="D342" s="116">
        <v>250</v>
      </c>
      <c r="E342" s="117">
        <v>10800</v>
      </c>
    </row>
    <row r="343" spans="1:6">
      <c r="A343" s="6" t="s">
        <v>878</v>
      </c>
      <c r="B343" s="6" t="s">
        <v>576</v>
      </c>
      <c r="C343" s="6" t="s">
        <v>407</v>
      </c>
      <c r="D343" s="116">
        <v>169</v>
      </c>
      <c r="E343" s="117">
        <v>7300.8</v>
      </c>
    </row>
    <row r="344" spans="1:6">
      <c r="A344" s="6" t="s">
        <v>681</v>
      </c>
      <c r="B344" s="6" t="s">
        <v>740</v>
      </c>
      <c r="C344" s="6" t="s">
        <v>407</v>
      </c>
      <c r="D344" s="116">
        <v>382</v>
      </c>
      <c r="E344" s="117">
        <v>16502.400000000001</v>
      </c>
      <c r="F344" s="147">
        <v>4000</v>
      </c>
    </row>
    <row r="345" spans="1:6">
      <c r="A345" s="6" t="s">
        <v>612</v>
      </c>
      <c r="B345" s="6" t="s">
        <v>574</v>
      </c>
      <c r="C345" s="6" t="s">
        <v>407</v>
      </c>
      <c r="D345" s="116">
        <v>99</v>
      </c>
      <c r="E345" s="117">
        <v>4276.8</v>
      </c>
    </row>
    <row r="346" spans="1:6">
      <c r="A346" s="6" t="s">
        <v>791</v>
      </c>
      <c r="B346" s="6" t="s">
        <v>605</v>
      </c>
      <c r="C346" s="6" t="s">
        <v>407</v>
      </c>
      <c r="D346" s="116">
        <v>63</v>
      </c>
      <c r="E346" s="117">
        <v>2721.6</v>
      </c>
    </row>
    <row r="347" spans="1:6">
      <c r="A347" s="6" t="s">
        <v>805</v>
      </c>
      <c r="B347" s="6" t="s">
        <v>607</v>
      </c>
      <c r="C347" s="6" t="s">
        <v>407</v>
      </c>
      <c r="D347" s="116">
        <v>95</v>
      </c>
      <c r="E347" s="117">
        <v>4104</v>
      </c>
    </row>
    <row r="348" spans="1:6">
      <c r="A348" s="6" t="s">
        <v>735</v>
      </c>
      <c r="B348" s="6" t="s">
        <v>879</v>
      </c>
      <c r="C348" s="6" t="s">
        <v>408</v>
      </c>
      <c r="D348" s="116">
        <v>75</v>
      </c>
      <c r="E348" s="117">
        <v>3240</v>
      </c>
    </row>
    <row r="349" spans="1:6">
      <c r="A349" s="6" t="s">
        <v>880</v>
      </c>
      <c r="B349" s="6" t="s">
        <v>562</v>
      </c>
      <c r="C349" s="6" t="s">
        <v>409</v>
      </c>
      <c r="D349" s="116">
        <v>993</v>
      </c>
      <c r="E349" s="117">
        <v>42897.599999999999</v>
      </c>
      <c r="F349" s="147">
        <v>15000</v>
      </c>
    </row>
    <row r="350" spans="1:6" ht="22.5">
      <c r="A350" s="6" t="s">
        <v>881</v>
      </c>
      <c r="B350" s="6" t="s">
        <v>562</v>
      </c>
      <c r="C350" s="6" t="s">
        <v>410</v>
      </c>
      <c r="D350" s="116">
        <v>283</v>
      </c>
      <c r="E350" s="117">
        <v>12225.6</v>
      </c>
      <c r="F350" s="147">
        <v>3000</v>
      </c>
    </row>
    <row r="351" spans="1:6" ht="22.5">
      <c r="A351" s="6" t="s">
        <v>882</v>
      </c>
      <c r="B351" s="6" t="s">
        <v>562</v>
      </c>
      <c r="C351" s="6" t="s">
        <v>411</v>
      </c>
      <c r="D351" s="116">
        <v>180</v>
      </c>
      <c r="E351" s="117">
        <v>7776</v>
      </c>
    </row>
    <row r="352" spans="1:6" ht="22.5">
      <c r="A352" s="6" t="s">
        <v>573</v>
      </c>
      <c r="B352" s="6" t="s">
        <v>660</v>
      </c>
      <c r="C352" s="6" t="s">
        <v>412</v>
      </c>
      <c r="D352" s="116">
        <v>10</v>
      </c>
      <c r="E352" s="117">
        <v>432</v>
      </c>
    </row>
    <row r="353" spans="1:6">
      <c r="A353" s="6" t="s">
        <v>883</v>
      </c>
      <c r="B353" s="6" t="s">
        <v>562</v>
      </c>
      <c r="C353" s="6" t="s">
        <v>413</v>
      </c>
      <c r="D353" s="116">
        <v>159</v>
      </c>
      <c r="E353" s="117">
        <v>6868.8</v>
      </c>
    </row>
    <row r="354" spans="1:6" ht="22.5">
      <c r="A354" s="6" t="s">
        <v>884</v>
      </c>
      <c r="B354" s="6" t="s">
        <v>562</v>
      </c>
      <c r="C354" s="6" t="s">
        <v>414</v>
      </c>
      <c r="D354" s="116">
        <v>1222</v>
      </c>
      <c r="E354" s="117">
        <v>52790.400000000001</v>
      </c>
    </row>
    <row r="355" spans="1:6" ht="22.5">
      <c r="A355" s="6" t="s">
        <v>584</v>
      </c>
      <c r="B355" s="6" t="s">
        <v>607</v>
      </c>
      <c r="C355" s="6" t="s">
        <v>415</v>
      </c>
      <c r="D355" s="116">
        <v>314</v>
      </c>
      <c r="E355" s="117">
        <v>13564.8</v>
      </c>
    </row>
    <row r="356" spans="1:6">
      <c r="A356" s="6" t="s">
        <v>572</v>
      </c>
      <c r="B356" s="6" t="s">
        <v>576</v>
      </c>
      <c r="C356" s="6" t="s">
        <v>416</v>
      </c>
      <c r="D356" s="116">
        <v>228</v>
      </c>
      <c r="E356" s="117">
        <v>9849.6</v>
      </c>
    </row>
    <row r="357" spans="1:6" ht="22.5">
      <c r="A357" s="6" t="s">
        <v>885</v>
      </c>
      <c r="B357" s="6" t="s">
        <v>562</v>
      </c>
      <c r="C357" s="6" t="s">
        <v>417</v>
      </c>
      <c r="D357" s="116">
        <v>195</v>
      </c>
      <c r="E357" s="117">
        <v>8424</v>
      </c>
    </row>
    <row r="358" spans="1:6" ht="22.5">
      <c r="A358" s="6" t="s">
        <v>732</v>
      </c>
      <c r="B358" s="6" t="s">
        <v>607</v>
      </c>
      <c r="C358" s="6" t="s">
        <v>418</v>
      </c>
      <c r="D358" s="116">
        <v>123</v>
      </c>
      <c r="E358" s="117">
        <v>5313.6</v>
      </c>
    </row>
    <row r="359" spans="1:6">
      <c r="A359" s="6" t="s">
        <v>886</v>
      </c>
      <c r="B359" s="6" t="s">
        <v>747</v>
      </c>
      <c r="C359" s="6" t="s">
        <v>419</v>
      </c>
      <c r="D359" s="116">
        <v>97</v>
      </c>
      <c r="E359" s="117">
        <v>4190.3999999999996</v>
      </c>
    </row>
    <row r="360" spans="1:6" ht="22.5">
      <c r="A360" s="6" t="s">
        <v>886</v>
      </c>
      <c r="B360" s="6" t="s">
        <v>562</v>
      </c>
      <c r="C360" s="6" t="s">
        <v>420</v>
      </c>
      <c r="D360" s="116">
        <v>793</v>
      </c>
      <c r="E360" s="117">
        <v>34257.599999999999</v>
      </c>
    </row>
    <row r="361" spans="1:6" ht="22.5">
      <c r="A361" s="6" t="s">
        <v>887</v>
      </c>
      <c r="B361" s="6" t="s">
        <v>562</v>
      </c>
      <c r="C361" s="6" t="s">
        <v>421</v>
      </c>
      <c r="D361" s="116">
        <v>781</v>
      </c>
      <c r="E361" s="117">
        <v>33739.199999999997</v>
      </c>
    </row>
    <row r="362" spans="1:6" ht="22.5">
      <c r="A362" s="6" t="s">
        <v>888</v>
      </c>
      <c r="B362" s="6" t="s">
        <v>562</v>
      </c>
      <c r="C362" s="6" t="s">
        <v>422</v>
      </c>
      <c r="D362" s="116">
        <v>607</v>
      </c>
      <c r="E362" s="117">
        <v>26222.400000000001</v>
      </c>
    </row>
    <row r="363" spans="1:6">
      <c r="A363" s="6" t="s">
        <v>889</v>
      </c>
      <c r="B363" s="6" t="s">
        <v>562</v>
      </c>
      <c r="C363" s="6" t="s">
        <v>423</v>
      </c>
      <c r="D363" s="116">
        <v>287</v>
      </c>
      <c r="E363" s="117">
        <v>12398.4</v>
      </c>
    </row>
    <row r="364" spans="1:6" ht="22.5">
      <c r="A364" s="6" t="s">
        <v>890</v>
      </c>
      <c r="B364" s="6" t="s">
        <v>562</v>
      </c>
      <c r="C364" s="6" t="s">
        <v>424</v>
      </c>
      <c r="D364" s="116">
        <v>436</v>
      </c>
      <c r="E364" s="117">
        <v>18835.2</v>
      </c>
      <c r="F364" s="147">
        <v>7000</v>
      </c>
    </row>
    <row r="365" spans="1:6" ht="22.5">
      <c r="A365" s="6" t="s">
        <v>891</v>
      </c>
      <c r="B365" s="6" t="s">
        <v>892</v>
      </c>
      <c r="C365" s="6" t="s">
        <v>425</v>
      </c>
      <c r="D365" s="116">
        <v>348</v>
      </c>
      <c r="E365" s="117">
        <v>15033.6</v>
      </c>
    </row>
    <row r="366" spans="1:6" ht="22.5">
      <c r="A366" s="6" t="s">
        <v>891</v>
      </c>
      <c r="B366" s="6" t="s">
        <v>562</v>
      </c>
      <c r="C366" s="6" t="s">
        <v>426</v>
      </c>
      <c r="D366" s="116">
        <v>882</v>
      </c>
      <c r="E366" s="117">
        <v>38102.400000000001</v>
      </c>
    </row>
    <row r="367" spans="1:6" ht="22.5">
      <c r="A367" s="6" t="s">
        <v>893</v>
      </c>
      <c r="B367" s="6" t="s">
        <v>562</v>
      </c>
      <c r="C367" s="6" t="s">
        <v>427</v>
      </c>
      <c r="D367" s="116">
        <v>559</v>
      </c>
      <c r="E367" s="117">
        <v>24148.799999999999</v>
      </c>
      <c r="F367" s="147">
        <v>3000</v>
      </c>
    </row>
    <row r="368" spans="1:6" ht="22.5">
      <c r="A368" s="6" t="s">
        <v>606</v>
      </c>
      <c r="B368" s="6" t="s">
        <v>562</v>
      </c>
      <c r="C368" s="6" t="s">
        <v>428</v>
      </c>
      <c r="D368" s="116">
        <v>9127</v>
      </c>
      <c r="E368" s="117">
        <v>394286.4</v>
      </c>
      <c r="F368" s="147">
        <v>120000</v>
      </c>
    </row>
    <row r="369" spans="1:6">
      <c r="A369" s="6" t="s">
        <v>894</v>
      </c>
      <c r="B369" s="6" t="s">
        <v>562</v>
      </c>
      <c r="C369" s="6" t="s">
        <v>429</v>
      </c>
      <c r="D369" s="116">
        <v>961</v>
      </c>
      <c r="E369" s="117">
        <v>41515.199999999997</v>
      </c>
      <c r="F369" s="147">
        <v>15000</v>
      </c>
    </row>
    <row r="370" spans="1:6" ht="22.5">
      <c r="A370" s="6" t="s">
        <v>895</v>
      </c>
      <c r="B370" s="6" t="s">
        <v>562</v>
      </c>
      <c r="C370" s="6" t="s">
        <v>430</v>
      </c>
      <c r="D370" s="116">
        <v>587</v>
      </c>
      <c r="E370" s="117">
        <v>25358.400000000001</v>
      </c>
      <c r="F370" s="147">
        <v>3000</v>
      </c>
    </row>
    <row r="371" spans="1:6" ht="22.5">
      <c r="A371" s="6" t="s">
        <v>896</v>
      </c>
      <c r="B371" s="6" t="s">
        <v>562</v>
      </c>
      <c r="C371" s="6" t="s">
        <v>431</v>
      </c>
      <c r="D371" s="116">
        <v>532</v>
      </c>
      <c r="E371" s="117">
        <v>22982.400000000001</v>
      </c>
    </row>
    <row r="372" spans="1:6" ht="22.5">
      <c r="A372" s="6" t="s">
        <v>897</v>
      </c>
      <c r="B372" s="6" t="s">
        <v>562</v>
      </c>
      <c r="C372" s="6" t="s">
        <v>432</v>
      </c>
      <c r="D372" s="116">
        <v>121</v>
      </c>
      <c r="E372" s="117">
        <v>5227.2</v>
      </c>
    </row>
    <row r="373" spans="1:6" ht="22.5">
      <c r="A373" s="6" t="s">
        <v>898</v>
      </c>
      <c r="B373" s="6" t="s">
        <v>562</v>
      </c>
      <c r="C373" s="6" t="s">
        <v>433</v>
      </c>
      <c r="D373" s="116">
        <v>1132</v>
      </c>
      <c r="E373" s="117">
        <v>48902.400000000001</v>
      </c>
      <c r="F373" s="147">
        <v>12000</v>
      </c>
    </row>
    <row r="374" spans="1:6" ht="22.5">
      <c r="A374" s="6" t="s">
        <v>639</v>
      </c>
      <c r="B374" s="6" t="s">
        <v>562</v>
      </c>
      <c r="C374" s="6" t="s">
        <v>434</v>
      </c>
      <c r="D374" s="116">
        <v>511</v>
      </c>
      <c r="E374" s="117">
        <v>22075.200000000001</v>
      </c>
    </row>
    <row r="375" spans="1:6" ht="22.5">
      <c r="A375" s="6" t="s">
        <v>899</v>
      </c>
      <c r="B375" s="6" t="s">
        <v>562</v>
      </c>
      <c r="C375" s="6" t="s">
        <v>435</v>
      </c>
      <c r="D375" s="116">
        <v>4822</v>
      </c>
      <c r="E375" s="117">
        <v>208310.39999999999</v>
      </c>
      <c r="F375" s="147">
        <v>50000</v>
      </c>
    </row>
    <row r="376" spans="1:6" ht="22.5">
      <c r="A376" s="6" t="s">
        <v>900</v>
      </c>
      <c r="B376" s="6" t="s">
        <v>562</v>
      </c>
      <c r="C376" s="6" t="s">
        <v>436</v>
      </c>
      <c r="D376" s="116">
        <v>396</v>
      </c>
      <c r="E376" s="117">
        <v>17107.2</v>
      </c>
      <c r="F376" s="147">
        <v>3500</v>
      </c>
    </row>
    <row r="377" spans="1:6" ht="22.5">
      <c r="A377" s="6" t="s">
        <v>901</v>
      </c>
      <c r="B377" s="6" t="s">
        <v>562</v>
      </c>
      <c r="C377" s="6" t="s">
        <v>437</v>
      </c>
      <c r="D377" s="116">
        <v>443</v>
      </c>
      <c r="E377" s="117">
        <v>19137.599999999999</v>
      </c>
      <c r="F377" s="147">
        <v>5000</v>
      </c>
    </row>
    <row r="378" spans="1:6" ht="22.5">
      <c r="A378" s="6" t="s">
        <v>902</v>
      </c>
      <c r="B378" s="6" t="s">
        <v>562</v>
      </c>
      <c r="C378" s="6" t="s">
        <v>438</v>
      </c>
      <c r="D378" s="116">
        <v>412</v>
      </c>
      <c r="E378" s="117">
        <v>17798.400000000001</v>
      </c>
    </row>
    <row r="379" spans="1:6" ht="22.5">
      <c r="A379" s="6" t="s">
        <v>803</v>
      </c>
      <c r="B379" s="6" t="s">
        <v>607</v>
      </c>
      <c r="C379" s="6" t="s">
        <v>439</v>
      </c>
      <c r="D379" s="116">
        <v>96</v>
      </c>
      <c r="E379" s="117">
        <v>4147.2</v>
      </c>
    </row>
    <row r="380" spans="1:6" ht="22.5">
      <c r="A380" s="6" t="s">
        <v>803</v>
      </c>
      <c r="B380" s="6" t="s">
        <v>740</v>
      </c>
      <c r="C380" s="6" t="s">
        <v>440</v>
      </c>
      <c r="D380" s="116">
        <v>41</v>
      </c>
      <c r="E380" s="117">
        <v>1771.2</v>
      </c>
    </row>
    <row r="381" spans="1:6" ht="22.5">
      <c r="A381" s="6" t="s">
        <v>803</v>
      </c>
      <c r="B381" s="6" t="s">
        <v>674</v>
      </c>
      <c r="C381" s="6" t="s">
        <v>441</v>
      </c>
      <c r="D381" s="116">
        <v>31</v>
      </c>
      <c r="E381" s="117">
        <v>1339.2</v>
      </c>
    </row>
    <row r="382" spans="1:6" ht="22.5">
      <c r="A382" s="6" t="s">
        <v>878</v>
      </c>
      <c r="B382" s="6" t="s">
        <v>562</v>
      </c>
      <c r="C382" s="6" t="s">
        <v>442</v>
      </c>
      <c r="D382" s="116">
        <v>1423</v>
      </c>
      <c r="E382" s="117">
        <v>61473.599999999999</v>
      </c>
    </row>
    <row r="383" spans="1:6" ht="22.5">
      <c r="A383" s="6" t="s">
        <v>903</v>
      </c>
      <c r="B383" s="6" t="s">
        <v>562</v>
      </c>
      <c r="C383" s="6" t="s">
        <v>443</v>
      </c>
      <c r="D383" s="116">
        <v>876</v>
      </c>
      <c r="E383" s="117">
        <v>37843.199999999997</v>
      </c>
      <c r="F383" s="147">
        <v>10000</v>
      </c>
    </row>
    <row r="384" spans="1:6" ht="22.5">
      <c r="A384" s="6" t="s">
        <v>904</v>
      </c>
      <c r="B384" s="6" t="s">
        <v>562</v>
      </c>
      <c r="C384" s="6" t="s">
        <v>444</v>
      </c>
      <c r="D384" s="116">
        <v>276</v>
      </c>
      <c r="E384" s="117">
        <v>11923.2</v>
      </c>
      <c r="F384" s="147">
        <v>3000</v>
      </c>
    </row>
    <row r="385" spans="1:6" ht="22.5">
      <c r="A385" s="6" t="s">
        <v>905</v>
      </c>
      <c r="B385" s="6" t="s">
        <v>562</v>
      </c>
      <c r="C385" s="6" t="s">
        <v>445</v>
      </c>
      <c r="D385" s="116">
        <v>540</v>
      </c>
      <c r="E385" s="117">
        <v>23328</v>
      </c>
    </row>
    <row r="386" spans="1:6">
      <c r="A386" s="6" t="s">
        <v>644</v>
      </c>
      <c r="B386" s="6" t="s">
        <v>608</v>
      </c>
      <c r="C386" s="6" t="s">
        <v>446</v>
      </c>
      <c r="D386" s="116">
        <v>231</v>
      </c>
      <c r="E386" s="117">
        <v>9979.2000000000007</v>
      </c>
    </row>
    <row r="387" spans="1:6">
      <c r="A387" s="6" t="s">
        <v>764</v>
      </c>
      <c r="B387" s="6" t="s">
        <v>740</v>
      </c>
      <c r="C387" s="6" t="s">
        <v>447</v>
      </c>
      <c r="D387" s="116">
        <v>58</v>
      </c>
      <c r="E387" s="117">
        <v>2505.6</v>
      </c>
    </row>
    <row r="388" spans="1:6">
      <c r="A388" s="6" t="s">
        <v>644</v>
      </c>
      <c r="B388" s="6" t="s">
        <v>906</v>
      </c>
      <c r="C388" s="6" t="s">
        <v>448</v>
      </c>
      <c r="D388" s="116">
        <v>167</v>
      </c>
      <c r="E388" s="117">
        <v>7214.4</v>
      </c>
    </row>
    <row r="389" spans="1:6">
      <c r="A389" s="6" t="s">
        <v>579</v>
      </c>
      <c r="B389" s="6" t="s">
        <v>740</v>
      </c>
      <c r="C389" s="6" t="s">
        <v>449</v>
      </c>
      <c r="D389" s="116">
        <v>155</v>
      </c>
      <c r="E389" s="117">
        <v>6696</v>
      </c>
    </row>
    <row r="390" spans="1:6">
      <c r="A390" s="6" t="s">
        <v>907</v>
      </c>
      <c r="B390" s="6" t="s">
        <v>576</v>
      </c>
      <c r="C390" s="6" t="s">
        <v>450</v>
      </c>
      <c r="D390" s="116">
        <v>456</v>
      </c>
      <c r="E390" s="117">
        <v>19699.2</v>
      </c>
      <c r="F390" s="147">
        <v>2750</v>
      </c>
    </row>
    <row r="391" spans="1:6">
      <c r="A391" s="6" t="s">
        <v>584</v>
      </c>
      <c r="B391" s="6" t="s">
        <v>615</v>
      </c>
      <c r="C391" s="6" t="s">
        <v>451</v>
      </c>
      <c r="D391" s="116">
        <v>353</v>
      </c>
      <c r="E391" s="117">
        <v>15249.6</v>
      </c>
      <c r="F391" s="147">
        <v>3000</v>
      </c>
    </row>
    <row r="392" spans="1:6">
      <c r="A392" s="6" t="s">
        <v>908</v>
      </c>
      <c r="B392" s="6" t="s">
        <v>574</v>
      </c>
      <c r="C392" s="6" t="s">
        <v>452</v>
      </c>
      <c r="D392" s="116">
        <v>0</v>
      </c>
      <c r="E392" s="117">
        <v>0</v>
      </c>
    </row>
    <row r="393" spans="1:6">
      <c r="A393" s="6" t="s">
        <v>750</v>
      </c>
      <c r="B393" s="6" t="s">
        <v>674</v>
      </c>
      <c r="C393" s="6" t="s">
        <v>453</v>
      </c>
      <c r="D393" s="116">
        <v>119</v>
      </c>
      <c r="E393" s="117">
        <v>5140.8</v>
      </c>
    </row>
    <row r="394" spans="1:6" ht="22.5">
      <c r="A394" s="6" t="s">
        <v>819</v>
      </c>
      <c r="B394" s="6" t="s">
        <v>608</v>
      </c>
      <c r="C394" s="6" t="s">
        <v>454</v>
      </c>
      <c r="D394" s="116">
        <v>151</v>
      </c>
      <c r="E394" s="117">
        <v>6523.2</v>
      </c>
    </row>
    <row r="395" spans="1:6">
      <c r="A395" s="6" t="s">
        <v>644</v>
      </c>
      <c r="B395" s="6" t="s">
        <v>909</v>
      </c>
      <c r="C395" s="6" t="s">
        <v>455</v>
      </c>
      <c r="D395" s="116">
        <v>157</v>
      </c>
      <c r="E395" s="117">
        <v>6782.4</v>
      </c>
    </row>
    <row r="396" spans="1:6">
      <c r="A396" s="6" t="s">
        <v>794</v>
      </c>
      <c r="B396" s="6" t="s">
        <v>608</v>
      </c>
      <c r="C396" s="6" t="s">
        <v>456</v>
      </c>
      <c r="D396" s="116">
        <v>99</v>
      </c>
      <c r="E396" s="117">
        <v>4276.8</v>
      </c>
    </row>
    <row r="397" spans="1:6">
      <c r="A397" s="6" t="s">
        <v>670</v>
      </c>
      <c r="B397" s="6" t="s">
        <v>576</v>
      </c>
      <c r="C397" s="6" t="s">
        <v>457</v>
      </c>
      <c r="D397" s="116">
        <v>144</v>
      </c>
      <c r="E397" s="117">
        <v>6220.8</v>
      </c>
    </row>
    <row r="398" spans="1:6">
      <c r="A398" s="6" t="s">
        <v>748</v>
      </c>
      <c r="B398" s="6" t="s">
        <v>576</v>
      </c>
      <c r="C398" s="6" t="s">
        <v>458</v>
      </c>
      <c r="D398" s="116">
        <v>131</v>
      </c>
      <c r="E398" s="117">
        <v>5659.2</v>
      </c>
    </row>
    <row r="399" spans="1:6">
      <c r="A399" s="6" t="s">
        <v>868</v>
      </c>
      <c r="B399" s="6" t="s">
        <v>711</v>
      </c>
      <c r="C399" s="6" t="s">
        <v>459</v>
      </c>
      <c r="D399" s="116">
        <v>223</v>
      </c>
      <c r="E399" s="117">
        <v>9633.6</v>
      </c>
    </row>
    <row r="400" spans="1:6">
      <c r="A400" s="6" t="s">
        <v>910</v>
      </c>
      <c r="B400" s="6" t="s">
        <v>576</v>
      </c>
      <c r="C400" s="6" t="s">
        <v>460</v>
      </c>
      <c r="D400" s="116">
        <v>262</v>
      </c>
      <c r="E400" s="117">
        <v>11318.4</v>
      </c>
    </row>
    <row r="401" spans="1:6">
      <c r="A401" s="6" t="s">
        <v>653</v>
      </c>
      <c r="B401" s="6" t="s">
        <v>574</v>
      </c>
      <c r="C401" s="6" t="s">
        <v>461</v>
      </c>
      <c r="D401" s="116">
        <v>88</v>
      </c>
      <c r="E401" s="117">
        <v>3801.6</v>
      </c>
    </row>
    <row r="402" spans="1:6">
      <c r="A402" s="6" t="s">
        <v>911</v>
      </c>
      <c r="B402" s="6" t="s">
        <v>740</v>
      </c>
      <c r="C402" s="6" t="s">
        <v>461</v>
      </c>
      <c r="D402" s="116">
        <v>139</v>
      </c>
      <c r="E402" s="117">
        <v>6004.8</v>
      </c>
    </row>
    <row r="403" spans="1:6">
      <c r="A403" s="6" t="s">
        <v>575</v>
      </c>
      <c r="B403" s="6" t="s">
        <v>912</v>
      </c>
      <c r="C403" s="6" t="s">
        <v>462</v>
      </c>
      <c r="D403" s="116">
        <v>153</v>
      </c>
      <c r="E403" s="117">
        <v>6609.6</v>
      </c>
    </row>
    <row r="404" spans="1:6">
      <c r="A404" s="6" t="s">
        <v>858</v>
      </c>
      <c r="B404" s="6" t="s">
        <v>700</v>
      </c>
      <c r="C404" s="6" t="s">
        <v>463</v>
      </c>
      <c r="D404" s="116">
        <v>77</v>
      </c>
      <c r="E404" s="117">
        <v>3326.4</v>
      </c>
    </row>
    <row r="405" spans="1:6">
      <c r="A405" s="6" t="s">
        <v>626</v>
      </c>
      <c r="B405" s="6" t="s">
        <v>913</v>
      </c>
      <c r="C405" s="6" t="s">
        <v>463</v>
      </c>
      <c r="D405" s="116">
        <v>168</v>
      </c>
      <c r="E405" s="117">
        <v>7257.6</v>
      </c>
    </row>
    <row r="406" spans="1:6">
      <c r="A406" s="6" t="s">
        <v>580</v>
      </c>
      <c r="B406" s="6" t="s">
        <v>607</v>
      </c>
      <c r="C406" s="6" t="s">
        <v>463</v>
      </c>
      <c r="D406" s="116">
        <v>53</v>
      </c>
      <c r="E406" s="117">
        <v>2289.6</v>
      </c>
    </row>
    <row r="407" spans="1:6">
      <c r="A407" s="6" t="s">
        <v>577</v>
      </c>
      <c r="B407" s="6" t="s">
        <v>607</v>
      </c>
      <c r="C407" s="6" t="s">
        <v>463</v>
      </c>
      <c r="D407" s="116">
        <v>134</v>
      </c>
      <c r="E407" s="117">
        <v>5788.8</v>
      </c>
    </row>
    <row r="408" spans="1:6">
      <c r="A408" s="6" t="s">
        <v>886</v>
      </c>
      <c r="B408" s="6" t="s">
        <v>576</v>
      </c>
      <c r="C408" s="6" t="s">
        <v>464</v>
      </c>
      <c r="D408" s="116">
        <v>74</v>
      </c>
      <c r="E408" s="117">
        <v>3196.8</v>
      </c>
    </row>
    <row r="409" spans="1:6">
      <c r="A409" s="6" t="s">
        <v>584</v>
      </c>
      <c r="B409" s="6" t="s">
        <v>576</v>
      </c>
      <c r="C409" s="6" t="s">
        <v>465</v>
      </c>
      <c r="D409" s="116">
        <v>39</v>
      </c>
      <c r="E409" s="117">
        <v>1684.8</v>
      </c>
    </row>
    <row r="410" spans="1:6">
      <c r="A410" s="6" t="s">
        <v>606</v>
      </c>
      <c r="B410" s="6" t="s">
        <v>914</v>
      </c>
      <c r="C410" s="6" t="s">
        <v>466</v>
      </c>
      <c r="D410" s="116">
        <v>32</v>
      </c>
      <c r="E410" s="117">
        <v>1382.4</v>
      </c>
    </row>
    <row r="411" spans="1:6">
      <c r="A411" s="6" t="s">
        <v>575</v>
      </c>
      <c r="B411" s="6" t="s">
        <v>915</v>
      </c>
      <c r="C411" s="6" t="s">
        <v>467</v>
      </c>
      <c r="D411" s="116">
        <v>272</v>
      </c>
      <c r="E411" s="117">
        <v>11750.4</v>
      </c>
      <c r="F411" s="147">
        <v>5000</v>
      </c>
    </row>
    <row r="412" spans="1:6">
      <c r="A412" s="6" t="s">
        <v>916</v>
      </c>
      <c r="B412" s="6" t="s">
        <v>917</v>
      </c>
      <c r="C412" s="6" t="s">
        <v>467</v>
      </c>
      <c r="D412" s="116">
        <v>292</v>
      </c>
      <c r="E412" s="117">
        <v>12614.4</v>
      </c>
      <c r="F412" s="147">
        <v>2000</v>
      </c>
    </row>
    <row r="413" spans="1:6">
      <c r="A413" s="6" t="s">
        <v>677</v>
      </c>
      <c r="B413" s="6" t="s">
        <v>700</v>
      </c>
      <c r="C413" s="6" t="s">
        <v>468</v>
      </c>
      <c r="D413" s="116">
        <v>47</v>
      </c>
      <c r="E413" s="117">
        <v>2030.4</v>
      </c>
    </row>
    <row r="414" spans="1:6">
      <c r="A414" s="6" t="s">
        <v>644</v>
      </c>
      <c r="B414" s="6" t="s">
        <v>913</v>
      </c>
      <c r="C414" s="6" t="s">
        <v>469</v>
      </c>
      <c r="D414" s="116">
        <v>173</v>
      </c>
      <c r="E414" s="117">
        <v>7473.6</v>
      </c>
    </row>
    <row r="415" spans="1:6">
      <c r="A415" s="6" t="s">
        <v>918</v>
      </c>
      <c r="B415" s="6" t="s">
        <v>700</v>
      </c>
      <c r="C415" s="6" t="s">
        <v>470</v>
      </c>
      <c r="D415" s="116">
        <v>55</v>
      </c>
      <c r="E415" s="117">
        <v>2376</v>
      </c>
    </row>
    <row r="416" spans="1:6">
      <c r="A416" s="6" t="s">
        <v>708</v>
      </c>
      <c r="B416" s="6" t="s">
        <v>607</v>
      </c>
      <c r="C416" s="6" t="s">
        <v>471</v>
      </c>
      <c r="D416" s="116">
        <v>571</v>
      </c>
      <c r="E416" s="117">
        <v>24667.200000000001</v>
      </c>
      <c r="F416" s="147">
        <v>8000</v>
      </c>
    </row>
    <row r="417" spans="1:6" ht="22.5">
      <c r="A417" s="6" t="s">
        <v>919</v>
      </c>
      <c r="B417" s="6" t="s">
        <v>562</v>
      </c>
      <c r="C417" s="6" t="s">
        <v>472</v>
      </c>
      <c r="D417" s="116">
        <v>214</v>
      </c>
      <c r="E417" s="117">
        <v>9244.7999999999993</v>
      </c>
    </row>
    <row r="418" spans="1:6" ht="22.5">
      <c r="A418" s="6" t="s">
        <v>920</v>
      </c>
      <c r="B418" s="6" t="s">
        <v>562</v>
      </c>
      <c r="C418" s="6" t="s">
        <v>473</v>
      </c>
      <c r="D418" s="116">
        <v>536</v>
      </c>
      <c r="E418" s="117">
        <v>23155.200000000001</v>
      </c>
    </row>
    <row r="419" spans="1:6">
      <c r="A419" s="6" t="s">
        <v>898</v>
      </c>
      <c r="B419" s="6" t="s">
        <v>921</v>
      </c>
      <c r="C419" s="6" t="s">
        <v>474</v>
      </c>
      <c r="D419" s="116">
        <v>49</v>
      </c>
      <c r="E419" s="117">
        <v>2116.8000000000002</v>
      </c>
    </row>
    <row r="420" spans="1:6">
      <c r="A420" s="6" t="s">
        <v>634</v>
      </c>
      <c r="B420" s="6" t="s">
        <v>711</v>
      </c>
      <c r="C420" s="6" t="s">
        <v>475</v>
      </c>
      <c r="D420" s="116">
        <v>120</v>
      </c>
      <c r="E420" s="117">
        <v>5184</v>
      </c>
    </row>
    <row r="421" spans="1:6" ht="22.5">
      <c r="A421" s="6" t="s">
        <v>910</v>
      </c>
      <c r="B421" s="6" t="s">
        <v>562</v>
      </c>
      <c r="C421" s="6" t="s">
        <v>476</v>
      </c>
      <c r="D421" s="116">
        <v>1736</v>
      </c>
      <c r="E421" s="117">
        <v>74995.199999999997</v>
      </c>
    </row>
    <row r="422" spans="1:6" ht="22.5">
      <c r="A422" s="6" t="s">
        <v>922</v>
      </c>
      <c r="B422" s="6" t="s">
        <v>562</v>
      </c>
      <c r="C422" s="6" t="s">
        <v>477</v>
      </c>
      <c r="D422" s="116">
        <v>56</v>
      </c>
      <c r="E422" s="117">
        <v>2419.1999999999998</v>
      </c>
    </row>
    <row r="423" spans="1:6">
      <c r="A423" s="6" t="s">
        <v>787</v>
      </c>
      <c r="B423" s="6" t="s">
        <v>754</v>
      </c>
      <c r="C423" s="6" t="s">
        <v>478</v>
      </c>
      <c r="D423" s="116">
        <v>37</v>
      </c>
      <c r="E423" s="117">
        <v>1598.4</v>
      </c>
    </row>
    <row r="424" spans="1:6" ht="22.5">
      <c r="A424" s="6" t="s">
        <v>923</v>
      </c>
      <c r="B424" s="6" t="s">
        <v>562</v>
      </c>
      <c r="C424" s="6" t="s">
        <v>479</v>
      </c>
      <c r="D424" s="116">
        <v>435</v>
      </c>
      <c r="E424" s="117">
        <v>18792</v>
      </c>
    </row>
    <row r="425" spans="1:6">
      <c r="A425" s="6" t="s">
        <v>575</v>
      </c>
      <c r="B425" s="6" t="s">
        <v>924</v>
      </c>
      <c r="C425" s="6" t="s">
        <v>480</v>
      </c>
      <c r="D425" s="116">
        <v>38</v>
      </c>
      <c r="E425" s="117">
        <v>1641.6</v>
      </c>
    </row>
    <row r="426" spans="1:6">
      <c r="A426" s="6" t="s">
        <v>609</v>
      </c>
      <c r="B426" s="6" t="s">
        <v>925</v>
      </c>
      <c r="C426" s="6" t="s">
        <v>481</v>
      </c>
      <c r="D426" s="116">
        <v>308</v>
      </c>
      <c r="E426" s="117">
        <v>13305.6</v>
      </c>
      <c r="F426" s="147">
        <v>4000</v>
      </c>
    </row>
    <row r="427" spans="1:6">
      <c r="A427" s="6" t="s">
        <v>565</v>
      </c>
      <c r="B427" s="6" t="s">
        <v>768</v>
      </c>
      <c r="C427" s="6" t="s">
        <v>482</v>
      </c>
      <c r="D427" s="116">
        <v>40</v>
      </c>
      <c r="E427" s="117">
        <v>1728</v>
      </c>
    </row>
    <row r="428" spans="1:6">
      <c r="A428" s="6" t="s">
        <v>926</v>
      </c>
      <c r="B428" s="6" t="s">
        <v>562</v>
      </c>
      <c r="C428" s="6" t="s">
        <v>483</v>
      </c>
      <c r="D428" s="116">
        <v>735</v>
      </c>
      <c r="E428" s="117">
        <v>31752</v>
      </c>
    </row>
    <row r="429" spans="1:6" ht="22.5">
      <c r="A429" s="6" t="s">
        <v>927</v>
      </c>
      <c r="B429" s="6" t="s">
        <v>562</v>
      </c>
      <c r="C429" s="6" t="s">
        <v>484</v>
      </c>
      <c r="D429" s="116">
        <v>38</v>
      </c>
      <c r="E429" s="117">
        <v>1641.6</v>
      </c>
    </row>
    <row r="430" spans="1:6" ht="22.5">
      <c r="A430" s="6" t="s">
        <v>928</v>
      </c>
      <c r="B430" s="6" t="s">
        <v>562</v>
      </c>
      <c r="C430" s="6" t="s">
        <v>485</v>
      </c>
      <c r="D430" s="116">
        <v>657</v>
      </c>
      <c r="E430" s="117">
        <v>28382.400000000001</v>
      </c>
      <c r="F430" s="147">
        <v>2000</v>
      </c>
    </row>
    <row r="431" spans="1:6" ht="22.5">
      <c r="A431" s="6" t="s">
        <v>929</v>
      </c>
      <c r="B431" s="6" t="s">
        <v>562</v>
      </c>
      <c r="C431" s="6" t="s">
        <v>486</v>
      </c>
      <c r="D431" s="116">
        <v>596</v>
      </c>
      <c r="E431" s="117">
        <v>25747.200000000001</v>
      </c>
    </row>
    <row r="432" spans="1:6" ht="22.5">
      <c r="A432" s="6" t="s">
        <v>930</v>
      </c>
      <c r="B432" s="6" t="s">
        <v>562</v>
      </c>
      <c r="C432" s="6" t="s">
        <v>487</v>
      </c>
      <c r="D432" s="116">
        <v>221</v>
      </c>
      <c r="E432" s="117">
        <v>9547.2000000000007</v>
      </c>
    </row>
    <row r="433" spans="1:6">
      <c r="A433" s="6" t="s">
        <v>931</v>
      </c>
      <c r="B433" s="6" t="s">
        <v>912</v>
      </c>
      <c r="C433" s="6" t="s">
        <v>488</v>
      </c>
      <c r="D433" s="116">
        <v>50</v>
      </c>
      <c r="E433" s="117">
        <v>2160</v>
      </c>
    </row>
    <row r="434" spans="1:6">
      <c r="A434" s="6" t="s">
        <v>612</v>
      </c>
      <c r="B434" s="6" t="s">
        <v>785</v>
      </c>
      <c r="C434" s="6" t="s">
        <v>489</v>
      </c>
      <c r="D434" s="116">
        <v>76</v>
      </c>
      <c r="E434" s="117">
        <v>3283.2</v>
      </c>
    </row>
    <row r="435" spans="1:6">
      <c r="A435" s="6" t="s">
        <v>575</v>
      </c>
      <c r="B435" s="6" t="s">
        <v>932</v>
      </c>
      <c r="C435" s="6" t="s">
        <v>489</v>
      </c>
      <c r="D435" s="116">
        <v>102</v>
      </c>
      <c r="E435" s="117">
        <v>4406.3999999999996</v>
      </c>
    </row>
    <row r="436" spans="1:6">
      <c r="A436" s="6" t="s">
        <v>933</v>
      </c>
      <c r="B436" s="6" t="s">
        <v>562</v>
      </c>
      <c r="C436" s="6" t="s">
        <v>490</v>
      </c>
      <c r="D436" s="116">
        <v>401</v>
      </c>
      <c r="E436" s="117">
        <v>17323.2</v>
      </c>
    </row>
    <row r="437" spans="1:6" ht="22.5">
      <c r="A437" s="6" t="s">
        <v>931</v>
      </c>
      <c r="B437" s="6" t="s">
        <v>562</v>
      </c>
      <c r="C437" s="6" t="s">
        <v>491</v>
      </c>
      <c r="D437" s="116">
        <v>379</v>
      </c>
      <c r="E437" s="117">
        <v>16372.8</v>
      </c>
    </row>
    <row r="438" spans="1:6" ht="22.5">
      <c r="A438" s="6" t="s">
        <v>934</v>
      </c>
      <c r="B438" s="6" t="s">
        <v>562</v>
      </c>
      <c r="C438" s="6" t="s">
        <v>492</v>
      </c>
      <c r="D438" s="116">
        <v>318</v>
      </c>
      <c r="E438" s="117">
        <v>13737.6</v>
      </c>
    </row>
    <row r="439" spans="1:6" ht="22.5">
      <c r="A439" s="6" t="s">
        <v>935</v>
      </c>
      <c r="B439" s="6" t="s">
        <v>562</v>
      </c>
      <c r="C439" s="6" t="s">
        <v>493</v>
      </c>
      <c r="D439" s="116">
        <v>41</v>
      </c>
      <c r="E439" s="117">
        <v>1771.2</v>
      </c>
    </row>
    <row r="440" spans="1:6" ht="22.5">
      <c r="A440" s="6" t="s">
        <v>936</v>
      </c>
      <c r="B440" s="6" t="s">
        <v>562</v>
      </c>
      <c r="C440" s="6" t="s">
        <v>494</v>
      </c>
      <c r="D440" s="116">
        <v>598</v>
      </c>
      <c r="E440" s="117">
        <v>25833.599999999999</v>
      </c>
    </row>
    <row r="441" spans="1:6">
      <c r="A441" s="6" t="s">
        <v>937</v>
      </c>
      <c r="B441" s="6" t="s">
        <v>562</v>
      </c>
      <c r="C441" s="6" t="s">
        <v>495</v>
      </c>
      <c r="D441" s="116">
        <v>1033</v>
      </c>
      <c r="E441" s="117">
        <v>44625.599999999999</v>
      </c>
    </row>
    <row r="442" spans="1:6">
      <c r="A442" s="6" t="s">
        <v>938</v>
      </c>
      <c r="B442" s="6" t="s">
        <v>562</v>
      </c>
      <c r="C442" s="6" t="s">
        <v>496</v>
      </c>
      <c r="D442" s="116">
        <v>180</v>
      </c>
      <c r="E442" s="117">
        <v>7776</v>
      </c>
      <c r="F442" s="147">
        <v>2000</v>
      </c>
    </row>
    <row r="443" spans="1:6">
      <c r="A443" s="6" t="s">
        <v>803</v>
      </c>
      <c r="B443" s="6" t="s">
        <v>939</v>
      </c>
      <c r="C443" s="6" t="s">
        <v>497</v>
      </c>
      <c r="D443" s="116">
        <v>236</v>
      </c>
      <c r="E443" s="117">
        <v>10195.200000000001</v>
      </c>
    </row>
    <row r="444" spans="1:6" ht="22.5">
      <c r="A444" s="6" t="s">
        <v>916</v>
      </c>
      <c r="B444" s="6" t="s">
        <v>562</v>
      </c>
      <c r="C444" s="6" t="s">
        <v>498</v>
      </c>
      <c r="D444" s="116">
        <v>2721</v>
      </c>
      <c r="E444" s="117">
        <v>117547.2</v>
      </c>
    </row>
    <row r="445" spans="1:6">
      <c r="A445" s="6" t="s">
        <v>940</v>
      </c>
      <c r="B445" s="6" t="s">
        <v>562</v>
      </c>
      <c r="C445" s="6" t="s">
        <v>499</v>
      </c>
      <c r="D445" s="116">
        <v>378</v>
      </c>
      <c r="E445" s="117">
        <v>16329.6</v>
      </c>
    </row>
    <row r="446" spans="1:6" ht="22.5">
      <c r="A446" s="6" t="s">
        <v>941</v>
      </c>
      <c r="B446" s="6" t="s">
        <v>562</v>
      </c>
      <c r="C446" s="6" t="s">
        <v>500</v>
      </c>
      <c r="D446" s="116">
        <v>488</v>
      </c>
      <c r="E446" s="117">
        <v>21081.599999999999</v>
      </c>
    </row>
    <row r="447" spans="1:6" ht="22.5">
      <c r="A447" s="6" t="s">
        <v>942</v>
      </c>
      <c r="B447" s="6" t="s">
        <v>562</v>
      </c>
      <c r="C447" s="6" t="s">
        <v>501</v>
      </c>
      <c r="D447" s="116">
        <v>427</v>
      </c>
      <c r="E447" s="117">
        <v>18446.400000000001</v>
      </c>
    </row>
    <row r="448" spans="1:6" ht="22.5">
      <c r="A448" s="6" t="s">
        <v>943</v>
      </c>
      <c r="B448" s="6" t="s">
        <v>562</v>
      </c>
      <c r="C448" s="6" t="s">
        <v>502</v>
      </c>
      <c r="D448" s="116">
        <v>222</v>
      </c>
      <c r="E448" s="117">
        <v>9590.4</v>
      </c>
    </row>
    <row r="449" spans="1:6">
      <c r="A449" s="6" t="s">
        <v>944</v>
      </c>
      <c r="B449" s="6" t="s">
        <v>562</v>
      </c>
      <c r="C449" s="6" t="s">
        <v>503</v>
      </c>
      <c r="D449" s="116">
        <v>286</v>
      </c>
      <c r="E449" s="117">
        <v>12355.2</v>
      </c>
    </row>
    <row r="450" spans="1:6" ht="22.5">
      <c r="A450" s="6" t="s">
        <v>945</v>
      </c>
      <c r="B450" s="6" t="s">
        <v>562</v>
      </c>
      <c r="C450" s="6" t="s">
        <v>504</v>
      </c>
      <c r="D450" s="116">
        <v>1245</v>
      </c>
      <c r="E450" s="117">
        <v>53784</v>
      </c>
      <c r="F450" s="147">
        <v>8000</v>
      </c>
    </row>
    <row r="451" spans="1:6">
      <c r="A451" s="6" t="s">
        <v>946</v>
      </c>
      <c r="B451" s="6" t="s">
        <v>562</v>
      </c>
      <c r="C451" s="6" t="s">
        <v>505</v>
      </c>
      <c r="D451" s="116">
        <v>409</v>
      </c>
      <c r="E451" s="117">
        <v>17668.8</v>
      </c>
    </row>
    <row r="452" spans="1:6">
      <c r="A452" s="6" t="s">
        <v>947</v>
      </c>
      <c r="B452" s="6" t="s">
        <v>562</v>
      </c>
      <c r="C452" s="6" t="s">
        <v>506</v>
      </c>
      <c r="D452" s="116">
        <v>129</v>
      </c>
      <c r="E452" s="117">
        <v>5572.8</v>
      </c>
    </row>
    <row r="453" spans="1:6" ht="22.5">
      <c r="A453" s="6" t="s">
        <v>948</v>
      </c>
      <c r="B453" s="6" t="s">
        <v>562</v>
      </c>
      <c r="C453" s="6" t="s">
        <v>507</v>
      </c>
      <c r="D453" s="116">
        <v>553</v>
      </c>
      <c r="E453" s="117">
        <v>23889.599999999999</v>
      </c>
      <c r="F453" s="147">
        <v>5000</v>
      </c>
    </row>
    <row r="454" spans="1:6" ht="22.5">
      <c r="A454" s="6" t="s">
        <v>666</v>
      </c>
      <c r="B454" s="6" t="s">
        <v>562</v>
      </c>
      <c r="C454" s="6" t="s">
        <v>508</v>
      </c>
      <c r="D454" s="116">
        <v>520</v>
      </c>
      <c r="E454" s="117">
        <v>22464</v>
      </c>
    </row>
    <row r="455" spans="1:6" ht="22.5">
      <c r="A455" s="6" t="s">
        <v>908</v>
      </c>
      <c r="B455" s="6" t="s">
        <v>562</v>
      </c>
      <c r="C455" s="6" t="s">
        <v>509</v>
      </c>
      <c r="D455" s="116">
        <v>1315</v>
      </c>
      <c r="E455" s="117">
        <v>56808</v>
      </c>
    </row>
    <row r="456" spans="1:6" ht="22.5">
      <c r="A456" s="6" t="s">
        <v>609</v>
      </c>
      <c r="B456" s="6" t="s">
        <v>562</v>
      </c>
      <c r="C456" s="6" t="s">
        <v>510</v>
      </c>
      <c r="D456" s="116">
        <v>7086</v>
      </c>
      <c r="E456" s="117">
        <v>306115.20000000001</v>
      </c>
      <c r="F456" s="147">
        <v>60000</v>
      </c>
    </row>
    <row r="457" spans="1:6" ht="22.5">
      <c r="A457" s="6" t="s">
        <v>907</v>
      </c>
      <c r="B457" s="6" t="s">
        <v>562</v>
      </c>
      <c r="C457" s="6" t="s">
        <v>511</v>
      </c>
      <c r="D457" s="116">
        <v>4930</v>
      </c>
      <c r="E457" s="117">
        <v>212976</v>
      </c>
      <c r="F457" s="147">
        <v>50000</v>
      </c>
    </row>
    <row r="458" spans="1:6" ht="22.5">
      <c r="A458" s="6" t="s">
        <v>616</v>
      </c>
      <c r="B458" s="6" t="s">
        <v>562</v>
      </c>
      <c r="C458" s="6" t="s">
        <v>512</v>
      </c>
      <c r="D458" s="116">
        <v>1462</v>
      </c>
      <c r="E458" s="117">
        <v>63158.400000000001</v>
      </c>
      <c r="F458" s="147">
        <v>18000</v>
      </c>
    </row>
    <row r="459" spans="1:6">
      <c r="A459" s="6" t="s">
        <v>949</v>
      </c>
      <c r="B459" s="6" t="s">
        <v>562</v>
      </c>
      <c r="C459" s="6" t="s">
        <v>513</v>
      </c>
      <c r="D459" s="116">
        <v>401</v>
      </c>
      <c r="E459" s="117">
        <v>17323.2</v>
      </c>
      <c r="F459" s="147">
        <v>5000</v>
      </c>
    </row>
    <row r="460" spans="1:6" ht="22.5">
      <c r="A460" s="6" t="s">
        <v>918</v>
      </c>
      <c r="B460" s="6" t="s">
        <v>562</v>
      </c>
      <c r="C460" s="6" t="s">
        <v>514</v>
      </c>
      <c r="D460" s="116">
        <v>1133</v>
      </c>
      <c r="E460" s="117">
        <v>48945.599999999999</v>
      </c>
    </row>
    <row r="461" spans="1:6" ht="22.5">
      <c r="A461" s="6" t="s">
        <v>950</v>
      </c>
      <c r="B461" s="6" t="s">
        <v>562</v>
      </c>
      <c r="C461" s="6" t="s">
        <v>515</v>
      </c>
      <c r="D461" s="116">
        <v>289</v>
      </c>
      <c r="E461" s="117">
        <v>12484.8</v>
      </c>
    </row>
    <row r="462" spans="1:6" ht="22.5">
      <c r="A462" s="6" t="s">
        <v>951</v>
      </c>
      <c r="B462" s="6" t="s">
        <v>562</v>
      </c>
      <c r="C462" s="6" t="s">
        <v>516</v>
      </c>
      <c r="D462" s="116">
        <v>566</v>
      </c>
      <c r="E462" s="117">
        <v>24451.200000000001</v>
      </c>
      <c r="F462" s="147">
        <v>5000</v>
      </c>
    </row>
    <row r="463" spans="1:6" ht="22.5">
      <c r="A463" s="6" t="s">
        <v>952</v>
      </c>
      <c r="B463" s="6" t="s">
        <v>562</v>
      </c>
      <c r="C463" s="6" t="s">
        <v>517</v>
      </c>
      <c r="D463" s="116">
        <v>599</v>
      </c>
      <c r="E463" s="117">
        <v>25876.799999999999</v>
      </c>
    </row>
    <row r="464" spans="1:6" ht="22.5">
      <c r="A464" s="6" t="s">
        <v>953</v>
      </c>
      <c r="B464" s="6" t="s">
        <v>562</v>
      </c>
      <c r="C464" s="6" t="s">
        <v>518</v>
      </c>
      <c r="D464" s="116">
        <v>229</v>
      </c>
      <c r="E464" s="117">
        <v>9892.7999999999993</v>
      </c>
    </row>
    <row r="465" spans="1:6" ht="22.5">
      <c r="A465" s="6" t="s">
        <v>954</v>
      </c>
      <c r="B465" s="6" t="s">
        <v>562</v>
      </c>
      <c r="C465" s="6" t="s">
        <v>519</v>
      </c>
      <c r="D465" s="116">
        <v>643</v>
      </c>
      <c r="E465" s="117">
        <v>27777.599999999999</v>
      </c>
    </row>
    <row r="466" spans="1:6" ht="22.5">
      <c r="A466" s="6" t="s">
        <v>911</v>
      </c>
      <c r="B466" s="6" t="s">
        <v>562</v>
      </c>
      <c r="C466" s="6" t="s">
        <v>520</v>
      </c>
      <c r="D466" s="116">
        <v>1277</v>
      </c>
      <c r="E466" s="117">
        <v>55166.400000000001</v>
      </c>
    </row>
    <row r="467" spans="1:6" ht="22.5">
      <c r="A467" s="6" t="s">
        <v>681</v>
      </c>
      <c r="B467" s="6" t="s">
        <v>562</v>
      </c>
      <c r="C467" s="6" t="s">
        <v>521</v>
      </c>
      <c r="D467" s="116">
        <v>5118</v>
      </c>
      <c r="E467" s="117">
        <v>221097.60000000001</v>
      </c>
      <c r="F467" s="147">
        <v>80000</v>
      </c>
    </row>
    <row r="468" spans="1:6">
      <c r="A468" s="6" t="s">
        <v>955</v>
      </c>
      <c r="B468" s="6" t="s">
        <v>562</v>
      </c>
      <c r="C468" s="6" t="s">
        <v>522</v>
      </c>
      <c r="D468" s="116">
        <v>538</v>
      </c>
      <c r="E468" s="117">
        <v>23241.599999999999</v>
      </c>
    </row>
    <row r="469" spans="1:6" ht="22.5">
      <c r="A469" s="6" t="s">
        <v>767</v>
      </c>
      <c r="B469" s="6" t="s">
        <v>562</v>
      </c>
      <c r="C469" s="6" t="s">
        <v>523</v>
      </c>
      <c r="D469" s="116">
        <v>551</v>
      </c>
      <c r="E469" s="117">
        <v>23803.200000000001</v>
      </c>
    </row>
    <row r="470" spans="1:6" ht="22.5">
      <c r="A470" s="6" t="s">
        <v>956</v>
      </c>
      <c r="B470" s="6" t="s">
        <v>562</v>
      </c>
      <c r="C470" s="6" t="s">
        <v>524</v>
      </c>
      <c r="D470" s="116">
        <v>296</v>
      </c>
      <c r="E470" s="117">
        <v>12787.2</v>
      </c>
    </row>
    <row r="471" spans="1:6" ht="22.5">
      <c r="A471" s="6" t="s">
        <v>957</v>
      </c>
      <c r="B471" s="6" t="s">
        <v>562</v>
      </c>
      <c r="C471" s="6" t="s">
        <v>525</v>
      </c>
      <c r="D471" s="116">
        <v>1017</v>
      </c>
      <c r="E471" s="117">
        <v>43934.400000000001</v>
      </c>
      <c r="F471" s="147">
        <v>10000</v>
      </c>
    </row>
    <row r="472" spans="1:6" ht="22.5">
      <c r="A472" s="6" t="s">
        <v>753</v>
      </c>
      <c r="B472" s="6" t="s">
        <v>562</v>
      </c>
      <c r="C472" s="6" t="s">
        <v>526</v>
      </c>
      <c r="D472" s="116">
        <v>706</v>
      </c>
      <c r="E472" s="117">
        <v>30499.200000000001</v>
      </c>
    </row>
    <row r="473" spans="1:6" ht="22.5">
      <c r="A473" s="6" t="s">
        <v>657</v>
      </c>
      <c r="B473" s="6" t="s">
        <v>562</v>
      </c>
      <c r="C473" s="6" t="s">
        <v>527</v>
      </c>
      <c r="D473" s="116">
        <v>723</v>
      </c>
      <c r="E473" s="117">
        <v>31233.599999999999</v>
      </c>
    </row>
    <row r="474" spans="1:6" ht="22.5">
      <c r="A474" s="6" t="s">
        <v>958</v>
      </c>
      <c r="B474" s="6" t="s">
        <v>562</v>
      </c>
      <c r="C474" s="6" t="s">
        <v>528</v>
      </c>
      <c r="D474" s="116">
        <v>559</v>
      </c>
      <c r="E474" s="117">
        <v>24148.799999999999</v>
      </c>
    </row>
    <row r="475" spans="1:6" ht="22.5">
      <c r="A475" s="6" t="s">
        <v>760</v>
      </c>
      <c r="B475" s="6" t="s">
        <v>562</v>
      </c>
      <c r="C475" s="6" t="s">
        <v>529</v>
      </c>
      <c r="D475" s="116">
        <v>531</v>
      </c>
      <c r="E475" s="117">
        <v>22939.200000000001</v>
      </c>
    </row>
    <row r="476" spans="1:6" ht="22.5">
      <c r="A476" s="6" t="s">
        <v>613</v>
      </c>
      <c r="B476" s="6" t="s">
        <v>959</v>
      </c>
      <c r="C476" s="6" t="s">
        <v>530</v>
      </c>
      <c r="D476" s="116">
        <v>230</v>
      </c>
      <c r="E476" s="117">
        <v>9936</v>
      </c>
    </row>
    <row r="477" spans="1:6" ht="22.5">
      <c r="A477" s="6" t="s">
        <v>584</v>
      </c>
      <c r="B477" s="6" t="s">
        <v>562</v>
      </c>
      <c r="C477" s="6" t="s">
        <v>531</v>
      </c>
      <c r="D477" s="116">
        <v>2598</v>
      </c>
      <c r="E477" s="117">
        <v>112233.60000000001</v>
      </c>
      <c r="F477" s="147">
        <v>30000</v>
      </c>
    </row>
    <row r="478" spans="1:6" ht="22.5">
      <c r="A478" s="6" t="s">
        <v>960</v>
      </c>
      <c r="B478" s="6" t="s">
        <v>562</v>
      </c>
      <c r="C478" s="6" t="s">
        <v>532</v>
      </c>
      <c r="D478" s="116">
        <v>453</v>
      </c>
      <c r="E478" s="117">
        <v>19569.599999999999</v>
      </c>
    </row>
    <row r="479" spans="1:6">
      <c r="A479" s="6" t="s">
        <v>961</v>
      </c>
      <c r="B479" s="6" t="s">
        <v>562</v>
      </c>
      <c r="C479" s="6" t="s">
        <v>533</v>
      </c>
      <c r="D479" s="116">
        <v>185</v>
      </c>
      <c r="E479" s="117">
        <v>7992</v>
      </c>
    </row>
    <row r="480" spans="1:6" ht="22.5">
      <c r="A480" s="6" t="s">
        <v>784</v>
      </c>
      <c r="B480" s="6" t="s">
        <v>562</v>
      </c>
      <c r="C480" s="6" t="s">
        <v>534</v>
      </c>
      <c r="D480" s="116">
        <v>835</v>
      </c>
      <c r="E480" s="117">
        <v>36072</v>
      </c>
      <c r="F480" s="147">
        <v>8000</v>
      </c>
    </row>
    <row r="481" spans="1:6">
      <c r="A481" s="6" t="s">
        <v>962</v>
      </c>
      <c r="B481" s="6" t="s">
        <v>562</v>
      </c>
      <c r="C481" s="6" t="s">
        <v>535</v>
      </c>
      <c r="D481" s="116">
        <v>625</v>
      </c>
      <c r="E481" s="117">
        <v>27000</v>
      </c>
    </row>
    <row r="482" spans="1:6" ht="22.5">
      <c r="A482" s="6" t="s">
        <v>963</v>
      </c>
      <c r="B482" s="6" t="s">
        <v>562</v>
      </c>
      <c r="C482" s="6" t="s">
        <v>536</v>
      </c>
      <c r="D482" s="116">
        <v>337</v>
      </c>
      <c r="E482" s="117">
        <v>14558.4</v>
      </c>
    </row>
    <row r="483" spans="1:6" ht="22.5">
      <c r="A483" s="6" t="s">
        <v>964</v>
      </c>
      <c r="B483" s="6" t="s">
        <v>562</v>
      </c>
      <c r="C483" s="6" t="s">
        <v>537</v>
      </c>
      <c r="D483" s="116">
        <v>1259</v>
      </c>
      <c r="E483" s="117">
        <v>54388.800000000003</v>
      </c>
      <c r="F483" s="147">
        <v>15000</v>
      </c>
    </row>
    <row r="484" spans="1:6" ht="22.5">
      <c r="A484" s="6" t="s">
        <v>965</v>
      </c>
      <c r="B484" s="6" t="s">
        <v>562</v>
      </c>
      <c r="C484" s="6" t="s">
        <v>538</v>
      </c>
      <c r="D484" s="116">
        <v>386</v>
      </c>
      <c r="E484" s="117">
        <v>16675.2</v>
      </c>
      <c r="F484" s="147">
        <v>2500</v>
      </c>
    </row>
    <row r="485" spans="1:6" ht="22.5">
      <c r="A485" s="6" t="s">
        <v>966</v>
      </c>
      <c r="B485" s="6" t="s">
        <v>562</v>
      </c>
      <c r="C485" s="6" t="s">
        <v>539</v>
      </c>
      <c r="D485" s="116">
        <v>482</v>
      </c>
      <c r="E485" s="117">
        <v>20822.400000000001</v>
      </c>
    </row>
    <row r="486" spans="1:6" ht="22.5">
      <c r="A486" s="6" t="s">
        <v>606</v>
      </c>
      <c r="B486" s="6" t="s">
        <v>967</v>
      </c>
      <c r="C486" s="6" t="s">
        <v>540</v>
      </c>
      <c r="D486" s="116">
        <v>12</v>
      </c>
      <c r="E486" s="117">
        <v>518.4</v>
      </c>
    </row>
    <row r="487" spans="1:6">
      <c r="A487" s="6" t="s">
        <v>589</v>
      </c>
      <c r="B487" s="6" t="s">
        <v>968</v>
      </c>
      <c r="C487" s="6" t="s">
        <v>541</v>
      </c>
      <c r="D487" s="116">
        <v>260</v>
      </c>
      <c r="E487" s="117">
        <v>11232</v>
      </c>
    </row>
    <row r="488" spans="1:6" ht="22.5">
      <c r="A488" s="6" t="s">
        <v>589</v>
      </c>
      <c r="B488" s="6" t="s">
        <v>562</v>
      </c>
      <c r="C488" s="6" t="s">
        <v>542</v>
      </c>
      <c r="D488" s="116">
        <v>513</v>
      </c>
      <c r="E488" s="117">
        <v>22161.599999999999</v>
      </c>
    </row>
    <row r="489" spans="1:6">
      <c r="A489" s="6" t="s">
        <v>575</v>
      </c>
      <c r="B489" s="6" t="s">
        <v>674</v>
      </c>
      <c r="C489" s="6" t="s">
        <v>543</v>
      </c>
      <c r="D489" s="116">
        <v>593</v>
      </c>
      <c r="E489" s="117">
        <v>25617.599999999999</v>
      </c>
      <c r="F489" s="147">
        <v>7000</v>
      </c>
    </row>
    <row r="490" spans="1:6">
      <c r="A490" s="6" t="s">
        <v>644</v>
      </c>
      <c r="B490" s="6" t="s">
        <v>969</v>
      </c>
      <c r="C490" s="6" t="s">
        <v>544</v>
      </c>
      <c r="D490" s="116">
        <v>25</v>
      </c>
      <c r="E490" s="117">
        <v>1080</v>
      </c>
    </row>
    <row r="491" spans="1:6">
      <c r="A491" s="6" t="s">
        <v>766</v>
      </c>
      <c r="B491" s="6" t="s">
        <v>607</v>
      </c>
      <c r="C491" s="6" t="s">
        <v>545</v>
      </c>
      <c r="D491" s="116">
        <v>27</v>
      </c>
      <c r="E491" s="117">
        <v>1166.4000000000001</v>
      </c>
    </row>
    <row r="492" spans="1:6">
      <c r="A492" s="6" t="s">
        <v>575</v>
      </c>
      <c r="B492" s="6" t="s">
        <v>660</v>
      </c>
      <c r="C492" s="6" t="s">
        <v>546</v>
      </c>
      <c r="D492" s="116">
        <v>12</v>
      </c>
      <c r="E492" s="117">
        <v>518.4</v>
      </c>
    </row>
    <row r="493" spans="1:6">
      <c r="A493" s="6" t="s">
        <v>708</v>
      </c>
      <c r="B493" s="6" t="s">
        <v>823</v>
      </c>
      <c r="C493" s="6" t="s">
        <v>547</v>
      </c>
      <c r="D493" s="116">
        <v>12</v>
      </c>
      <c r="E493" s="117">
        <v>518.4</v>
      </c>
    </row>
    <row r="494" spans="1:6">
      <c r="A494" s="6" t="s">
        <v>579</v>
      </c>
      <c r="B494" s="6" t="s">
        <v>607</v>
      </c>
      <c r="C494" s="6" t="s">
        <v>548</v>
      </c>
      <c r="D494" s="116">
        <v>26</v>
      </c>
      <c r="E494" s="117">
        <v>1123.2</v>
      </c>
    </row>
    <row r="495" spans="1:6">
      <c r="A495" s="6" t="s">
        <v>677</v>
      </c>
      <c r="B495" s="6" t="s">
        <v>607</v>
      </c>
      <c r="C495" s="6" t="s">
        <v>549</v>
      </c>
      <c r="D495" s="116">
        <v>93</v>
      </c>
      <c r="E495" s="117">
        <v>4017.6</v>
      </c>
    </row>
    <row r="496" spans="1:6" ht="22.5">
      <c r="A496" s="6" t="s">
        <v>896</v>
      </c>
      <c r="B496" s="6" t="s">
        <v>970</v>
      </c>
      <c r="C496" s="6" t="s">
        <v>550</v>
      </c>
      <c r="D496" s="116">
        <v>63</v>
      </c>
      <c r="E496" s="117">
        <v>2721.6</v>
      </c>
    </row>
  </sheetData>
  <sheetProtection password="C307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17</vt:i4>
      </vt:variant>
    </vt:vector>
  </HeadingPairs>
  <TitlesOfParts>
    <vt:vector size="20" baseType="lpstr">
      <vt:lpstr>Allocations</vt:lpstr>
      <vt:lpstr>Entitlement Details</vt:lpstr>
      <vt:lpstr>Data</vt:lpstr>
      <vt:lpstr>Beef</vt:lpstr>
      <vt:lpstr>Brown_Rice</vt:lpstr>
      <vt:lpstr>Cheese</vt:lpstr>
      <vt:lpstr>Chicken</vt:lpstr>
      <vt:lpstr>Corn</vt:lpstr>
      <vt:lpstr>Eggs</vt:lpstr>
      <vt:lpstr>Flour</vt:lpstr>
      <vt:lpstr>Fruit_Juice</vt:lpstr>
      <vt:lpstr>Peanut_Butter</vt:lpstr>
      <vt:lpstr>Pollock</vt:lpstr>
      <vt:lpstr>Pork</vt:lpstr>
      <vt:lpstr>Potatoes</vt:lpstr>
      <vt:lpstr>Allocations!Print_Area</vt:lpstr>
      <vt:lpstr>'Entitlement Details'!Print_Area</vt:lpstr>
      <vt:lpstr>Allocations!Print_Titles</vt:lpstr>
      <vt:lpstr>Tomato_Paste</vt:lpstr>
      <vt:lpstr>Turkey</vt:lpstr>
    </vt:vector>
  </TitlesOfParts>
  <Company>Iowa 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White</dc:creator>
  <cp:lastModifiedBy>Ellen Miller</cp:lastModifiedBy>
  <cp:lastPrinted>2013-02-07T19:06:26Z</cp:lastPrinted>
  <dcterms:created xsi:type="dcterms:W3CDTF">2013-02-05T17:03:04Z</dcterms:created>
  <dcterms:modified xsi:type="dcterms:W3CDTF">2013-02-28T16:55:22Z</dcterms:modified>
</cp:coreProperties>
</file>