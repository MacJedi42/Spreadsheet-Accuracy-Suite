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5540" tabRatio="787"/>
  </bookViews>
  <sheets>
    <sheet name="S3 Conversion rate" sheetId="5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0" i="5" l="1"/>
  <c r="E82" i="5"/>
  <c r="E83" i="5"/>
  <c r="E85" i="5"/>
  <c r="D80" i="5"/>
  <c r="D82" i="5"/>
  <c r="D83" i="5"/>
  <c r="D85" i="5"/>
  <c r="M67" i="5"/>
  <c r="M69" i="5"/>
  <c r="M70" i="5"/>
  <c r="M74" i="5"/>
  <c r="L67" i="5"/>
  <c r="L69" i="5"/>
  <c r="L70" i="5"/>
  <c r="L74" i="5"/>
  <c r="M72" i="5"/>
  <c r="L72" i="5"/>
  <c r="G45" i="5"/>
</calcChain>
</file>

<file path=xl/sharedStrings.xml><?xml version="1.0" encoding="utf-8"?>
<sst xmlns="http://schemas.openxmlformats.org/spreadsheetml/2006/main" count="171" uniqueCount="117">
  <si>
    <t>B2a</t>
  </si>
  <si>
    <t>B2b</t>
  </si>
  <si>
    <t>E1a</t>
  </si>
  <si>
    <t>E1b1b1a</t>
  </si>
  <si>
    <t>118000 year TMRCA, and 25-year generation time</t>
    <phoneticPr fontId="1" type="noConversion"/>
  </si>
  <si>
    <t>Some assumptions  were made about branches not analysed by Repping, i.e. G, K*, R* and S.</t>
  </si>
  <si>
    <t>Branch lengths are taken from Repping et al. (2006) Figure SM-6</t>
  </si>
  <si>
    <t>hg (2008)</t>
    <phoneticPr fontId="1" type="noConversion"/>
  </si>
  <si>
    <t>A2</t>
    <phoneticPr fontId="1" type="noConversion"/>
  </si>
  <si>
    <t>A3</t>
    <phoneticPr fontId="1" type="noConversion"/>
  </si>
  <si>
    <t>C</t>
    <phoneticPr fontId="1" type="noConversion"/>
  </si>
  <si>
    <t>D</t>
    <phoneticPr fontId="1" type="noConversion"/>
  </si>
  <si>
    <t>E3* OR E3A</t>
    <phoneticPr fontId="1" type="noConversion"/>
  </si>
  <si>
    <t>E3b*</t>
    <phoneticPr fontId="1" type="noConversion"/>
  </si>
  <si>
    <t>E3b1</t>
    <phoneticPr fontId="1" type="noConversion"/>
  </si>
  <si>
    <t>E3b3</t>
    <phoneticPr fontId="1" type="noConversion"/>
  </si>
  <si>
    <t>E2</t>
    <phoneticPr fontId="1" type="noConversion"/>
  </si>
  <si>
    <t>E2 x 5</t>
    <phoneticPr fontId="1" type="noConversion"/>
  </si>
  <si>
    <t>F</t>
    <phoneticPr fontId="1" type="noConversion"/>
  </si>
  <si>
    <t>F x 5</t>
  </si>
  <si>
    <t>G</t>
    <phoneticPr fontId="1" type="noConversion"/>
  </si>
  <si>
    <t>G x 15</t>
    <phoneticPr fontId="1" type="noConversion"/>
  </si>
  <si>
    <t>Hst</t>
    <phoneticPr fontId="1" type="noConversion"/>
  </si>
  <si>
    <t>HstXH1</t>
    <phoneticPr fontId="1" type="noConversion"/>
  </si>
  <si>
    <t>H1</t>
    <phoneticPr fontId="1" type="noConversion"/>
  </si>
  <si>
    <t>H1 x 7</t>
    <phoneticPr fontId="1" type="noConversion"/>
  </si>
  <si>
    <t>I</t>
    <phoneticPr fontId="1" type="noConversion"/>
  </si>
  <si>
    <t>I x 5</t>
  </si>
  <si>
    <t>Jst(xJ2)</t>
    <phoneticPr fontId="1" type="noConversion"/>
  </si>
  <si>
    <t>J1</t>
    <phoneticPr fontId="1" type="noConversion"/>
  </si>
  <si>
    <t>J1 x 20</t>
    <phoneticPr fontId="1" type="noConversion"/>
  </si>
  <si>
    <t>J2</t>
    <phoneticPr fontId="1" type="noConversion"/>
  </si>
  <si>
    <t>J2 x 12</t>
  </si>
  <si>
    <t>K</t>
    <phoneticPr fontId="1" type="noConversion"/>
  </si>
  <si>
    <t>K x 2</t>
  </si>
  <si>
    <t>L</t>
    <phoneticPr fontId="1" type="noConversion"/>
  </si>
  <si>
    <t>L x 16</t>
    <phoneticPr fontId="1" type="noConversion"/>
  </si>
  <si>
    <t>M</t>
    <phoneticPr fontId="1" type="noConversion"/>
  </si>
  <si>
    <t>M x 11</t>
  </si>
  <si>
    <t>Nst</t>
    <phoneticPr fontId="1" type="noConversion"/>
  </si>
  <si>
    <t>Nst x 7</t>
    <phoneticPr fontId="1" type="noConversion"/>
  </si>
  <si>
    <t>N3</t>
    <phoneticPr fontId="1" type="noConversion"/>
  </si>
  <si>
    <t>N1c</t>
    <phoneticPr fontId="1" type="noConversion"/>
  </si>
  <si>
    <t>N1c x 16</t>
    <phoneticPr fontId="1" type="noConversion"/>
  </si>
  <si>
    <t>O*</t>
    <phoneticPr fontId="1" type="noConversion"/>
  </si>
  <si>
    <t>O1a</t>
    <phoneticPr fontId="1" type="noConversion"/>
  </si>
  <si>
    <t>O1a x 5</t>
    <phoneticPr fontId="1" type="noConversion"/>
  </si>
  <si>
    <t>O3e</t>
    <phoneticPr fontId="1" type="noConversion"/>
  </si>
  <si>
    <t xml:space="preserve">Q* </t>
  </si>
  <si>
    <t>R*</t>
    <phoneticPr fontId="1" type="noConversion"/>
  </si>
  <si>
    <t>R1a1</t>
    <phoneticPr fontId="1" type="noConversion"/>
  </si>
  <si>
    <t>R1a1 x 17</t>
    <phoneticPr fontId="1" type="noConversion"/>
  </si>
  <si>
    <t>R2</t>
    <phoneticPr fontId="1" type="noConversion"/>
  </si>
  <si>
    <t>R2 x2</t>
    <phoneticPr fontId="1" type="noConversion"/>
  </si>
  <si>
    <t>S1*</t>
  </si>
  <si>
    <t>tot muts (stot)</t>
  </si>
  <si>
    <t>ttot(y)</t>
    <phoneticPr fontId="1" type="noConversion"/>
  </si>
  <si>
    <t>ttot(gen) 25</t>
    <phoneticPr fontId="1" type="noConversion"/>
  </si>
  <si>
    <t>Using the approach of Repping et al. 2006 as a model.</t>
  </si>
  <si>
    <t>hg (2003)</t>
  </si>
  <si>
    <t>mean no of mutations to root</t>
  </si>
  <si>
    <t>minimum no of mutations to root</t>
  </si>
  <si>
    <t>maximum no of mutations to root</t>
  </si>
  <si>
    <t>A2 x 2</t>
  </si>
  <si>
    <t>A3 x1</t>
  </si>
  <si>
    <t>B2a x 4</t>
  </si>
  <si>
    <t>B2b x 11</t>
  </si>
  <si>
    <t>C x 14</t>
  </si>
  <si>
    <t>D x 4</t>
  </si>
  <si>
    <t>E1b1b1*</t>
  </si>
  <si>
    <t>E1b1b1* x 16</t>
  </si>
  <si>
    <t>E1b1b1a x4</t>
  </si>
  <si>
    <t>E1b1b1c</t>
  </si>
  <si>
    <t>E1b1b1c x 1</t>
  </si>
  <si>
    <t>E1a x 2</t>
  </si>
  <si>
    <t>E1b1* &amp; E1b1a7</t>
  </si>
  <si>
    <t>E1b1* &amp; E1b1a7 x 56</t>
  </si>
  <si>
    <t>O* x 21</t>
  </si>
  <si>
    <t>O3*</t>
  </si>
  <si>
    <t>O3*  x 12</t>
  </si>
  <si>
    <t>O3a3c</t>
  </si>
  <si>
    <t>O3a3c x 17</t>
  </si>
  <si>
    <t>Q* x 1</t>
  </si>
  <si>
    <t>Q1a* &amp; Q1a3a</t>
  </si>
  <si>
    <t>Q1a* &amp; Q1a3a x 12</t>
  </si>
  <si>
    <t>R* x 5</t>
  </si>
  <si>
    <t>R1b1b1 &amp; R1b1b2a2*</t>
  </si>
  <si>
    <t>R1b1b1 &amp; R1b1b2a2* x 9</t>
  </si>
  <si>
    <t>R1b1*</t>
  </si>
  <si>
    <t>R1b1* x 2</t>
  </si>
  <si>
    <t>S1* x 2</t>
  </si>
  <si>
    <t>T*</t>
  </si>
  <si>
    <t>B2b x 4</t>
  </si>
  <si>
    <t>C x 2</t>
  </si>
  <si>
    <t>D x 2</t>
  </si>
  <si>
    <t>E1b1* &amp; E1b1a7 x 3</t>
  </si>
  <si>
    <t>E1b1b1* x 4</t>
  </si>
  <si>
    <t>E2 x 2</t>
  </si>
  <si>
    <t>F x 1</t>
  </si>
  <si>
    <t>G x 1</t>
  </si>
  <si>
    <t>J1 x 2</t>
  </si>
  <si>
    <t>I x 2</t>
  </si>
  <si>
    <t>J2 x 5</t>
  </si>
  <si>
    <t>M x 1</t>
  </si>
  <si>
    <t>Nst x 1</t>
  </si>
  <si>
    <t>O* x 5</t>
  </si>
  <si>
    <t>O1a x 1</t>
  </si>
  <si>
    <t>O3*  x 3</t>
  </si>
  <si>
    <t>O3a3c x 1</t>
  </si>
  <si>
    <t>Q1a* &amp; Q1a3a x 1</t>
  </si>
  <si>
    <t>R1b1b1 &amp; R1b1b2a2* x 1</t>
  </si>
  <si>
    <t>B2a x 2</t>
  </si>
  <si>
    <t>rate for 56 gene conversion events</t>
  </si>
  <si>
    <t>rate for 3 inversions</t>
  </si>
  <si>
    <t>Only samples which were phased (n=83) - for inversion rate calculation</t>
  </si>
  <si>
    <t>rate for 146 gene conversion events</t>
  </si>
  <si>
    <t>Table S3. Estmation of gene conversion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</si>
</sst>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Verdana"/>
    </font>
    <font>
      <b/>
      <sz val="18"/>
      <color indexed="56"/>
      <name val="Cambria"/>
      <family val="2"/>
    </font>
    <font>
      <u/>
      <sz val="10"/>
      <color theme="10"/>
      <name val="Verdana"/>
    </font>
    <font>
      <u/>
      <sz val="10"/>
      <color theme="11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/>
    <xf numFmtId="0" fontId="4" fillId="0" borderId="0" xfId="0" applyFont="1"/>
    <xf numFmtId="2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0" borderId="0" xfId="0" applyAlignment="1">
      <alignment wrapText="1"/>
    </xf>
  </cellXfs>
  <cellStyles count="2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tabSelected="1" workbookViewId="0">
      <selection activeCell="A2" sqref="A2"/>
    </sheetView>
  </sheetViews>
  <sheetFormatPr baseColWidth="10" defaultRowHeight="13" x14ac:dyDescent="0"/>
  <cols>
    <col min="3" max="3" width="20" customWidth="1"/>
    <col min="7" max="7" width="9.140625" customWidth="1"/>
    <col min="11" max="11" width="19.7109375" customWidth="1"/>
    <col min="12" max="12" width="12.28515625" bestFit="1" customWidth="1"/>
    <col min="13" max="13" width="13.28515625" customWidth="1"/>
  </cols>
  <sheetData>
    <row r="1" spans="1:14">
      <c r="A1" s="2" t="s">
        <v>116</v>
      </c>
    </row>
    <row r="2" spans="1:14">
      <c r="A2" t="s">
        <v>58</v>
      </c>
    </row>
    <row r="3" spans="1:14">
      <c r="A3" t="s">
        <v>4</v>
      </c>
    </row>
    <row r="4" spans="1:14">
      <c r="A4" t="s">
        <v>5</v>
      </c>
    </row>
    <row r="5" spans="1:14">
      <c r="A5" t="s">
        <v>6</v>
      </c>
    </row>
    <row r="6" spans="1:14">
      <c r="J6" s="2" t="s">
        <v>114</v>
      </c>
    </row>
    <row r="7" spans="1:14" ht="52">
      <c r="B7" s="5" t="s">
        <v>59</v>
      </c>
      <c r="C7" s="5" t="s">
        <v>7</v>
      </c>
      <c r="D7" s="4" t="s">
        <v>61</v>
      </c>
      <c r="E7" s="4" t="s">
        <v>62</v>
      </c>
      <c r="F7" s="2"/>
      <c r="G7" s="4" t="s">
        <v>60</v>
      </c>
      <c r="J7" s="5" t="s">
        <v>59</v>
      </c>
      <c r="K7" s="5" t="s">
        <v>7</v>
      </c>
      <c r="L7" s="4" t="s">
        <v>61</v>
      </c>
      <c r="M7" s="4" t="s">
        <v>62</v>
      </c>
      <c r="N7" s="6"/>
    </row>
    <row r="8" spans="1:14">
      <c r="C8" t="s">
        <v>8</v>
      </c>
      <c r="D8">
        <v>4</v>
      </c>
      <c r="E8">
        <v>4</v>
      </c>
      <c r="G8">
        <v>4</v>
      </c>
      <c r="K8" t="s">
        <v>8</v>
      </c>
      <c r="L8">
        <v>4</v>
      </c>
      <c r="M8">
        <v>4</v>
      </c>
    </row>
    <row r="9" spans="1:14">
      <c r="C9" t="s">
        <v>63</v>
      </c>
      <c r="D9">
        <v>0</v>
      </c>
      <c r="E9">
        <v>8</v>
      </c>
      <c r="G9">
        <v>7</v>
      </c>
      <c r="K9" t="s">
        <v>9</v>
      </c>
      <c r="L9">
        <v>7</v>
      </c>
      <c r="M9">
        <v>7</v>
      </c>
    </row>
    <row r="10" spans="1:14">
      <c r="C10" t="s">
        <v>9</v>
      </c>
      <c r="D10">
        <v>7</v>
      </c>
      <c r="E10">
        <v>7</v>
      </c>
      <c r="G10">
        <v>7</v>
      </c>
      <c r="K10" t="s">
        <v>64</v>
      </c>
      <c r="L10">
        <v>0</v>
      </c>
      <c r="M10">
        <v>3</v>
      </c>
    </row>
    <row r="11" spans="1:14">
      <c r="C11" t="s">
        <v>64</v>
      </c>
      <c r="D11">
        <v>0</v>
      </c>
      <c r="E11">
        <v>3</v>
      </c>
      <c r="G11">
        <v>9</v>
      </c>
      <c r="K11" t="s">
        <v>0</v>
      </c>
      <c r="L11">
        <v>7</v>
      </c>
      <c r="M11">
        <v>7</v>
      </c>
      <c r="N11" s="1"/>
    </row>
    <row r="12" spans="1:14">
      <c r="C12" t="s">
        <v>0</v>
      </c>
      <c r="D12">
        <v>7</v>
      </c>
      <c r="E12">
        <v>7</v>
      </c>
      <c r="G12">
        <v>7</v>
      </c>
      <c r="K12" t="s">
        <v>111</v>
      </c>
      <c r="L12">
        <v>0</v>
      </c>
      <c r="M12">
        <v>4</v>
      </c>
    </row>
    <row r="13" spans="1:14">
      <c r="C13" t="s">
        <v>65</v>
      </c>
      <c r="D13">
        <v>0</v>
      </c>
      <c r="E13">
        <v>8</v>
      </c>
      <c r="G13">
        <v>9</v>
      </c>
      <c r="K13" t="s">
        <v>1</v>
      </c>
      <c r="L13">
        <v>9</v>
      </c>
      <c r="M13">
        <v>9</v>
      </c>
    </row>
    <row r="14" spans="1:14">
      <c r="C14" t="s">
        <v>1</v>
      </c>
      <c r="D14">
        <v>9</v>
      </c>
      <c r="E14">
        <v>9</v>
      </c>
      <c r="G14">
        <v>8</v>
      </c>
      <c r="K14" t="s">
        <v>92</v>
      </c>
      <c r="L14">
        <v>0</v>
      </c>
      <c r="M14">
        <v>16</v>
      </c>
    </row>
    <row r="15" spans="1:14">
      <c r="C15" t="s">
        <v>66</v>
      </c>
      <c r="D15">
        <v>0</v>
      </c>
      <c r="E15">
        <v>44</v>
      </c>
      <c r="G15">
        <v>9</v>
      </c>
      <c r="K15" t="s">
        <v>10</v>
      </c>
      <c r="L15">
        <v>7</v>
      </c>
      <c r="M15">
        <v>7</v>
      </c>
    </row>
    <row r="16" spans="1:14">
      <c r="C16" t="s">
        <v>10</v>
      </c>
      <c r="D16">
        <v>7</v>
      </c>
      <c r="E16">
        <v>7</v>
      </c>
      <c r="G16">
        <v>10</v>
      </c>
      <c r="K16" t="s">
        <v>93</v>
      </c>
      <c r="L16">
        <v>0</v>
      </c>
      <c r="M16">
        <v>6</v>
      </c>
    </row>
    <row r="17" spans="2:13">
      <c r="C17" t="s">
        <v>67</v>
      </c>
      <c r="D17">
        <v>0</v>
      </c>
      <c r="E17">
        <v>42</v>
      </c>
      <c r="G17">
        <v>9</v>
      </c>
      <c r="K17" t="s">
        <v>11</v>
      </c>
      <c r="L17">
        <v>9</v>
      </c>
      <c r="M17">
        <v>9</v>
      </c>
    </row>
    <row r="18" spans="2:13">
      <c r="C18" t="s">
        <v>11</v>
      </c>
      <c r="D18">
        <v>9</v>
      </c>
      <c r="E18">
        <v>9</v>
      </c>
      <c r="G18">
        <v>11</v>
      </c>
      <c r="K18" t="s">
        <v>94</v>
      </c>
      <c r="L18">
        <v>0</v>
      </c>
      <c r="M18">
        <v>8</v>
      </c>
    </row>
    <row r="19" spans="2:13">
      <c r="C19" t="s">
        <v>68</v>
      </c>
      <c r="D19">
        <v>0</v>
      </c>
      <c r="E19">
        <v>16</v>
      </c>
      <c r="G19">
        <v>7</v>
      </c>
      <c r="K19" t="s">
        <v>2</v>
      </c>
      <c r="L19">
        <v>8</v>
      </c>
      <c r="M19">
        <v>8</v>
      </c>
    </row>
    <row r="20" spans="2:13">
      <c r="C20" t="s">
        <v>2</v>
      </c>
      <c r="D20">
        <v>8</v>
      </c>
      <c r="E20">
        <v>8</v>
      </c>
      <c r="G20">
        <v>10</v>
      </c>
      <c r="J20" t="s">
        <v>12</v>
      </c>
      <c r="K20" t="s">
        <v>75</v>
      </c>
      <c r="L20">
        <v>9</v>
      </c>
      <c r="M20">
        <v>9</v>
      </c>
    </row>
    <row r="21" spans="2:13">
      <c r="C21" t="s">
        <v>74</v>
      </c>
      <c r="D21">
        <v>0</v>
      </c>
      <c r="E21">
        <v>2</v>
      </c>
      <c r="G21">
        <v>10</v>
      </c>
      <c r="K21" s="1" t="s">
        <v>95</v>
      </c>
      <c r="L21" s="1">
        <v>0</v>
      </c>
      <c r="M21" s="1">
        <v>6</v>
      </c>
    </row>
    <row r="22" spans="2:13">
      <c r="B22" t="s">
        <v>12</v>
      </c>
      <c r="C22" t="s">
        <v>75</v>
      </c>
      <c r="D22">
        <v>9</v>
      </c>
      <c r="E22">
        <v>9</v>
      </c>
      <c r="G22">
        <v>8</v>
      </c>
      <c r="J22" t="s">
        <v>13</v>
      </c>
      <c r="K22" s="1" t="s">
        <v>69</v>
      </c>
      <c r="L22">
        <v>10</v>
      </c>
      <c r="M22">
        <v>10</v>
      </c>
    </row>
    <row r="23" spans="2:13">
      <c r="C23" s="1" t="s">
        <v>76</v>
      </c>
      <c r="D23" s="1">
        <v>0</v>
      </c>
      <c r="E23" s="1">
        <v>112</v>
      </c>
      <c r="G23">
        <v>10</v>
      </c>
      <c r="K23" t="s">
        <v>96</v>
      </c>
      <c r="L23">
        <v>0</v>
      </c>
      <c r="M23">
        <v>4</v>
      </c>
    </row>
    <row r="24" spans="2:13">
      <c r="B24" t="s">
        <v>13</v>
      </c>
      <c r="C24" t="s">
        <v>69</v>
      </c>
      <c r="D24">
        <v>10</v>
      </c>
      <c r="E24">
        <v>10</v>
      </c>
      <c r="G24">
        <v>7</v>
      </c>
      <c r="J24" t="s">
        <v>14</v>
      </c>
      <c r="K24" t="s">
        <v>3</v>
      </c>
      <c r="L24">
        <v>9</v>
      </c>
      <c r="M24">
        <v>9</v>
      </c>
    </row>
    <row r="25" spans="2:13">
      <c r="C25" t="s">
        <v>70</v>
      </c>
      <c r="D25">
        <v>0</v>
      </c>
      <c r="E25">
        <v>16</v>
      </c>
      <c r="G25">
        <v>8</v>
      </c>
      <c r="J25" t="s">
        <v>15</v>
      </c>
      <c r="K25" t="s">
        <v>72</v>
      </c>
      <c r="L25">
        <v>11</v>
      </c>
      <c r="M25">
        <v>11</v>
      </c>
    </row>
    <row r="26" spans="2:13">
      <c r="B26" t="s">
        <v>14</v>
      </c>
      <c r="C26" t="s">
        <v>3</v>
      </c>
      <c r="D26">
        <v>9</v>
      </c>
      <c r="E26">
        <v>9</v>
      </c>
      <c r="G26">
        <v>9</v>
      </c>
      <c r="K26" t="s">
        <v>16</v>
      </c>
      <c r="L26">
        <v>7</v>
      </c>
      <c r="M26">
        <v>7</v>
      </c>
    </row>
    <row r="27" spans="2:13">
      <c r="C27" t="s">
        <v>71</v>
      </c>
      <c r="D27">
        <v>0</v>
      </c>
      <c r="E27">
        <v>0</v>
      </c>
      <c r="G27">
        <v>9</v>
      </c>
      <c r="K27" t="s">
        <v>97</v>
      </c>
      <c r="L27">
        <v>0</v>
      </c>
      <c r="M27">
        <v>0</v>
      </c>
    </row>
    <row r="28" spans="2:13">
      <c r="B28" t="s">
        <v>15</v>
      </c>
      <c r="C28" t="s">
        <v>72</v>
      </c>
      <c r="D28">
        <v>11</v>
      </c>
      <c r="E28">
        <v>11</v>
      </c>
      <c r="G28">
        <v>8</v>
      </c>
      <c r="K28" t="s">
        <v>18</v>
      </c>
      <c r="L28">
        <v>10</v>
      </c>
      <c r="M28">
        <v>10</v>
      </c>
    </row>
    <row r="29" spans="2:13">
      <c r="C29" t="s">
        <v>73</v>
      </c>
      <c r="D29">
        <v>0</v>
      </c>
      <c r="E29">
        <v>2</v>
      </c>
      <c r="G29">
        <v>9</v>
      </c>
      <c r="K29" t="s">
        <v>98</v>
      </c>
      <c r="L29">
        <v>0</v>
      </c>
      <c r="M29">
        <v>4</v>
      </c>
    </row>
    <row r="30" spans="2:13">
      <c r="C30" t="s">
        <v>16</v>
      </c>
      <c r="D30">
        <v>7</v>
      </c>
      <c r="E30">
        <v>7</v>
      </c>
      <c r="G30">
        <v>9</v>
      </c>
      <c r="K30" t="s">
        <v>20</v>
      </c>
      <c r="L30">
        <v>10</v>
      </c>
      <c r="M30">
        <v>10</v>
      </c>
    </row>
    <row r="31" spans="2:13">
      <c r="C31" t="s">
        <v>17</v>
      </c>
      <c r="D31">
        <v>0</v>
      </c>
      <c r="E31">
        <v>0</v>
      </c>
      <c r="G31">
        <v>10</v>
      </c>
      <c r="K31" t="s">
        <v>99</v>
      </c>
      <c r="L31">
        <v>0</v>
      </c>
      <c r="M31">
        <v>4</v>
      </c>
    </row>
    <row r="32" spans="2:13">
      <c r="C32" t="s">
        <v>18</v>
      </c>
      <c r="D32">
        <v>10</v>
      </c>
      <c r="E32">
        <v>10</v>
      </c>
      <c r="G32" s="1">
        <v>8</v>
      </c>
      <c r="K32" t="s">
        <v>22</v>
      </c>
      <c r="L32">
        <v>8</v>
      </c>
      <c r="M32">
        <v>8</v>
      </c>
    </row>
    <row r="33" spans="2:13">
      <c r="C33" t="s">
        <v>19</v>
      </c>
      <c r="D33">
        <v>0</v>
      </c>
      <c r="E33">
        <v>20</v>
      </c>
      <c r="G33" s="1">
        <v>8</v>
      </c>
      <c r="J33" t="s">
        <v>23</v>
      </c>
      <c r="K33" t="s">
        <v>24</v>
      </c>
      <c r="L33">
        <v>10</v>
      </c>
      <c r="M33">
        <v>10</v>
      </c>
    </row>
    <row r="34" spans="2:13">
      <c r="C34" t="s">
        <v>20</v>
      </c>
      <c r="D34">
        <v>10</v>
      </c>
      <c r="E34">
        <v>10</v>
      </c>
      <c r="G34" s="1">
        <v>9</v>
      </c>
      <c r="K34" t="s">
        <v>26</v>
      </c>
      <c r="L34">
        <v>7</v>
      </c>
      <c r="M34">
        <v>7</v>
      </c>
    </row>
    <row r="35" spans="2:13">
      <c r="C35" t="s">
        <v>21</v>
      </c>
      <c r="D35">
        <v>0</v>
      </c>
      <c r="E35">
        <v>60</v>
      </c>
      <c r="G35" s="1">
        <v>9</v>
      </c>
      <c r="K35" t="s">
        <v>101</v>
      </c>
      <c r="L35">
        <v>0</v>
      </c>
      <c r="M35">
        <v>2</v>
      </c>
    </row>
    <row r="36" spans="2:13">
      <c r="C36" t="s">
        <v>22</v>
      </c>
      <c r="D36">
        <v>8</v>
      </c>
      <c r="E36">
        <v>8</v>
      </c>
      <c r="G36" s="1">
        <v>9</v>
      </c>
      <c r="J36" t="s">
        <v>28</v>
      </c>
      <c r="K36" t="s">
        <v>29</v>
      </c>
      <c r="L36">
        <v>8</v>
      </c>
      <c r="M36">
        <v>8</v>
      </c>
    </row>
    <row r="37" spans="2:13">
      <c r="B37" t="s">
        <v>23</v>
      </c>
      <c r="C37" t="s">
        <v>24</v>
      </c>
      <c r="D37">
        <v>10</v>
      </c>
      <c r="E37">
        <v>10</v>
      </c>
      <c r="G37" s="1">
        <v>7</v>
      </c>
      <c r="K37" t="s">
        <v>100</v>
      </c>
      <c r="L37">
        <v>0</v>
      </c>
      <c r="M37">
        <v>2</v>
      </c>
    </row>
    <row r="38" spans="2:13">
      <c r="C38" t="s">
        <v>25</v>
      </c>
      <c r="D38">
        <v>0</v>
      </c>
      <c r="E38">
        <v>14</v>
      </c>
      <c r="G38" s="1">
        <v>7</v>
      </c>
      <c r="K38" t="s">
        <v>31</v>
      </c>
      <c r="L38">
        <v>9</v>
      </c>
      <c r="M38">
        <v>9</v>
      </c>
    </row>
    <row r="39" spans="2:13">
      <c r="C39" t="s">
        <v>26</v>
      </c>
      <c r="D39">
        <v>7</v>
      </c>
      <c r="E39">
        <v>7</v>
      </c>
      <c r="G39">
        <v>12</v>
      </c>
      <c r="K39" t="s">
        <v>102</v>
      </c>
      <c r="L39">
        <v>0</v>
      </c>
      <c r="M39">
        <v>10</v>
      </c>
    </row>
    <row r="40" spans="2:13">
      <c r="C40" t="s">
        <v>27</v>
      </c>
      <c r="D40">
        <v>0</v>
      </c>
      <c r="E40">
        <v>5</v>
      </c>
      <c r="G40">
        <v>10</v>
      </c>
      <c r="K40" t="s">
        <v>33</v>
      </c>
      <c r="L40">
        <v>9</v>
      </c>
      <c r="M40">
        <v>9</v>
      </c>
    </row>
    <row r="41" spans="2:13">
      <c r="B41" t="s">
        <v>28</v>
      </c>
      <c r="C41" t="s">
        <v>29</v>
      </c>
      <c r="D41">
        <v>8</v>
      </c>
      <c r="E41">
        <v>8</v>
      </c>
      <c r="G41">
        <v>9</v>
      </c>
      <c r="K41" t="s">
        <v>35</v>
      </c>
      <c r="L41">
        <v>8</v>
      </c>
      <c r="M41">
        <v>8</v>
      </c>
    </row>
    <row r="42" spans="2:13">
      <c r="C42" t="s">
        <v>30</v>
      </c>
      <c r="D42">
        <v>0</v>
      </c>
      <c r="E42">
        <v>20</v>
      </c>
      <c r="G42">
        <v>9</v>
      </c>
      <c r="K42" t="s">
        <v>37</v>
      </c>
      <c r="L42">
        <v>9</v>
      </c>
      <c r="M42">
        <v>9</v>
      </c>
    </row>
    <row r="43" spans="2:13">
      <c r="C43" t="s">
        <v>31</v>
      </c>
      <c r="D43">
        <v>9</v>
      </c>
      <c r="E43">
        <v>9</v>
      </c>
      <c r="G43">
        <v>11</v>
      </c>
      <c r="K43" t="s">
        <v>103</v>
      </c>
      <c r="L43">
        <v>0</v>
      </c>
      <c r="M43">
        <v>3</v>
      </c>
    </row>
    <row r="44" spans="2:13">
      <c r="C44" t="s">
        <v>32</v>
      </c>
      <c r="D44">
        <v>0</v>
      </c>
      <c r="E44">
        <v>24</v>
      </c>
      <c r="G44">
        <v>11</v>
      </c>
      <c r="K44" t="s">
        <v>39</v>
      </c>
      <c r="L44">
        <v>9</v>
      </c>
      <c r="M44">
        <v>9</v>
      </c>
    </row>
    <row r="45" spans="2:13">
      <c r="C45" t="s">
        <v>33</v>
      </c>
      <c r="D45">
        <v>9</v>
      </c>
      <c r="E45">
        <v>9</v>
      </c>
      <c r="G45" s="3">
        <f>AVERAGE(G8:G44)</f>
        <v>8.7297297297297298</v>
      </c>
      <c r="K45" t="s">
        <v>104</v>
      </c>
      <c r="L45">
        <v>0</v>
      </c>
      <c r="M45">
        <v>0</v>
      </c>
    </row>
    <row r="46" spans="2:13">
      <c r="C46" t="s">
        <v>34</v>
      </c>
      <c r="D46">
        <v>0</v>
      </c>
      <c r="E46">
        <v>6</v>
      </c>
      <c r="J46" t="s">
        <v>41</v>
      </c>
      <c r="K46" t="s">
        <v>42</v>
      </c>
      <c r="L46">
        <v>10</v>
      </c>
      <c r="M46">
        <v>10</v>
      </c>
    </row>
    <row r="47" spans="2:13">
      <c r="C47" t="s">
        <v>35</v>
      </c>
      <c r="D47">
        <v>8</v>
      </c>
      <c r="E47">
        <v>8</v>
      </c>
      <c r="K47" t="s">
        <v>44</v>
      </c>
      <c r="L47" s="1">
        <v>8</v>
      </c>
      <c r="M47">
        <v>8</v>
      </c>
    </row>
    <row r="48" spans="2:13">
      <c r="C48" t="s">
        <v>36</v>
      </c>
      <c r="D48">
        <v>0</v>
      </c>
      <c r="E48">
        <v>32</v>
      </c>
      <c r="K48" t="s">
        <v>105</v>
      </c>
      <c r="L48">
        <v>0</v>
      </c>
      <c r="M48">
        <v>5</v>
      </c>
    </row>
    <row r="49" spans="2:13">
      <c r="C49" t="s">
        <v>37</v>
      </c>
      <c r="D49">
        <v>9</v>
      </c>
      <c r="E49">
        <v>9</v>
      </c>
      <c r="K49" t="s">
        <v>45</v>
      </c>
      <c r="L49">
        <v>8</v>
      </c>
      <c r="M49">
        <v>8</v>
      </c>
    </row>
    <row r="50" spans="2:13">
      <c r="C50" t="s">
        <v>38</v>
      </c>
      <c r="D50">
        <v>0</v>
      </c>
      <c r="E50">
        <v>33</v>
      </c>
      <c r="K50" t="s">
        <v>106</v>
      </c>
      <c r="L50">
        <v>0</v>
      </c>
      <c r="M50">
        <v>1</v>
      </c>
    </row>
    <row r="51" spans="2:13">
      <c r="C51" t="s">
        <v>39</v>
      </c>
      <c r="D51">
        <v>9</v>
      </c>
      <c r="E51">
        <v>9</v>
      </c>
      <c r="K51" t="s">
        <v>78</v>
      </c>
      <c r="L51">
        <v>9</v>
      </c>
      <c r="M51">
        <v>9</v>
      </c>
    </row>
    <row r="52" spans="2:13">
      <c r="C52" t="s">
        <v>40</v>
      </c>
      <c r="D52">
        <v>0</v>
      </c>
      <c r="E52">
        <v>0</v>
      </c>
      <c r="K52" t="s">
        <v>107</v>
      </c>
      <c r="L52">
        <v>0</v>
      </c>
      <c r="M52">
        <v>3</v>
      </c>
    </row>
    <row r="53" spans="2:13">
      <c r="B53" t="s">
        <v>41</v>
      </c>
      <c r="C53" t="s">
        <v>42</v>
      </c>
      <c r="D53">
        <v>10</v>
      </c>
      <c r="E53">
        <v>10</v>
      </c>
      <c r="J53" t="s">
        <v>47</v>
      </c>
      <c r="K53" t="s">
        <v>80</v>
      </c>
      <c r="L53">
        <v>9</v>
      </c>
      <c r="M53">
        <v>9</v>
      </c>
    </row>
    <row r="54" spans="2:13">
      <c r="C54" t="s">
        <v>43</v>
      </c>
      <c r="D54">
        <v>0</v>
      </c>
      <c r="E54">
        <v>16</v>
      </c>
      <c r="K54" t="s">
        <v>108</v>
      </c>
      <c r="L54">
        <v>0</v>
      </c>
      <c r="M54">
        <v>1</v>
      </c>
    </row>
    <row r="55" spans="2:13">
      <c r="C55" t="s">
        <v>44</v>
      </c>
      <c r="D55" s="1">
        <v>8</v>
      </c>
      <c r="E55">
        <v>8</v>
      </c>
      <c r="K55" t="s">
        <v>48</v>
      </c>
      <c r="L55">
        <v>9</v>
      </c>
      <c r="M55">
        <v>9</v>
      </c>
    </row>
    <row r="56" spans="2:13">
      <c r="C56" t="s">
        <v>77</v>
      </c>
      <c r="D56">
        <v>0</v>
      </c>
      <c r="E56">
        <v>21</v>
      </c>
      <c r="K56" t="s">
        <v>82</v>
      </c>
      <c r="L56">
        <v>0</v>
      </c>
      <c r="M56">
        <v>2</v>
      </c>
    </row>
    <row r="57" spans="2:13">
      <c r="C57" t="s">
        <v>45</v>
      </c>
      <c r="D57">
        <v>8</v>
      </c>
      <c r="E57">
        <v>8</v>
      </c>
      <c r="K57" t="s">
        <v>83</v>
      </c>
      <c r="L57">
        <v>7</v>
      </c>
      <c r="M57">
        <v>7</v>
      </c>
    </row>
    <row r="58" spans="2:13">
      <c r="C58" t="s">
        <v>46</v>
      </c>
      <c r="D58">
        <v>0</v>
      </c>
      <c r="E58">
        <v>5</v>
      </c>
      <c r="K58" t="s">
        <v>109</v>
      </c>
      <c r="L58">
        <v>0</v>
      </c>
      <c r="M58">
        <v>0</v>
      </c>
    </row>
    <row r="59" spans="2:13">
      <c r="C59" t="s">
        <v>78</v>
      </c>
      <c r="D59">
        <v>9</v>
      </c>
      <c r="E59">
        <v>9</v>
      </c>
      <c r="K59" t="s">
        <v>49</v>
      </c>
      <c r="L59" s="1">
        <v>7</v>
      </c>
      <c r="M59">
        <v>7</v>
      </c>
    </row>
    <row r="60" spans="2:13">
      <c r="C60" t="s">
        <v>79</v>
      </c>
      <c r="D60">
        <v>0</v>
      </c>
      <c r="E60">
        <v>12</v>
      </c>
      <c r="K60" t="s">
        <v>50</v>
      </c>
      <c r="L60">
        <v>12</v>
      </c>
      <c r="M60">
        <v>12</v>
      </c>
    </row>
    <row r="61" spans="2:13">
      <c r="B61" t="s">
        <v>47</v>
      </c>
      <c r="C61" t="s">
        <v>80</v>
      </c>
      <c r="D61">
        <v>9</v>
      </c>
      <c r="E61">
        <v>9</v>
      </c>
      <c r="K61" t="s">
        <v>86</v>
      </c>
      <c r="L61">
        <v>10</v>
      </c>
      <c r="M61">
        <v>10</v>
      </c>
    </row>
    <row r="62" spans="2:13">
      <c r="C62" t="s">
        <v>81</v>
      </c>
      <c r="D62">
        <v>0</v>
      </c>
      <c r="E62">
        <v>17</v>
      </c>
      <c r="K62" t="s">
        <v>110</v>
      </c>
      <c r="L62">
        <v>0</v>
      </c>
      <c r="M62">
        <v>1</v>
      </c>
    </row>
    <row r="63" spans="2:13">
      <c r="C63" t="s">
        <v>48</v>
      </c>
      <c r="D63">
        <v>9</v>
      </c>
      <c r="E63">
        <v>9</v>
      </c>
      <c r="K63" t="s">
        <v>88</v>
      </c>
      <c r="L63">
        <v>9</v>
      </c>
      <c r="M63">
        <v>9</v>
      </c>
    </row>
    <row r="64" spans="2:13">
      <c r="C64" t="s">
        <v>82</v>
      </c>
      <c r="D64">
        <v>0</v>
      </c>
      <c r="E64">
        <v>2</v>
      </c>
      <c r="K64" t="s">
        <v>52</v>
      </c>
      <c r="L64">
        <v>9</v>
      </c>
      <c r="M64">
        <v>9</v>
      </c>
    </row>
    <row r="65" spans="3:14">
      <c r="C65" t="s">
        <v>83</v>
      </c>
      <c r="D65">
        <v>7</v>
      </c>
      <c r="E65">
        <v>7</v>
      </c>
      <c r="K65" t="s">
        <v>54</v>
      </c>
      <c r="L65">
        <v>11</v>
      </c>
      <c r="M65">
        <v>11</v>
      </c>
    </row>
    <row r="66" spans="3:14">
      <c r="C66" t="s">
        <v>84</v>
      </c>
      <c r="D66">
        <v>0</v>
      </c>
      <c r="E66">
        <v>0</v>
      </c>
      <c r="K66" t="s">
        <v>91</v>
      </c>
      <c r="L66">
        <v>11</v>
      </c>
      <c r="M66">
        <v>11</v>
      </c>
    </row>
    <row r="67" spans="3:14">
      <c r="C67" t="s">
        <v>49</v>
      </c>
      <c r="D67" s="1">
        <v>7</v>
      </c>
      <c r="E67">
        <v>7</v>
      </c>
      <c r="K67" s="2" t="s">
        <v>55</v>
      </c>
      <c r="L67" s="2">
        <f>SUM(L8:L66)</f>
        <v>323</v>
      </c>
      <c r="M67" s="2">
        <f>SUM(M8:M66)</f>
        <v>408</v>
      </c>
      <c r="N67" s="2"/>
    </row>
    <row r="68" spans="3:14">
      <c r="C68" t="s">
        <v>85</v>
      </c>
      <c r="D68">
        <v>0</v>
      </c>
      <c r="E68">
        <v>0</v>
      </c>
    </row>
    <row r="69" spans="3:14">
      <c r="C69" t="s">
        <v>50</v>
      </c>
      <c r="D69">
        <v>12</v>
      </c>
      <c r="E69">
        <v>12</v>
      </c>
      <c r="K69" t="s">
        <v>56</v>
      </c>
      <c r="L69">
        <f>118000*(L67/8.73)</f>
        <v>4365864.8339060703</v>
      </c>
      <c r="M69">
        <f>118000*(M67/8.73)</f>
        <v>5514776.6323024053</v>
      </c>
    </row>
    <row r="70" spans="3:14">
      <c r="C70" t="s">
        <v>51</v>
      </c>
      <c r="D70">
        <v>0</v>
      </c>
      <c r="E70">
        <v>51</v>
      </c>
      <c r="K70" t="s">
        <v>57</v>
      </c>
      <c r="L70">
        <f>L69/25</f>
        <v>174634.59335624281</v>
      </c>
      <c r="M70">
        <f>M69/25</f>
        <v>220591.0652920962</v>
      </c>
    </row>
    <row r="71" spans="3:14">
      <c r="C71" t="s">
        <v>86</v>
      </c>
      <c r="D71">
        <v>10</v>
      </c>
      <c r="E71">
        <v>10</v>
      </c>
    </row>
    <row r="72" spans="3:14" ht="26">
      <c r="C72" t="s">
        <v>87</v>
      </c>
      <c r="D72">
        <v>0</v>
      </c>
      <c r="E72">
        <v>9</v>
      </c>
      <c r="K72" s="6" t="s">
        <v>112</v>
      </c>
      <c r="L72">
        <f>56/L70</f>
        <v>3.206695702366585E-4</v>
      </c>
      <c r="M72">
        <f>56/M70</f>
        <v>2.5386340977068798E-4</v>
      </c>
    </row>
    <row r="73" spans="3:14">
      <c r="C73" t="s">
        <v>88</v>
      </c>
      <c r="D73">
        <v>9</v>
      </c>
      <c r="E73">
        <v>9</v>
      </c>
    </row>
    <row r="74" spans="3:14">
      <c r="C74" t="s">
        <v>89</v>
      </c>
      <c r="D74">
        <v>0</v>
      </c>
      <c r="E74">
        <v>0</v>
      </c>
      <c r="K74" t="s">
        <v>113</v>
      </c>
      <c r="L74">
        <f>3/L70</f>
        <v>1.7178726976963847E-5</v>
      </c>
      <c r="M74">
        <f>3/M70</f>
        <v>1.3599825523429712E-5</v>
      </c>
    </row>
    <row r="75" spans="3:14">
      <c r="C75" t="s">
        <v>52</v>
      </c>
      <c r="D75">
        <v>9</v>
      </c>
      <c r="E75">
        <v>9</v>
      </c>
    </row>
    <row r="76" spans="3:14">
      <c r="C76" t="s">
        <v>53</v>
      </c>
      <c r="D76">
        <v>0</v>
      </c>
      <c r="E76">
        <v>2</v>
      </c>
    </row>
    <row r="77" spans="3:14">
      <c r="C77" t="s">
        <v>54</v>
      </c>
      <c r="D77">
        <v>11</v>
      </c>
      <c r="E77">
        <v>11</v>
      </c>
    </row>
    <row r="78" spans="3:14">
      <c r="C78" t="s">
        <v>90</v>
      </c>
      <c r="D78">
        <v>0</v>
      </c>
      <c r="E78">
        <v>10</v>
      </c>
    </row>
    <row r="79" spans="3:14">
      <c r="C79" t="s">
        <v>91</v>
      </c>
      <c r="D79">
        <v>11</v>
      </c>
      <c r="E79">
        <v>11</v>
      </c>
    </row>
    <row r="80" spans="3:14">
      <c r="C80" s="2" t="s">
        <v>55</v>
      </c>
      <c r="D80" s="2">
        <f>SUM(D8:D79)</f>
        <v>323</v>
      </c>
      <c r="E80" s="2">
        <f>SUM(E8:E79)</f>
        <v>935</v>
      </c>
    </row>
    <row r="82" spans="3:5">
      <c r="C82" t="s">
        <v>56</v>
      </c>
      <c r="D82">
        <f>118000*(D80/8.73)</f>
        <v>4365864.8339060703</v>
      </c>
      <c r="E82">
        <f>118000*(E80/8.73)</f>
        <v>12638029.782359678</v>
      </c>
    </row>
    <row r="83" spans="3:5">
      <c r="C83" t="s">
        <v>57</v>
      </c>
      <c r="D83">
        <f>D82/25</f>
        <v>174634.59335624281</v>
      </c>
      <c r="E83">
        <f>E82/25</f>
        <v>505521.19129438716</v>
      </c>
    </row>
    <row r="85" spans="3:5" ht="26">
      <c r="C85" s="6" t="s">
        <v>115</v>
      </c>
      <c r="D85">
        <f>146/D83</f>
        <v>8.36031379545574E-4</v>
      </c>
      <c r="E85">
        <f>146/E83</f>
        <v>2.8881084020665275E-4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 Conversion rate</vt:lpstr>
    </vt:vector>
  </TitlesOfParts>
  <Company>Univ.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Pille Hallast</dc:creator>
  <cp:lastModifiedBy>P H</cp:lastModifiedBy>
  <cp:lastPrinted>2011-10-28T08:21:33Z</cp:lastPrinted>
  <dcterms:created xsi:type="dcterms:W3CDTF">2011-08-12T14:23:47Z</dcterms:created>
  <dcterms:modified xsi:type="dcterms:W3CDTF">2013-06-20T14:45:02Z</dcterms:modified>
</cp:coreProperties>
</file>