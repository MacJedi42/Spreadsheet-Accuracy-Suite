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docProps/core.xml" ContentType="application/vnd.openxmlformats-package.core-properties+xml"/>
  <Default Extension="xml" ContentType="application/xml"/>
  <Override PartName="/xl/worksheets/sheet3.xml" ContentType="application/vnd.openxmlformats-officedocument.spreadsheetml.worksheet+xml"/>
  <Override PartName="/xl/theme/theme1.xml" ContentType="application/vnd.openxmlformats-officedocument.theme+xml"/>
  <Override PartName="/xl/worksheets/sheet4.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7.xml" ContentType="application/vnd.openxmlformats-officedocument.spreadsheetml.worksheet+xml"/>
  <Default Extension="rels" ContentType="application/vnd.openxmlformats-package.relationships+xml"/>
  <Override PartName="/xl/worksheets/sheet6.xml" ContentType="application/vnd.openxmlformats-officedocument.spreadsheetml.worksheet+xml"/>
  <Override PartName="/xl/worksheets/sheet5.xml" ContentType="application/vnd.openxmlformats-officedocument.spreadsheetml.worksheet+xml"/>
  <Override PartName="/xl/calcChain.xml" ContentType="application/vnd.openxmlformats-officedocument.spreadsheetml.calcChain+xml"/>
  <Override PartName="/xl/styles.xml" ContentType="application/vnd.openxmlformats-officedocument.spreadsheetml.styl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aveExternalLinkValues="0" codeName="ThisWorkbook" autoCompressPictures="0"/>
  <bookViews>
    <workbookView xWindow="0" yWindow="20" windowWidth="23840" windowHeight="13180" activeTab="6"/>
  </bookViews>
  <sheets>
    <sheet name="GENERAL INFOMRATION" sheetId="15" r:id="rId1"/>
    <sheet name="Balance sheet" sheetId="19" r:id="rId2"/>
    <sheet name="P&amp;L" sheetId="18" r:id="rId3"/>
    <sheet name="CF_I" sheetId="20" r:id="rId4"/>
    <sheet name="NT_D" sheetId="21" state="hidden" r:id="rId5"/>
    <sheet name="CC" sheetId="17" r:id="rId6"/>
    <sheet name="Notes" sheetId="16" r:id="rId7"/>
  </sheets>
  <definedNames>
    <definedName name="_xlnm.Print_Area" localSheetId="5">CC!$A$1:$K$25</definedName>
    <definedName name="_xlnm.Print_Area" localSheetId="3">CF_I!$A$1:$K$52</definedName>
    <definedName name="_xlnm.Print_Area" localSheetId="0">'GENERAL INFOMRATION'!$A$1:$I$63</definedName>
    <definedName name="_xlnm.Print_Area" localSheetId="6">Notes!$A$1:$I$487</definedName>
  </definedNames>
  <calcPr calcId="125725"/>
  <extLst>
    <ext xmlns:mx="http://schemas.microsoft.com/office/mac/excel/2008/main" uri="http://schemas.microsoft.com/office/mac/excel/2008/main">
      <mx:ArchID Flags="2"/>
    </ext>
  </extLst>
</workbook>
</file>

<file path=xl/calcChain.xml><?xml version="1.0" encoding="utf-8"?>
<calcChain xmlns="http://schemas.openxmlformats.org/spreadsheetml/2006/main">
  <c r="K100" i="19"/>
  <c r="J100"/>
  <c r="K90"/>
  <c r="J90"/>
  <c r="K86"/>
  <c r="J86"/>
  <c r="K82"/>
  <c r="J82"/>
  <c r="K79"/>
  <c r="J79"/>
  <c r="K72"/>
  <c r="J72"/>
  <c r="J69"/>
  <c r="J114"/>
  <c r="K69"/>
  <c r="K114"/>
  <c r="K56"/>
  <c r="J56"/>
  <c r="K49"/>
  <c r="J49"/>
  <c r="K41"/>
  <c r="K40"/>
  <c r="J41"/>
  <c r="J40"/>
  <c r="K35"/>
  <c r="J35"/>
  <c r="K26"/>
  <c r="J26"/>
  <c r="K16"/>
  <c r="J16"/>
  <c r="K9"/>
  <c r="J9"/>
  <c r="J8"/>
  <c r="J66"/>
  <c r="K8"/>
  <c r="K66"/>
  <c r="K21" i="17"/>
  <c r="J21"/>
  <c r="K14"/>
  <c r="J14"/>
  <c r="K44" i="20"/>
  <c r="K38"/>
  <c r="K46"/>
  <c r="J44"/>
  <c r="J38"/>
  <c r="J46"/>
  <c r="K45"/>
  <c r="J45"/>
  <c r="K31"/>
  <c r="K27"/>
  <c r="K33"/>
  <c r="J31"/>
  <c r="J27"/>
  <c r="J33"/>
  <c r="K32"/>
  <c r="J32"/>
  <c r="K18"/>
  <c r="J18"/>
  <c r="J13"/>
  <c r="J20"/>
  <c r="J19"/>
  <c r="K12"/>
  <c r="K13"/>
  <c r="K19"/>
  <c r="K20"/>
  <c r="K48"/>
  <c r="K51"/>
  <c r="J48"/>
  <c r="J51"/>
  <c r="J47"/>
  <c r="J50"/>
  <c r="J52"/>
  <c r="K47"/>
  <c r="K50"/>
  <c r="K52"/>
  <c r="L52"/>
  <c r="B352" i="16"/>
  <c r="C352"/>
  <c r="C239"/>
  <c r="B239"/>
  <c r="H181"/>
  <c r="G181"/>
  <c r="F181"/>
  <c r="E181"/>
  <c r="D181"/>
  <c r="C181"/>
  <c r="B181"/>
  <c r="H175"/>
  <c r="G175"/>
  <c r="F175"/>
  <c r="E175"/>
  <c r="D175"/>
  <c r="C175"/>
  <c r="B175"/>
  <c r="D184"/>
  <c r="H184"/>
  <c r="C184"/>
  <c r="E184"/>
  <c r="B184"/>
  <c r="F184"/>
  <c r="G184"/>
  <c r="I180"/>
  <c r="I179"/>
  <c r="I178"/>
  <c r="I174"/>
  <c r="I173"/>
  <c r="I171"/>
  <c r="I172"/>
  <c r="I181"/>
  <c r="I175"/>
  <c r="I184"/>
  <c r="E473"/>
  <c r="E474"/>
  <c r="E454"/>
  <c r="D162"/>
  <c r="C162"/>
  <c r="B162"/>
  <c r="E161"/>
  <c r="E160"/>
  <c r="E159"/>
  <c r="D156"/>
  <c r="C156"/>
  <c r="B156"/>
  <c r="E155"/>
  <c r="E154"/>
  <c r="E153"/>
  <c r="E152"/>
  <c r="D165"/>
  <c r="C165"/>
  <c r="E162"/>
  <c r="B165"/>
  <c r="E156"/>
  <c r="E165"/>
  <c r="C379"/>
  <c r="B379"/>
  <c r="E479"/>
  <c r="E478"/>
  <c r="E459"/>
  <c r="B122"/>
  <c r="C122"/>
  <c r="B61"/>
  <c r="C61"/>
  <c r="E460"/>
  <c r="D480"/>
  <c r="C480"/>
  <c r="B480"/>
  <c r="D475"/>
  <c r="B475"/>
  <c r="C475"/>
  <c r="D461"/>
  <c r="C461"/>
  <c r="B461"/>
  <c r="D456"/>
  <c r="E426"/>
  <c r="D426"/>
  <c r="C426"/>
  <c r="B426"/>
  <c r="D410"/>
  <c r="C410"/>
  <c r="B410"/>
  <c r="C388"/>
  <c r="B388"/>
  <c r="C371"/>
  <c r="B371"/>
  <c r="C363"/>
  <c r="B363"/>
  <c r="E455"/>
  <c r="B337"/>
  <c r="C337"/>
  <c r="C295"/>
  <c r="B295"/>
  <c r="C282"/>
  <c r="C271"/>
  <c r="B271"/>
  <c r="B252"/>
  <c r="C194"/>
  <c r="C196"/>
  <c r="C198"/>
  <c r="C200"/>
  <c r="C143"/>
  <c r="B143"/>
  <c r="C135"/>
  <c r="B135"/>
  <c r="C98"/>
  <c r="B71"/>
  <c r="C456"/>
  <c r="B282"/>
  <c r="C241"/>
  <c r="B273"/>
  <c r="B108"/>
  <c r="B232"/>
  <c r="E480"/>
  <c r="B262"/>
  <c r="C108"/>
  <c r="C71"/>
  <c r="E475"/>
  <c r="C90"/>
  <c r="B194"/>
  <c r="B196"/>
  <c r="B198"/>
  <c r="B200"/>
  <c r="E410"/>
  <c r="B456"/>
  <c r="B90"/>
  <c r="B98"/>
  <c r="C273"/>
  <c r="C232"/>
  <c r="B241"/>
  <c r="E461"/>
  <c r="E456"/>
  <c r="B308"/>
  <c r="K53" i="21"/>
  <c r="J53"/>
  <c r="K19"/>
  <c r="K12"/>
  <c r="K20"/>
  <c r="K21"/>
  <c r="K32"/>
  <c r="K28"/>
  <c r="K33"/>
  <c r="K34"/>
  <c r="K45"/>
  <c r="K39"/>
  <c r="K46"/>
  <c r="K47"/>
  <c r="J19"/>
  <c r="J12"/>
  <c r="J21"/>
  <c r="J32"/>
  <c r="J28"/>
  <c r="J34"/>
  <c r="J45"/>
  <c r="J39"/>
  <c r="J47"/>
  <c r="K48"/>
  <c r="K49"/>
  <c r="J46"/>
  <c r="J33"/>
  <c r="J20"/>
  <c r="J49"/>
  <c r="J48"/>
  <c r="M57" i="18"/>
  <c r="M66"/>
  <c r="M67"/>
  <c r="L57"/>
  <c r="L66"/>
  <c r="L67"/>
  <c r="K57"/>
  <c r="K66"/>
  <c r="K67"/>
  <c r="J57"/>
  <c r="J66"/>
  <c r="J67"/>
  <c r="M33"/>
  <c r="L33"/>
  <c r="K33"/>
  <c r="J33"/>
  <c r="M27"/>
  <c r="L27"/>
  <c r="K27"/>
  <c r="J27"/>
  <c r="M22"/>
  <c r="L22"/>
  <c r="K22"/>
  <c r="J22"/>
  <c r="M16"/>
  <c r="L16"/>
  <c r="K16"/>
  <c r="J16"/>
  <c r="M12"/>
  <c r="L12"/>
  <c r="K12"/>
  <c r="J12"/>
  <c r="M10"/>
  <c r="M43"/>
  <c r="L10"/>
  <c r="L43"/>
  <c r="K10"/>
  <c r="K43"/>
  <c r="J10"/>
  <c r="J43"/>
  <c r="M7"/>
  <c r="M42"/>
  <c r="L7"/>
  <c r="L42"/>
  <c r="K7"/>
  <c r="K42"/>
  <c r="J7"/>
  <c r="J42"/>
  <c r="J45"/>
  <c r="J44"/>
  <c r="J48"/>
  <c r="M45"/>
  <c r="M44"/>
  <c r="M48"/>
  <c r="L45"/>
  <c r="L44"/>
  <c r="L48"/>
  <c r="K45"/>
  <c r="K44"/>
  <c r="K48"/>
  <c r="J46"/>
  <c r="M46"/>
  <c r="L46"/>
  <c r="K46"/>
  <c r="L50"/>
  <c r="L49"/>
  <c r="J50"/>
  <c r="J49"/>
  <c r="K50"/>
  <c r="K49"/>
  <c r="M50"/>
  <c r="M49"/>
</calcChain>
</file>

<file path=xl/sharedStrings.xml><?xml version="1.0" encoding="utf-8"?>
<sst xmlns="http://schemas.openxmlformats.org/spreadsheetml/2006/main" count="762" uniqueCount="620">
  <si>
    <t>On 5 February 2007, the Company issued bonds (OPTE-O-124A) with nominal value of HRK 250 million. The bonds have been issued on Zagreb Stock Exchange with interest rate of 9,125% and maturity date on 1 February 2014. The bonds have been issued with the price of 99,496%. The interest rate is paid on annual basis on 1 February 2011.</t>
    <phoneticPr fontId="6" type="noConversion"/>
  </si>
  <si>
    <t>Non-interest bearing liabilities</t>
  </si>
  <si>
    <t>Interest bearing liabilities</t>
  </si>
  <si>
    <t>Up to one year</t>
  </si>
  <si>
    <t>From 1 to 5 years</t>
  </si>
  <si>
    <t>Over 5 years</t>
  </si>
  <si>
    <t>Total</t>
  </si>
  <si>
    <t xml:space="preserve">Interest bearing liabilities include short-term and long-term borrowings, bonds issued and financial lease. </t>
  </si>
  <si>
    <t xml:space="preserve">The following tables detail maturity of the Company's financial assets indicated in the balance sheet at the end of the reporting period. </t>
  </si>
  <si>
    <t xml:space="preserve">Tables have been created on the basis of undiscounted cash flows of financial assets on their due date. The tables include both interest and principal cash flows.  </t>
  </si>
  <si>
    <t xml:space="preserve">The balance of cash and cash equivalents is indicated under non-interest bearing financial assets due to the low interest rate on these assets. </t>
  </si>
  <si>
    <t>On  31 March 2011. the Company employed 193 employees.</t>
  </si>
  <si>
    <t>Interest income related to affiliated undertakings</t>
  </si>
  <si>
    <t>Loans to affiliated undertakings</t>
  </si>
  <si>
    <t>Loans and deposits</t>
  </si>
  <si>
    <t>Shares in affiliated undertakings</t>
  </si>
  <si>
    <t>SHARES IN AFFILIATED UNDERTAKINGS</t>
  </si>
  <si>
    <t>Receivables from affiliated undertakings</t>
  </si>
  <si>
    <t>In the same period last year, loss per share amounted to HRK 7,20</t>
  </si>
  <si>
    <t>Receivables tooward affiliated undertakings</t>
  </si>
  <si>
    <t xml:space="preserve">Long-term liabilities arising from credits and loans with variable interest rates amount to HRK 371,67 million, and therefore, the Company's exposure to the interest rate risk is  significant. </t>
  </si>
  <si>
    <t>The majority of non-interest bearing liabilities of the Company maturing within one year account for trade payables in the amount of HRK 160.870 thousand for the period from January to March 2011 (HRK 125.147 thousand for the same period last year).</t>
  </si>
  <si>
    <t>Liabilities based on calvulated interest</t>
  </si>
  <si>
    <t xml:space="preserve">Credit risk is the risk that the Company's customers will default on their contractual obligations causing possible financial loss to the Company. The Company has adopted procedures which are applied in dealing with customers and it requests and collects payment security instruments, where appropriate, in order to mitigate possible financial risks and losses resulting from a default in payment and fulfilment of contractual obligations. </t>
  </si>
  <si>
    <t xml:space="preserve">Trade receivables are monitored continuously in order to determine their risk level and apply the appropriate procedures. Customers' credit ratings are also monitored on a continuous basis in order to establish the Company's credit exposure, which is reviewed at least once a year. </t>
  </si>
  <si>
    <t xml:space="preserve">The Company operates with a large number of customers from various industries and of various sizes as well as with individuals who have a specific credit risk. The Company has developed procedures for each particular group of customers in order to ensure that the credit risk is addressed in the most appropriate way. </t>
  </si>
  <si>
    <t>Liquidity Risk Management</t>
  </si>
  <si>
    <t xml:space="preserve">The ultimate responsibility for liquidity risk management rests with the Management Board which is in charge of setting up the appropriate framework for liquidity risk management, all with the purpose of satisfying short-term, medium-term and long-term funding and liquidity management requirements. The Company manages liquidity risk by maintaining adequate reserves and credit lines, by continuous comparison of planned and realized cash flows and by matching the maturity profiles of financial assets and liabilities. </t>
  </si>
  <si>
    <t>Liquidity Risk and Interest Rate Risk Table Review</t>
  </si>
  <si>
    <t xml:space="preserve">The following tables detail maturity of the Company's contractual liabilities indicated in the balance sheet at the end of the reporting period. </t>
  </si>
  <si>
    <t xml:space="preserve">Tables have been created on the basis of undiscounted cash flows of financial liabilities on their due date. The tables include both interest and principal cash flows. </t>
  </si>
  <si>
    <t xml:space="preserve">Currency risk may be defined as risk of fluctuation of value of financial instruments due to changes in the exchange rates. The Company's major exposure relates to long-term borrowings denominated in a foreign currency and converted to Croatian Kunas at the exchange rate applicable on the balance sheet date. Gains and losses resulting from conversion are credited and charged to the income statement, but do not affect the cash flow. </t>
  </si>
  <si>
    <t>The carrying amounts of the Company's foreign currency denominated monetary assets and monetary liabilities at the reporting date are given in the following table.</t>
  </si>
  <si>
    <t>Liabilities</t>
  </si>
  <si>
    <t>Assets</t>
  </si>
  <si>
    <t>Foreign currency sensitivity analysis</t>
  </si>
  <si>
    <t xml:space="preserve">The Company is mainly exposed to the fluctuations in the exchange rate of Croatian Kuna to Euro and US Dollar. </t>
  </si>
  <si>
    <t xml:space="preserve">The following table details the Company's sensitivity to a 10% decrease of Croatian Kuna exchange rate in 2010 against the relevant foreign currency. The sensitivity analysis includes only outstanding foreign currency denominated monetary items and adjusts their conversion at the end of the period on the basis of percent change in foreign currency rates. The sensitivity analysis includes monetary assets and monetary liabilities in foreign currencies. A negative number below indicates decrease in profit and other equity where Croatian Kunas changes for above-mentioned percentage against the relevant currency. For a reverse proportional change of Croatian Kuna against the relevant currency, there would be an equal and opposite impact on the profit and other equity. </t>
  </si>
  <si>
    <t xml:space="preserve">Exposure to the currency exchange for 10% mainly relates to received loans, trade payables and receivables from affiliated companies indicated in Euros (EURO) and US Dollars (USD). </t>
  </si>
  <si>
    <t>Interest Rate Risk</t>
  </si>
  <si>
    <t xml:space="preserve">Other assets and liabilities, including bonds issued, are not exposed to to interest rate risk. </t>
  </si>
  <si>
    <t>Credit Risk</t>
  </si>
  <si>
    <t xml:space="preserve">In the period from January to March 2011 the Company did not buy-out the issued shares i.e. it does not hold treasury shares. </t>
  </si>
  <si>
    <t>Shareholder</t>
  </si>
  <si>
    <t>in 000 HRK</t>
  </si>
  <si>
    <t>%</t>
  </si>
  <si>
    <t>Ten major shareholders as on 30 March 2011:</t>
  </si>
  <si>
    <t>083. LONG-TERM LIABILITIES</t>
  </si>
  <si>
    <t>Loan based liabilities</t>
  </si>
  <si>
    <t>Liabilities towards credit institutions</t>
  </si>
  <si>
    <t>093. SHORT-TERM LIABILITIES</t>
  </si>
  <si>
    <t>Interest liabilities</t>
  </si>
  <si>
    <t>Liabilities for bonds issued</t>
  </si>
  <si>
    <t>Trade payables</t>
  </si>
  <si>
    <t>Liabilities towards employees</t>
  </si>
  <si>
    <t>Taxes, contributions and other levies</t>
  </si>
  <si>
    <t>Other liabilities</t>
  </si>
  <si>
    <t>099. BONDS ISSUED</t>
  </si>
  <si>
    <t>Nominal value</t>
  </si>
  <si>
    <t>Compensations for issuance of bonds</t>
  </si>
  <si>
    <t>098. LIABILITES TOWARDS SUPPLIERS</t>
  </si>
  <si>
    <t>Domestic trade payables</t>
  </si>
  <si>
    <t>Foreign trade payables</t>
  </si>
  <si>
    <t>Invoice accrual</t>
  </si>
  <si>
    <t>102. LIABILITIES FOR TAXES, CONTRIBUTIONS AND SIMILAR LEVIES</t>
  </si>
  <si>
    <t>VAT Liabilities</t>
  </si>
  <si>
    <t>Taxes and  contributions on and from salaries</t>
  </si>
  <si>
    <t>Other taxes and contributions</t>
  </si>
  <si>
    <t>106. DEFERRED PAYMENTS AND FUTURE INCOME</t>
  </si>
  <si>
    <t>Domestic payables for which invoices have not been received</t>
  </si>
  <si>
    <t>Foreign payables for which invoices have not been received</t>
  </si>
  <si>
    <t>Income deferred due to uncertainty</t>
  </si>
  <si>
    <t>3. FINANCIAL INSTRUMENTS</t>
  </si>
  <si>
    <t xml:space="preserve">During the reporting period, the Company used most of its financial instruments to finance its operations. Financial instruments include loans, bills of exchange, cash and liquid assets and other various instruments, such as trade receivables and trade payables arising directly from ordinary business activities. </t>
  </si>
  <si>
    <t>Currency Risk Management</t>
  </si>
  <si>
    <t>Collected during the year</t>
  </si>
  <si>
    <t>Reserved during the year</t>
  </si>
  <si>
    <t>Closing balance</t>
  </si>
  <si>
    <t>1 January 2011</t>
  </si>
  <si>
    <t>Aging of trade receivables of the Company:</t>
  </si>
  <si>
    <t>Undue</t>
  </si>
  <si>
    <t>Up to 120 days</t>
  </si>
  <si>
    <t>120-360 days</t>
  </si>
  <si>
    <t>over 360 days</t>
  </si>
  <si>
    <t>056. GRANTED LOANS AND DEPOSITS</t>
  </si>
  <si>
    <t>Loans</t>
  </si>
  <si>
    <t>Deposits</t>
  </si>
  <si>
    <t>058. CASH IN BANK AND REGISTER</t>
  </si>
  <si>
    <t>Kuna accounts balance</t>
  </si>
  <si>
    <t>Foreign currency accounts balance</t>
  </si>
  <si>
    <t>Cash in register</t>
  </si>
  <si>
    <t xml:space="preserve">059. PAID EXPENSES FOR FUTURE PERIOD AND UNDUE INCOME PAYMENT </t>
  </si>
  <si>
    <t>Differed customer related expenses</t>
  </si>
  <si>
    <t>Bond issuing expenses</t>
  </si>
  <si>
    <t>Prepaid expenses</t>
  </si>
  <si>
    <t>Accrued income</t>
  </si>
  <si>
    <t>Prepaid maintenance expenses</t>
  </si>
  <si>
    <t>063. SUBSCRIBED CAPITAL</t>
  </si>
  <si>
    <t xml:space="preserve">On 24 August 2007, the sole shareholder at that time Mr. Matija Martić paid up the amount of HRK 20 million in the Company's share capital. In this way, the share capital of the Company has been increased from HRK 201 thousand to HRK 20.201 thousand. The Company has undergone transformation from limited liability company to joint stock company. The total number of shares amounted to 2.020.070 of ordinary shares with nominal value of HRK 10 each. The sole shareholder remained Matija Martić. </t>
  </si>
  <si>
    <t xml:space="preserve">In December 2007, the Company increased the share capital through initial public offering. The Company issued 800.000 shares with nominal value of HRK 10 each. In this way, the total number of shares has been increased to 2.820.070. By subscribing the new shares, the Company realized capital gain of HRK 194.354 thousand representing the difference between the nominal value and the price determined on the initial public offering. </t>
  </si>
  <si>
    <t>Net result  - loss</t>
  </si>
  <si>
    <t>Number of shares</t>
  </si>
  <si>
    <t>Loss per share</t>
  </si>
  <si>
    <t>At 31 Mar 2011, loss per share is as follows:</t>
  </si>
  <si>
    <t>Price of shares realized on the stock exchange within the current quarter (1 Jan - 31 Mar 2011)  varied from HRK 25,04 (the lowest price) to HRK 42,39  (the highest price). Market capitalization in thousands of HRK on 31 March 2011 amounted to HRK 94.049 thousand.</t>
  </si>
  <si>
    <t>Foreign exchange losses</t>
  </si>
  <si>
    <t xml:space="preserve">Interest expenses consist of interests accrued on credits, bonds issued by the Company and default interest for untimely settlement of trade payables. </t>
  </si>
  <si>
    <t>By reducing interest expense occurred due to the decrease in interest rates that are achieved with reprogram in year 2010</t>
  </si>
  <si>
    <t>003. INTANGIBLE ASSETS</t>
  </si>
  <si>
    <t>CONCESSIONS AND RIGHTS</t>
  </si>
  <si>
    <t>SOFTWARE</t>
  </si>
  <si>
    <t>ASSETS IN PROGRESS</t>
  </si>
  <si>
    <t>TOTAL</t>
  </si>
  <si>
    <t>PURCHASE VALUE</t>
  </si>
  <si>
    <t>Additions</t>
  </si>
  <si>
    <t>Transfer from assets in progress</t>
  </si>
  <si>
    <t>Disposals and retirements</t>
  </si>
  <si>
    <t>VALUE ADJUSTMENT</t>
  </si>
  <si>
    <t>As at 01 Jan 2011</t>
  </si>
  <si>
    <t>As at 31 Mar 2011</t>
  </si>
  <si>
    <t>Amortization as at 31 Mar 2011</t>
  </si>
  <si>
    <t>Amortization of the current year</t>
  </si>
  <si>
    <t>NET ACCOUNTING VALUE</t>
  </si>
  <si>
    <t>010. FIXED ASSETS</t>
  </si>
  <si>
    <t>LAND</t>
  </si>
  <si>
    <t>BUILDINGS</t>
  </si>
  <si>
    <t>PLANT, EQUIPMENT, TOOLS AND PRODUCTION INVENTORY</t>
  </si>
  <si>
    <t>VEHICLES</t>
  </si>
  <si>
    <t>WORK OF ARTS</t>
  </si>
  <si>
    <t>LEASEHOLD IMPROVEMENTS</t>
  </si>
  <si>
    <t>020. LONG-TERM FINANCIAL ASSETS</t>
  </si>
  <si>
    <t>Loans to majority shareholder</t>
  </si>
  <si>
    <t>Loans to third party companies</t>
  </si>
  <si>
    <t>Long term deposits</t>
  </si>
  <si>
    <t>Value adjustment</t>
  </si>
  <si>
    <t>Loans to third party companies refer to the loans granted to company OSN INŽENJERING d.o.o. with interest rate of 11,5% and due dates 13 August 2012 (loan in the amount of HRK 2,75 million) and 30 April 2013 (loans in the amount of HRK 26,18 million)</t>
  </si>
  <si>
    <t>Long term deposits comprise of two guarantee deposits with Zagrebačka banka d.d. for purchase and installation of telecommunications equipment and they come due on 16 February 2015 and 20 February 2015, respectively, as well as one deposit with BKS bank, coming due on 31 March 2012.</t>
  </si>
  <si>
    <t>043. RECEIVABLES</t>
  </si>
  <si>
    <t>Trade receivables</t>
  </si>
  <si>
    <t>Employee receivables</t>
  </si>
  <si>
    <t>Receivables from the state and other institutions</t>
  </si>
  <si>
    <t>Interest receivables</t>
  </si>
  <si>
    <t>Advance payments receivables</t>
  </si>
  <si>
    <t>Other receivables</t>
  </si>
  <si>
    <t>045. TRADE RECEIVABLES</t>
  </si>
  <si>
    <t>Domestic trade receivables</t>
  </si>
  <si>
    <t>Foreign trade receivables</t>
  </si>
  <si>
    <t xml:space="preserve">Value adjustment </t>
  </si>
  <si>
    <t>Movement of value adjustment for doubtful receivables:</t>
  </si>
  <si>
    <t>Write off during the year</t>
  </si>
  <si>
    <t>Multimedia services</t>
  </si>
  <si>
    <t>Lease and sale of equipment</t>
  </si>
  <si>
    <t>Other services</t>
  </si>
  <si>
    <t>113. OTHER OPERATING INCOME</t>
  </si>
  <si>
    <t>Write off old trade payables</t>
  </si>
  <si>
    <t>Income from rent - billing system</t>
  </si>
  <si>
    <t>Income from collected penalties etc.</t>
  </si>
  <si>
    <t>Income from in kind payments</t>
  </si>
  <si>
    <t>Other income</t>
  </si>
  <si>
    <t>116. MATERIAL COSTS</t>
  </si>
  <si>
    <t>Costs of services</t>
  </si>
  <si>
    <t>Costs of maintenance</t>
  </si>
  <si>
    <t>Marketing services</t>
  </si>
  <si>
    <t>Billing costs</t>
  </si>
  <si>
    <t>Line lease costs</t>
  </si>
  <si>
    <t>Intellectual and other services</t>
  </si>
  <si>
    <t>Utilities</t>
  </si>
  <si>
    <t>Customer attraction costs</t>
  </si>
  <si>
    <t>Pair connection fees</t>
  </si>
  <si>
    <t>Telecommunications costs</t>
  </si>
  <si>
    <t>Residential sales services</t>
  </si>
  <si>
    <t>Other costs</t>
  </si>
  <si>
    <t>Costs of raw material and supplies</t>
  </si>
  <si>
    <t>Costs of goods sold</t>
  </si>
  <si>
    <t>120. STAFF EXPENSES</t>
  </si>
  <si>
    <t>Net salaries</t>
  </si>
  <si>
    <t>Taxes and contributions from salaries</t>
  </si>
  <si>
    <t>Taxes and contributions on salaries</t>
  </si>
  <si>
    <t>Number of employees on 31 Mar 2011</t>
  </si>
  <si>
    <t>124. AMORTIZATION OF TANGIBLE AND INTANGIBLE ASSETS</t>
  </si>
  <si>
    <t>Amortization of fixed tangible assets</t>
  </si>
  <si>
    <t>Amortization of intangible assets</t>
  </si>
  <si>
    <t>125.  OTHER OPERATING EXPENSES</t>
  </si>
  <si>
    <t>Compensations to employees</t>
  </si>
  <si>
    <t>Representation</t>
  </si>
  <si>
    <t>Insurance premiums</t>
  </si>
  <si>
    <t>Bank charges</t>
  </si>
  <si>
    <t>Taxes, contributions and membership fees</t>
  </si>
  <si>
    <t>Costs of sold and written off assets</t>
  </si>
  <si>
    <t>Gifts and sponsorships</t>
  </si>
  <si>
    <t>Subsequently determined operating expenses</t>
  </si>
  <si>
    <t>Other expenses</t>
  </si>
  <si>
    <t xml:space="preserve">Value adjustment is performed at the end of the reporting period if there is evidence that there are uncollectible trade receivables arising from significant financial difficulties on the clients' side, cancellation of contracts and forced execution, pending bankruptcy etc. </t>
  </si>
  <si>
    <t xml:space="preserve">Costs reimbursed to employees comprise of daily allowances, overnight accommodation and transport related to business travels, commutation allowance, reimbursement of costs for the use of personal cars for business purposes and similar. </t>
  </si>
  <si>
    <t>126. VALUE ADJUSTMENT</t>
  </si>
  <si>
    <t>131. FINANCIAL INCOME</t>
  </si>
  <si>
    <t>Interest income</t>
  </si>
  <si>
    <t>Foreign exchange gains</t>
  </si>
  <si>
    <t>137. FINANCIAL EXPENSES</t>
  </si>
  <si>
    <t>Interest expenses</t>
  </si>
  <si>
    <t>Fee</t>
  </si>
  <si>
    <t xml:space="preserve">The main business activities of Optima Direct d.o.o. are trading and providing various services which mainly relate to telecommunications sector. </t>
  </si>
  <si>
    <t>As a sole member-founder, the Company established Optima Telekom d.o.o. Kopar, Slovenia in 2007.</t>
  </si>
  <si>
    <t>Investments in affiliated companies as on 31 December 2011:</t>
  </si>
  <si>
    <t>Subsidiaries</t>
  </si>
  <si>
    <t>Shareholding</t>
  </si>
  <si>
    <t>Optima Direct d.o.o., Croatia</t>
  </si>
  <si>
    <t>Optima Telekom d.o.o., Slovenia</t>
  </si>
  <si>
    <t xml:space="preserve">Transactions within the group are carried out at fair maket terms and conditions. </t>
  </si>
  <si>
    <t>Staff</t>
  </si>
  <si>
    <t>MANAGEMENT AND SUPERVISORY BOARD</t>
  </si>
  <si>
    <t xml:space="preserve">Management Board of the Company in 2011: </t>
  </si>
  <si>
    <t>Chairman of the Company</t>
  </si>
  <si>
    <t xml:space="preserve">Member </t>
  </si>
  <si>
    <t>Supervisory Board of the Company:</t>
  </si>
  <si>
    <t>Chairman</t>
  </si>
  <si>
    <t>Member and Deputy Chairman</t>
  </si>
  <si>
    <t>Member</t>
  </si>
  <si>
    <t>REVIEW OF BASIC ACCOUNTING POLICIES</t>
  </si>
  <si>
    <t>Basis of Preparation</t>
  </si>
  <si>
    <t xml:space="preserve">The Financial Statements of the Company have been prepared in accordance with International Accounting Standards (IAS) and International Financial Reporting Standards (IFRS). Financial Statements have been prepared under the historical cost convention, except for the valuation of certain financial instruments. </t>
  </si>
  <si>
    <t>Financial Statements as per 31 March 2011 have been prepared on the basis of accounting policies presented and published in the Audited Consolidated Financial Statements of the Group on 31 December 2010 which were made available on Zagreb Stock Exchange d.d. on 06 April 2011.</t>
  </si>
  <si>
    <t>In the period January - March 2010, there were no changes in accounting policies and accounting estimations based on which the financial reports for the indicated period have been prepared.</t>
  </si>
  <si>
    <t>Reporting Currency</t>
  </si>
  <si>
    <t>The Financial Statements of the Group are presented in Croatian kunas (HRK). The applicable exchange rate of the Croatian currency on 31 December 2010 was HRK 7,382807 for EUR 1 and HRK 5,244216 for USD 1.</t>
  </si>
  <si>
    <t>112.  SALES INCOME</t>
  </si>
  <si>
    <t>31 Mar 2010</t>
  </si>
  <si>
    <t>Public voice services</t>
  </si>
  <si>
    <t>Interconnection services</t>
  </si>
  <si>
    <t>Internet services</t>
  </si>
  <si>
    <t>Data services</t>
  </si>
  <si>
    <t>Items that reduce capital entered with a negative sign
Data under EDP codes 001-009 to be input balance sheet as at date</t>
  </si>
  <si>
    <t>Notes to the Financial Statements</t>
  </si>
  <si>
    <t>1. GENERAL INFORMATION</t>
  </si>
  <si>
    <t>History and incorporation</t>
  </si>
  <si>
    <t xml:space="preserve">The company Optima Telekom d.d. ( hereinafter: the Company) was established in 1994 as Syskey d.o.o., while its principal operating activity and company name was changed to Optima Telekom d.o.o. on 22 April 2004. </t>
  </si>
  <si>
    <t xml:space="preserve">The Company changed its legal status from a limited liability company to a joint stock company in July 2007. The Council of the Croatian Telecommunications Agency isssued a licence for public voice service in fixed networks for the company on  19November 2004,for a period of 30 years. </t>
  </si>
  <si>
    <t>Principal Business Activities</t>
  </si>
  <si>
    <t xml:space="preserve">The Company's principal business activity is the provision of telecommunications services to private and business users in the Croatian market. The Company began to provide its telecommunications services in May of 2005. </t>
  </si>
  <si>
    <t>In the beginning, Optima Telekom d.d. focused on business users, but soon after starting business operations, it began to aim for the private users market offering quality voice packages.</t>
  </si>
  <si>
    <t xml:space="preserve">To its business users, Optima Telekom d.d. offers services of direct access, internet services, as well as voice telecommunication services through its own network and/or migrated previously chosen services. Along with that, the leading services which Optima Telekom d.d. provides to business users is the IP Centrex solution, among the first of this kind in the Croatian market and IP VPN Services. The existing capacities enable Optima Telekomu d.d.to provide services of collocation and hosting. To its large business clients, the Company also offers specifically designed solutions relying on  its exceptional skills in the field of IT technology. </t>
  </si>
  <si>
    <t>On 6 July 2006 OT-Optima Telekom d.d. acquired 100% of interest in Optima Grupa Holding d.o.o., which changed its name to Optima Direct d.o.o.</t>
  </si>
  <si>
    <t xml:space="preserve">   3. Other receipt from financial activities</t>
  </si>
  <si>
    <t>V. Total cash receipt from financial activities (027 through 029)</t>
  </si>
  <si>
    <t xml:space="preserve">   1. Cash expenditure for the payment of loan principal and bonds</t>
  </si>
  <si>
    <t xml:space="preserve">   2. Cash expenditure for the payment of dividend</t>
  </si>
  <si>
    <t xml:space="preserve">   3. Cash expenditure for financial lease</t>
  </si>
  <si>
    <t xml:space="preserve">   4.Cash expenditure for own shares buy-off</t>
  </si>
  <si>
    <t xml:space="preserve">   5. Other expenditures from financial activities</t>
  </si>
  <si>
    <t>VI. Total cash expenditure from financial activities (031 through 035)</t>
  </si>
  <si>
    <t>C1) NET INCREASE OF CASH FLOW FROM FINANCIAL ACTIVITIES (030-036)</t>
  </si>
  <si>
    <t>C2)NET DECREASE OF CASH FLOW FROM FINANCIAL ACTIVITIES (036-030)</t>
  </si>
  <si>
    <t>Total increase of cash flow (013 – 014 + 025 – 026 + 037 – 038)</t>
  </si>
  <si>
    <t>Total decrease of cash flow (014 – 013 + 026 – 025 + 038 – 037)</t>
  </si>
  <si>
    <t>Cash and cash equivalents at the beginning of the period</t>
  </si>
  <si>
    <t>Increase of cash and cash equivalents</t>
  </si>
  <si>
    <t>Decrease of cash and cash equivalents</t>
  </si>
  <si>
    <t>Cash and cash equivalents at the end of the period</t>
  </si>
  <si>
    <t>CHANGE IN CAPITAL STATEMENT</t>
  </si>
  <si>
    <t>for the period from</t>
  </si>
  <si>
    <t xml:space="preserve">  1. Subscribed capital</t>
  </si>
  <si>
    <t xml:space="preserve">  2. Capital reserves</t>
  </si>
  <si>
    <t xml:space="preserve">  3. Profit reserves</t>
  </si>
  <si>
    <t xml:space="preserve">  4. Retained profit or loss carried forward</t>
  </si>
  <si>
    <t xml:space="preserve">  5. Profit or loss of the current year</t>
  </si>
  <si>
    <t xml:space="preserve"> 6. Revaluation of fixed tangible assets</t>
  </si>
  <si>
    <t xml:space="preserve">  7. Revaluation of intangible assets</t>
  </si>
  <si>
    <t xml:space="preserve">  8. Revaluation of financial  property available for sale</t>
  </si>
  <si>
    <t xml:space="preserve">  9. Other revaluation</t>
  </si>
  <si>
    <t>10. Total capital and reserves (EDP 001 through 009)</t>
  </si>
  <si>
    <t>11. Foreign exchange differences from net investments in foreign operations</t>
  </si>
  <si>
    <t>12. Current and deferred taxes (part)</t>
  </si>
  <si>
    <t>13. Cash flow protection</t>
  </si>
  <si>
    <t>14. Changes in accounting policies</t>
  </si>
  <si>
    <t>15. Correction of significant mistakes from the previous period</t>
  </si>
  <si>
    <t>16. Other equity changes</t>
  </si>
  <si>
    <t>17. Total increase or decrease of capital (EDP  011 through  016)</t>
  </si>
  <si>
    <t>17 a. Assigned to holders of parent company's capital</t>
  </si>
  <si>
    <t>17 b. Assigned to minority interest</t>
  </si>
  <si>
    <t>ANEX to other comprehensive income statement (to be filled in by entrepreneur submitting consolidated financial report)</t>
  </si>
  <si>
    <t>CASH FLOW STATEMENT - Indirect method</t>
  </si>
  <si>
    <t>in the period from 01.01.2011. to 31.03.2011.</t>
  </si>
  <si>
    <t>CASH FLOW FROM OPERATING ACTIVITIES</t>
  </si>
  <si>
    <t xml:space="preserve">   1. Profit before taxation</t>
  </si>
  <si>
    <t xml:space="preserve">   2. Depreciation</t>
  </si>
  <si>
    <t xml:space="preserve">   3. Increase of short-term liabilities</t>
  </si>
  <si>
    <t xml:space="preserve">   4. Decrease of short-term receivables</t>
  </si>
  <si>
    <t xml:space="preserve">   6. Other increase of cash flow</t>
  </si>
  <si>
    <t>I. Total increase of cash flow from operating activities (001 through 006)</t>
  </si>
  <si>
    <t xml:space="preserve">   1. Decrease of short-term liabilities</t>
  </si>
  <si>
    <t xml:space="preserve">   2. Increase of short-term receivables</t>
  </si>
  <si>
    <t xml:space="preserve">   4. Other decrease of cash flow</t>
  </si>
  <si>
    <t xml:space="preserve">   5. Decrease of inventories</t>
  </si>
  <si>
    <t xml:space="preserve">   3. Increase of inventories</t>
  </si>
  <si>
    <t>II. Total decrease of cash flow from operating activities (008 through 011)</t>
  </si>
  <si>
    <t>A1) NET INCREASE OF CASH FLOW FROM OPERATING ACTIVITIES (007-012)</t>
  </si>
  <si>
    <t>A2) NET DECREASE OF CASH FLOW FROM OPERATING ACTIVITIES (012-007)</t>
  </si>
  <si>
    <t>CASH FLOW FROM INVESTMENT ACTIVITIES</t>
  </si>
  <si>
    <t xml:space="preserve">   1. Cash receipt from sale of tangible and intangible assets</t>
  </si>
  <si>
    <t xml:space="preserve">   2.Cash receipt from sale of ownership and debt instruments</t>
  </si>
  <si>
    <t xml:space="preserve">   3. Cash receipt from interest rates</t>
  </si>
  <si>
    <t xml:space="preserve">   4. Cash receipt from dividends</t>
  </si>
  <si>
    <t xml:space="preserve">   5. Other cash receipts from investment activities</t>
  </si>
  <si>
    <t>III. Total cash receipts from investment activities (015 through 019)</t>
  </si>
  <si>
    <t xml:space="preserve">   1. Cash expenditure for buying tangible and intangible fixed assets</t>
  </si>
  <si>
    <t xml:space="preserve">   2. Cash expenditure for acquiring ownership and debt financial instruments</t>
  </si>
  <si>
    <t xml:space="preserve">   3. Other expenditures from investment activities</t>
  </si>
  <si>
    <t>IV. Total cash expenditures from investment activities (021 through 023)</t>
  </si>
  <si>
    <t>B1) NET INCREASE OF CASH FLOW FROM INVESTMENT ACTIVITIES (020-024)</t>
  </si>
  <si>
    <t>B2) NET DECREASE OF CASH FLOW FROM INVESTMENT ACTIVITIES (024-020)</t>
  </si>
  <si>
    <t>CASH FLOW FROM FINANCIAL ACTIVITIES</t>
  </si>
  <si>
    <t xml:space="preserve">   1. Cash receipt from issuing of ownership and debt financial instruments</t>
  </si>
  <si>
    <t xml:space="preserve">   2. Cash receipt from loan principal, debentures, loans and other borrowing</t>
  </si>
  <si>
    <t xml:space="preserve">     2. Intersts income, foreign exchange gains, dividends and other income related
         to unaffiliated undertakings and other persons</t>
  </si>
  <si>
    <t xml:space="preserve">     3. Income from affiliated undertakings and participating interests</t>
  </si>
  <si>
    <t xml:space="preserve">     4. Unrealized income of the financial assets</t>
  </si>
  <si>
    <t xml:space="preserve">     5. Other financial income</t>
  </si>
  <si>
    <r>
      <t xml:space="preserve">IV. FINANCIAL EXPENSES </t>
    </r>
    <r>
      <rPr>
        <sz val="9"/>
        <rFont val="Arial"/>
        <family val="2"/>
        <charset val="238"/>
      </rPr>
      <t>(138 do 141)</t>
    </r>
  </si>
  <si>
    <t xml:space="preserve">    1. Interest, foreign exchange differences and other expenses related to affiliated
        undertakings</t>
  </si>
  <si>
    <t xml:space="preserve">    2. Interest, foreign exchange differences and other expenses related to unaffiliated
        undertakings and other persons</t>
  </si>
  <si>
    <t xml:space="preserve">    3. Unrealized losses (expenses) of the financial assets</t>
  </si>
  <si>
    <t xml:space="preserve">    4. Other financial expenses</t>
  </si>
  <si>
    <t>V.    SHARE IN PROFIT OF AFFILIATED UNDERTAKINGS</t>
  </si>
  <si>
    <t>VI.   SHARE IN LOSS OF AFFILIATED UNDERTAKINGS</t>
  </si>
  <si>
    <t>OTHER COMPREHENSIVE INCOME STATEMENT (popunjava poduzetnik obveznik primjene MSFI-a)</t>
  </si>
  <si>
    <r>
      <t xml:space="preserve">II. OTHER COMPREHENSIVE INCOME / LOSS BEFORE TAX </t>
    </r>
    <r>
      <rPr>
        <sz val="9"/>
        <rFont val="Arial"/>
        <family val="2"/>
        <charset val="238"/>
      </rPr>
      <t>(159 do 165)</t>
    </r>
  </si>
  <si>
    <t>III. COMPREHENSIVE INCOME TAX</t>
  </si>
  <si>
    <t xml:space="preserve">    1. Exchange differences on translating foreign operations</t>
  </si>
  <si>
    <t>VI. COMPREHENSIVE INCOME / LOSS FOR THE PERIOD</t>
  </si>
  <si>
    <r>
      <t xml:space="preserve">XIII. PROFIT / LOSS FOR THE PERIOD </t>
    </r>
    <r>
      <rPr>
        <sz val="9"/>
        <rFont val="Arial"/>
        <family val="2"/>
        <charset val="238"/>
      </rPr>
      <t>(148-151)</t>
    </r>
  </si>
  <si>
    <t xml:space="preserve">  1. Profit for the period (149-151)</t>
  </si>
  <si>
    <t xml:space="preserve">  2. Loss for the period (151-148)</t>
  </si>
  <si>
    <t>XIV. PROFIT OR LOSS FOR THE CURRENT PERIOD</t>
  </si>
  <si>
    <t>I. PROFIT / LOSS FOR THE PERIOD (= 152)</t>
  </si>
  <si>
    <t xml:space="preserve">    2. Changes in revalorization reserves of fixed and intangible assets
</t>
  </si>
  <si>
    <t xml:space="preserve">    3. Profit or loss from revaluation of financial assets available for sale</t>
  </si>
  <si>
    <t xml:space="preserve">    4. Profit or loss on effective cash flow protection</t>
  </si>
  <si>
    <t xml:space="preserve">    5. profit or loss on effective hedge of a net foreign investment</t>
  </si>
  <si>
    <t xml:space="preserve">    6. Share of other comprehensive income / loss of associated companies</t>
  </si>
  <si>
    <t xml:space="preserve">    7. Actuarial income / loss on defined benefit plans</t>
  </si>
  <si>
    <r>
      <t xml:space="preserve">IV. OTHER COMPREHENSIVE INCOME / LOSS FOR THE PERIOD </t>
    </r>
    <r>
      <rPr>
        <sz val="9"/>
        <rFont val="Arial"/>
        <family val="2"/>
        <charset val="238"/>
      </rPr>
      <t>(158-166)</t>
    </r>
  </si>
  <si>
    <t>V. COMPREHENSIVE INCOME / LOSS FOR THE PERIOD (157+167)</t>
  </si>
  <si>
    <t>2. Assigned to minority interest</t>
  </si>
  <si>
    <t>1. Assigned to the holders of parent company's capital</t>
  </si>
  <si>
    <t>Note 1.: anex to the balance sheet to be filled in by entrepreneur submitting consolidated financial report</t>
  </si>
  <si>
    <t xml:space="preserve">     7. Liabilities towards entrepreneur with participating interests</t>
  </si>
  <si>
    <t>PROFIT AND LOSS ACCOUNT</t>
  </si>
  <si>
    <t>for the period from 01.01.2011. to 31.03.2011.</t>
  </si>
  <si>
    <t>EDP</t>
  </si>
  <si>
    <t>Quarter</t>
  </si>
  <si>
    <t>Cumulative</t>
  </si>
  <si>
    <r>
      <t xml:space="preserve">I. OPERATING INCOME </t>
    </r>
    <r>
      <rPr>
        <sz val="9"/>
        <rFont val="Arial"/>
        <family val="2"/>
        <charset val="238"/>
      </rPr>
      <t>(112+113)</t>
    </r>
  </si>
  <si>
    <t xml:space="preserve">   1. Sales income</t>
  </si>
  <si>
    <t xml:space="preserve">   2. Other operating income</t>
  </si>
  <si>
    <r>
      <t xml:space="preserve">II. OPERATING EXPENSES </t>
    </r>
    <r>
      <rPr>
        <sz val="9"/>
        <rFont val="Arial"/>
        <family val="2"/>
        <charset val="238"/>
      </rPr>
      <t>(115+116+120+124+125+126+129+130)</t>
    </r>
  </si>
  <si>
    <t>ANEX TO P&amp;L (to be filled in by entrepreneur submitting consolidated financial report)</t>
  </si>
  <si>
    <t>XII.  PROFIT TAX</t>
  </si>
  <si>
    <r>
      <t xml:space="preserve">XI.  PROFIT / LOSS BEFORE TAXATION </t>
    </r>
    <r>
      <rPr>
        <sz val="9"/>
        <rFont val="Arial"/>
        <family val="2"/>
        <charset val="238"/>
      </rPr>
      <t>(146-147)</t>
    </r>
  </si>
  <si>
    <t xml:space="preserve">  2. Loss before taxation (147-146)</t>
  </si>
  <si>
    <t xml:space="preserve">  1. Profit before taxation (146-147)</t>
  </si>
  <si>
    <r>
      <t xml:space="preserve">X.   TOTAL EXPENSES </t>
    </r>
    <r>
      <rPr>
        <sz val="9"/>
        <rFont val="Arial"/>
        <family val="2"/>
        <charset val="238"/>
      </rPr>
      <t>(114+137+143 + 145)</t>
    </r>
  </si>
  <si>
    <r>
      <t xml:space="preserve">IX.  TOTAL INCOME </t>
    </r>
    <r>
      <rPr>
        <sz val="9"/>
        <rFont val="Arial"/>
        <family val="2"/>
        <charset val="238"/>
      </rPr>
      <t>(111+131+142 + 144)</t>
    </r>
  </si>
  <si>
    <t>VIII. EXTRAORDINARY - OTHER EXPENSES</t>
  </si>
  <si>
    <t>VII.  EXTRAORDINARY - OTHER INCOME</t>
  </si>
  <si>
    <t xml:space="preserve">    1. Changes in the value of inventories of ongoing production and finished goods</t>
  </si>
  <si>
    <r>
      <t xml:space="preserve">    2. MATERIAL COSTS </t>
    </r>
    <r>
      <rPr>
        <sz val="9"/>
        <rFont val="Arial"/>
        <family val="2"/>
        <charset val="238"/>
      </rPr>
      <t>(117 do 119)</t>
    </r>
  </si>
  <si>
    <t xml:space="preserve">        a) Costs of raw material and supplies</t>
  </si>
  <si>
    <t xml:space="preserve">        b) Costs of goods sold</t>
  </si>
  <si>
    <t xml:space="preserve">        c) Other external costs</t>
  </si>
  <si>
    <t xml:space="preserve">        a) Net salaries and wages</t>
  </si>
  <si>
    <t xml:space="preserve">        b) Expenses of taxes and contributions from salaries</t>
  </si>
  <si>
    <t xml:space="preserve">        c) Contributions to salaries</t>
  </si>
  <si>
    <t xml:space="preserve">   4. Amortization</t>
  </si>
  <si>
    <t xml:space="preserve">   5. Other costs</t>
  </si>
  <si>
    <r>
      <t xml:space="preserve">   3. Staff costs </t>
    </r>
    <r>
      <rPr>
        <sz val="9"/>
        <rFont val="Arial"/>
        <family val="2"/>
        <charset val="238"/>
      </rPr>
      <t>(121 do 123)</t>
    </r>
  </si>
  <si>
    <r>
      <t xml:space="preserve">   6. Value adjustment </t>
    </r>
    <r>
      <rPr>
        <sz val="9"/>
        <rFont val="Arial"/>
        <family val="2"/>
        <charset val="238"/>
      </rPr>
      <t>(127+128)</t>
    </r>
  </si>
  <si>
    <t xml:space="preserve">       a) fixed assets (apart from financial assets)</t>
  </si>
  <si>
    <t xml:space="preserve">       b) current assets (apart from financial assets)</t>
  </si>
  <si>
    <t xml:space="preserve">   7. Provisions</t>
  </si>
  <si>
    <t xml:space="preserve">   8. Other operating expenses</t>
  </si>
  <si>
    <r>
      <t xml:space="preserve">III. FINANCIAL INCOME </t>
    </r>
    <r>
      <rPr>
        <sz val="9"/>
        <rFont val="Arial"/>
        <family val="2"/>
        <charset val="238"/>
      </rPr>
      <t>(132 through 136)</t>
    </r>
  </si>
  <si>
    <t xml:space="preserve">     1. Intersts income, foreign exchange gains, dividends and other income related
         to affiliated undertakings</t>
  </si>
  <si>
    <r>
      <t xml:space="preserve">E)  TOTAL ASSETS </t>
    </r>
    <r>
      <rPr>
        <sz val="9"/>
        <rFont val="Arial"/>
        <family val="2"/>
        <charset val="238"/>
      </rPr>
      <t>(001+002+034+059)</t>
    </r>
  </si>
  <si>
    <t>F)  OFF-BALANCE RECORDS</t>
  </si>
  <si>
    <t xml:space="preserve">     4. Loans given to entrepreneurs with participating interests</t>
  </si>
  <si>
    <r>
      <t xml:space="preserve">A)  CAPITAL AND RESERVES </t>
    </r>
    <r>
      <rPr>
        <sz val="9"/>
        <rFont val="Arial"/>
        <family val="2"/>
        <charset val="238"/>
      </rPr>
      <t>(063+064+065+071+072+075+078)</t>
    </r>
  </si>
  <si>
    <t>I. BASE (registered) capital</t>
  </si>
  <si>
    <t>II. CAPITA RESERVES</t>
  </si>
  <si>
    <t>III. PROFIT RESERVES (066+067-068+069+070)</t>
  </si>
  <si>
    <t>1. Legal reserves</t>
  </si>
  <si>
    <t>2. Own stock reserves</t>
  </si>
  <si>
    <t>3. Own stocks and shares (deductable item)</t>
  </si>
  <si>
    <t>4. Statutory reserves</t>
  </si>
  <si>
    <t>5. Other reserves</t>
  </si>
  <si>
    <t>IV. REVALORIZATION RESERVES</t>
  </si>
  <si>
    <t>V. RETAINED EARNINGS OR LOSS CARRIED FORWARD (073-074)</t>
  </si>
  <si>
    <t>1. Retained earnings</t>
  </si>
  <si>
    <t>2. Loss carried forward</t>
  </si>
  <si>
    <t>VI. PROFIT OR LOSS OF THE YEAR (076-077)</t>
  </si>
  <si>
    <t>1. Profit of the year</t>
  </si>
  <si>
    <t>2. Loss of the year</t>
  </si>
  <si>
    <t>VII. MINORITY INTEREST</t>
  </si>
  <si>
    <t xml:space="preserve">     1. Provisions for pensions, severance payments amd similar obligations</t>
  </si>
  <si>
    <t xml:space="preserve">     2. Provisions for tax liabilities</t>
  </si>
  <si>
    <t xml:space="preserve">     3. Other provisions</t>
  </si>
  <si>
    <r>
      <t xml:space="preserve">B)  PROVISIONS </t>
    </r>
    <r>
      <rPr>
        <sz val="9"/>
        <rFont val="Arial"/>
        <family val="2"/>
        <charset val="238"/>
      </rPr>
      <t>(080 through 082)</t>
    </r>
  </si>
  <si>
    <r>
      <t xml:space="preserve">C)   FIXED LIABILITIES </t>
    </r>
    <r>
      <rPr>
        <sz val="9"/>
        <rFont val="Arial"/>
        <family val="2"/>
        <charset val="238"/>
      </rPr>
      <t>(084 through 092)</t>
    </r>
  </si>
  <si>
    <t xml:space="preserve">     1. Liabilities towards affiliated enterpreneurs</t>
  </si>
  <si>
    <t xml:space="preserve">     3. Liabilities towards banks and other financial institutions</t>
  </si>
  <si>
    <t xml:space="preserve">     4. Liabilities for advances</t>
  </si>
  <si>
    <t xml:space="preserve">     5. Liabilities towards suppliers</t>
  </si>
  <si>
    <t xml:space="preserve">     6. Liabilities as per securities</t>
  </si>
  <si>
    <t xml:space="preserve">     8. Other fixed liabilities</t>
  </si>
  <si>
    <t xml:space="preserve">     9. Deferred tax liabilities</t>
  </si>
  <si>
    <r>
      <t xml:space="preserve">D)  CURRENT LIABILITIES </t>
    </r>
    <r>
      <rPr>
        <sz val="9"/>
        <rFont val="Arial"/>
        <family val="2"/>
        <charset val="238"/>
      </rPr>
      <t>(094 do 105)</t>
    </r>
  </si>
  <si>
    <t xml:space="preserve">     2. Liabilities for loans, deposits and similar</t>
  </si>
  <si>
    <t xml:space="preserve">     8. Liabilities towards employees</t>
  </si>
  <si>
    <t xml:space="preserve">     9. Liabilities for taxes, contributions and similar levies</t>
  </si>
  <si>
    <t xml:space="preserve">   10. Liabilities as per share in results</t>
  </si>
  <si>
    <t xml:space="preserve">   11. Liabilities as per longterm assets intended for sale</t>
  </si>
  <si>
    <t xml:space="preserve">   12. Other current liabilities</t>
  </si>
  <si>
    <t>E) DEFERRED SETTLEMENT OF CHARGES AND INCOME OF FUTURE PERIOD</t>
  </si>
  <si>
    <r>
      <t xml:space="preserve">F) TOTAL – LIABILITIES </t>
    </r>
    <r>
      <rPr>
        <sz val="9"/>
        <rFont val="Arial"/>
        <family val="2"/>
        <charset val="238"/>
      </rPr>
      <t>(062+079+083+093+106)</t>
    </r>
  </si>
  <si>
    <t>G) OFF – BALANCE RECORDS</t>
  </si>
  <si>
    <t>ANNEX TO THE BALANCE SHEET (to be filled in by entrepreneur submitting consolidated financial report)</t>
  </si>
  <si>
    <t>A) CAPITAL AND RESERVES</t>
  </si>
  <si>
    <t xml:space="preserve">   2.Concessions, patents, licences, goods and services trademarkas, software and other rights</t>
  </si>
  <si>
    <t xml:space="preserve">   4. Advances for procurement of intangible assets</t>
  </si>
  <si>
    <t xml:space="preserve">   5. Intangible assets in preparation</t>
  </si>
  <si>
    <t xml:space="preserve">   6. Other intangible assets</t>
  </si>
  <si>
    <t>II. TANGIBLE ASSETS (011 through 019)</t>
  </si>
  <si>
    <t xml:space="preserve">    1. Land</t>
  </si>
  <si>
    <t xml:space="preserve">    2. Building objects</t>
  </si>
  <si>
    <t xml:space="preserve">    3. Facilities and equipment </t>
  </si>
  <si>
    <t xml:space="preserve">    4. Tools, production inventory and transport assets</t>
  </si>
  <si>
    <t xml:space="preserve">    5. Biological assets</t>
  </si>
  <si>
    <t xml:space="preserve">    6. Advances for tangible assets</t>
  </si>
  <si>
    <t xml:space="preserve">    7. Tangible assets in preparation</t>
  </si>
  <si>
    <t xml:space="preserve">    8. Other tangible assets</t>
  </si>
  <si>
    <t xml:space="preserve">    9. Real estate investments</t>
  </si>
  <si>
    <t>III. FIXED FINANCIAL ASSETS (021 through 028)</t>
  </si>
  <si>
    <t xml:space="preserve">     1. Shares (stock) in affiliated enterpreneurs</t>
  </si>
  <si>
    <t xml:space="preserve">     2. Loans granted to affiliated enterpreneurs</t>
  </si>
  <si>
    <t xml:space="preserve">     3. Participating interests (shares)</t>
  </si>
  <si>
    <t xml:space="preserve">     5. Securities investments</t>
  </si>
  <si>
    <t xml:space="preserve">     6. Granted loans, deposits and such</t>
  </si>
  <si>
    <t xml:space="preserve">     7. Own stocks and shares</t>
  </si>
  <si>
    <t xml:space="preserve">     8. Other fixed financial assets</t>
  </si>
  <si>
    <t>IV. RECEIVABLES (030 through 032)</t>
  </si>
  <si>
    <t xml:space="preserve">     1. Receivables from affiliated enterpreneurs</t>
  </si>
  <si>
    <t xml:space="preserve">     2. Receivables pertaining to sale on credit</t>
  </si>
  <si>
    <t xml:space="preserve">     3. Other receivables</t>
  </si>
  <si>
    <t>V. DEFERRED TAX ASSETS</t>
  </si>
  <si>
    <r>
      <t xml:space="preserve">C)  CURRENT ASSETS </t>
    </r>
    <r>
      <rPr>
        <sz val="9"/>
        <rFont val="Arial"/>
        <family val="2"/>
        <charset val="238"/>
      </rPr>
      <t>(035+043+050+058)</t>
    </r>
  </si>
  <si>
    <t>I. INVENTORY (036 do 042)</t>
  </si>
  <si>
    <t xml:space="preserve">   1. Raw material and supplies</t>
  </si>
  <si>
    <t xml:space="preserve">   2. Ongoing produciton</t>
  </si>
  <si>
    <t xml:space="preserve">   3. Finished products</t>
  </si>
  <si>
    <t xml:space="preserve">   4. Trading goods</t>
  </si>
  <si>
    <t xml:space="preserve">   5. Inventory advances</t>
  </si>
  <si>
    <t xml:space="preserve">   6. Assets intended for sale</t>
  </si>
  <si>
    <t xml:space="preserve">   7. Biological assets</t>
  </si>
  <si>
    <t>II. RECEIVABLES (044 do 049)</t>
  </si>
  <si>
    <t xml:space="preserve">   1. Receivables from affiliated enterpreneurs</t>
  </si>
  <si>
    <t xml:space="preserve">   2. Receivables from buyers</t>
  </si>
  <si>
    <t xml:space="preserve">   3. Receivables from participating enterpreneurs</t>
  </si>
  <si>
    <t xml:space="preserve">   4. Receivables from employees and members of the enterpreneur</t>
  </si>
  <si>
    <t xml:space="preserve">   5.Receivables from the state and other institution</t>
  </si>
  <si>
    <t xml:space="preserve">   6. Other receivables</t>
  </si>
  <si>
    <t>III. CURRENT FINANCIAL ASSETS (051 through 057)</t>
  </si>
  <si>
    <t xml:space="preserve">     7. Other financial assets</t>
  </si>
  <si>
    <t>IV. CASH IN BANK AND REGISTER</t>
  </si>
  <si>
    <t>D)  PREPAYMENTS AND ACCRUED INCOME</t>
  </si>
  <si>
    <t>RAIFFEISENBANK AUSTRIA D.D./R5</t>
  </si>
  <si>
    <t>HANŽEKOVIĆ MARIJAN (1/1)</t>
  </si>
  <si>
    <t>RAIFFEISENBANK AUSTRIA D.D./RBA</t>
  </si>
  <si>
    <t>SOCIETE GENERALE-SPLITSKA BANKA D.D./ AZ OBVEZNI MIROVINSKI FOND (1/1)</t>
  </si>
  <si>
    <t>ZAGREBAČKA BANKA D.D. (1/1)</t>
  </si>
  <si>
    <t>RAIFFEISENBANK AUSTRIA D.D. (1/1)</t>
  </si>
  <si>
    <t>ŽUVANIĆ ROLAND (1/1)</t>
  </si>
  <si>
    <t>EUR</t>
  </si>
  <si>
    <t>USD</t>
  </si>
  <si>
    <t>CHF</t>
  </si>
  <si>
    <t>GPB</t>
  </si>
  <si>
    <t>Jadranka Suručić</t>
  </si>
  <si>
    <t>Marjan Hanžeković</t>
  </si>
  <si>
    <t>Ivan Martić</t>
  </si>
  <si>
    <t>ZAGREBAČKA BANKA D.D./ZBIRNI SKRBNIČKI RAČUN ZA UNICREDIT BANK AUSTRIA AG</t>
  </si>
  <si>
    <t>SOCIETE GENERALE-SPLITSKA BANKA D.D./ AZ PROFIT DOBROVOLJNI MIROVINSKI FOND (1/1)</t>
  </si>
  <si>
    <t>Enclosure 1</t>
  </si>
  <si>
    <t>Reporting period:</t>
  </si>
  <si>
    <t>to</t>
  </si>
  <si>
    <t>Tax Number (MB):</t>
  </si>
  <si>
    <t>Registration Number (MBS):</t>
  </si>
  <si>
    <t>Personal Identification Number (OIB):</t>
  </si>
  <si>
    <t>Issuer:</t>
  </si>
  <si>
    <t>Postal Code and Location:</t>
  </si>
  <si>
    <t>Street and number:</t>
  </si>
  <si>
    <t>e-mail address:</t>
  </si>
  <si>
    <t>Internet address:</t>
  </si>
  <si>
    <t>Code and name for municipality/city</t>
  </si>
  <si>
    <t>Code and name for county</t>
  </si>
  <si>
    <t>Number of employees</t>
  </si>
  <si>
    <t>(at the year's end)</t>
  </si>
  <si>
    <t>Consolidated Report</t>
  </si>
  <si>
    <t>NO</t>
  </si>
  <si>
    <t>Business activity code:</t>
  </si>
  <si>
    <t>Entities in consolidation (according to IFRS)</t>
  </si>
  <si>
    <t>Registered seat:</t>
  </si>
  <si>
    <t>Tax number (MB):</t>
  </si>
  <si>
    <t>Book-keeping firm</t>
  </si>
  <si>
    <t>Contact person</t>
  </si>
  <si>
    <t>Telephone</t>
  </si>
  <si>
    <t>e-mail address</t>
  </si>
  <si>
    <t>Surname and name</t>
  </si>
  <si>
    <t>1. Financial Statements (balance sheet, profit and loss account, cash flow statement, change in capital statement</t>
  </si>
  <si>
    <t xml:space="preserve">    and notes</t>
  </si>
  <si>
    <t>2. Management report</t>
  </si>
  <si>
    <t>3. Statements for persons responsible for composing financial statements</t>
  </si>
  <si>
    <t>(signature of authorized person)</t>
  </si>
  <si>
    <t>Quarterly Financial Report-TFI-POD</t>
  </si>
  <si>
    <t>1 Jan 2011</t>
  </si>
  <si>
    <t>31 Mar 2011</t>
  </si>
  <si>
    <t>Documents for publication</t>
  </si>
  <si>
    <t>BALANCE SHEET</t>
  </si>
  <si>
    <t>as at 31.03.2011.</t>
  </si>
  <si>
    <t>Issuer: OT - Optima Telekom d.d.</t>
  </si>
  <si>
    <t>Item</t>
  </si>
  <si>
    <t>EDP #</t>
  </si>
  <si>
    <t>Previous period</t>
  </si>
  <si>
    <t>Current period</t>
  </si>
  <si>
    <t>ASSETS</t>
  </si>
  <si>
    <t>A)  SUBSCRIBED CAPITAL UNPAID</t>
  </si>
  <si>
    <r>
      <t xml:space="preserve">B)   FIXED ASSETS </t>
    </r>
    <r>
      <rPr>
        <sz val="9"/>
        <rFont val="Arial"/>
        <family val="2"/>
        <charset val="238"/>
      </rPr>
      <t>(003+010+020+029+033)</t>
    </r>
  </si>
  <si>
    <t>I. INTANGIBLE ASSETS (004 through 009)</t>
  </si>
  <si>
    <t xml:space="preserve">   1. Development expenses</t>
  </si>
  <si>
    <t>VI. Ukupno novčani izdaci od financijskih aktivnosti (032 do 036)</t>
  </si>
  <si>
    <t>Ukupno povećanje novčanog tijeka (014 – 015 + 026 – 027 + 038 – 039)</t>
  </si>
  <si>
    <t>NOVČANI TIJEK OD POSLOVNIH AKTIVNOSTI</t>
  </si>
  <si>
    <t>NOVČANI TIJEK OD INVESTICIJSKIH AKTIVNOSTI</t>
  </si>
  <si>
    <t>NOVČANI TIJEK OD FINANCIJSKIH AKTIVNOSTI</t>
  </si>
  <si>
    <t>Novac i novčani ekvivalenti na početku razdoblja</t>
  </si>
  <si>
    <t>C1) NETO POVEĆANJE NOVČANOG TIJEKA OD FINANCIJSKIH
       AKTIVNOSTI (031-037)</t>
  </si>
  <si>
    <t>C2) NETO SMANJENJE NOVČANOG TIJEKA OD FINANCIJSKIH
       AKTIVNOSTI (037-031)</t>
  </si>
  <si>
    <t xml:space="preserve">     1. Novčani primici od prodaje dugotrajne materijalne i nematerijalne imovine</t>
  </si>
  <si>
    <t xml:space="preserve">     2. Novčani primici od prodaje vlasničkih i dužničkih instrumenata</t>
  </si>
  <si>
    <t xml:space="preserve">     5. Ostali novčani primici od investicijskih aktivnosti</t>
  </si>
  <si>
    <t xml:space="preserve">   1. Novčani primici od izdavanja vlasničkih i dužničkih financijskih instrumenata</t>
  </si>
  <si>
    <t>Povećanje  novca i novčanih ekvivalenata</t>
  </si>
  <si>
    <t>Smanjenje novca i novčanih ekvivalenata</t>
  </si>
  <si>
    <t>Novac i novčani ekvivalenti na kraju razdoblja</t>
  </si>
  <si>
    <t>IZVJEŠTAJ O NOVČANOM TIJEKU - Direktna metoda</t>
  </si>
  <si>
    <t>I.  Ukupno novčani primici od poslovnih aktivnosti (001 do 005)</t>
  </si>
  <si>
    <t xml:space="preserve">     1. Novčani primici od kupaca</t>
  </si>
  <si>
    <t>(unosi se samo prezime i ime osobe za kontakt)</t>
  </si>
  <si>
    <t>Telefaks:</t>
  </si>
  <si>
    <t>(osoba ovlaštene za zastupanje)</t>
  </si>
  <si>
    <t/>
  </si>
  <si>
    <t>M.P.</t>
  </si>
  <si>
    <r>
      <t xml:space="preserve">AOP
</t>
    </r>
    <r>
      <rPr>
        <b/>
        <sz val="8"/>
        <rFont val="Arial"/>
        <family val="2"/>
        <charset val="238"/>
      </rPr>
      <t>oznaka</t>
    </r>
  </si>
  <si>
    <t>3</t>
  </si>
  <si>
    <t>4</t>
  </si>
  <si>
    <t>Prethodno razdoblje</t>
  </si>
  <si>
    <t>Tekuće razdoblje</t>
  </si>
  <si>
    <t xml:space="preserve">     3. Novčani primici od kamata</t>
  </si>
  <si>
    <t xml:space="preserve">     4. Novčani primici od dividendi</t>
  </si>
  <si>
    <t>0820431</t>
  </si>
  <si>
    <t>040035070</t>
  </si>
  <si>
    <t>36004425025</t>
  </si>
  <si>
    <t>OT-OPTIMA TELEKOM d.d.</t>
  </si>
  <si>
    <t>BUZIN</t>
  </si>
  <si>
    <t>BANI 75A</t>
  </si>
  <si>
    <t>info@optima.hr</t>
  </si>
  <si>
    <t>www.optima.hr</t>
  </si>
  <si>
    <t>Svetlana Kundović</t>
  </si>
  <si>
    <t>01/5492 027</t>
  </si>
  <si>
    <t>svetlana.kundovic@optima-telekom.hr</t>
  </si>
  <si>
    <t>MATIJA MARTIĆ, JADRANKA SURUČIĆ</t>
  </si>
  <si>
    <t>01/5492 019</t>
  </si>
  <si>
    <t xml:space="preserve"> </t>
  </si>
  <si>
    <t xml:space="preserve">Glavna djelatnosti Optima Direct d.o.o. je trgovina i pružanje raznovrsnih usluga koje se većinom odnose na sektor telekomunikacija. </t>
  </si>
  <si>
    <t>Goran Jovičić</t>
  </si>
  <si>
    <t xml:space="preserve">Jadranka Suručić                                    </t>
  </si>
  <si>
    <t>Matija Martić</t>
  </si>
  <si>
    <t>Nada Martić</t>
  </si>
  <si>
    <t>MARTIĆ MATIJA (1/1)</t>
  </si>
  <si>
    <t xml:space="preserve">     1. Novčani izdaci za kupnju dugotrajne materijalne i nematerijalne imovine</t>
  </si>
  <si>
    <t xml:space="preserve">     2. Novčani izdaci za stjecanje vlasničkih i dužničkih financijskih instrumenata</t>
  </si>
  <si>
    <t xml:space="preserve">     3. Ostali novčani izdaci od investicijskih aktivnosti</t>
  </si>
  <si>
    <t>u razdoblju __.__.____. do __.__.____.</t>
  </si>
  <si>
    <t>Obveznik: _____________________________________________________________</t>
  </si>
  <si>
    <t>Ukupno smanjenje novčanog tijeka (015 – 014 + 027 – 026 + 039 – 038)</t>
  </si>
  <si>
    <t xml:space="preserve">   2. Novčani primici od glavnice kredita, zadužnica, pozajmica i drugih posudbi</t>
  </si>
  <si>
    <t xml:space="preserve">   3. Ostali primici od financijskih aktivnosti</t>
  </si>
  <si>
    <t xml:space="preserve">   1. Novčani izdaci za otplatu glavnice kredita i obveznica</t>
  </si>
  <si>
    <t xml:space="preserve">   2. Novčani izdaci za isplatu dividendi</t>
  </si>
  <si>
    <t xml:space="preserve">   3. Novčani izdaci za financijski najam</t>
  </si>
  <si>
    <t xml:space="preserve">   4. Novčani izdaci za otkup vlastitih dionica</t>
  </si>
  <si>
    <t xml:space="preserve">   5. Ostali novčani izdaci od financijskih aktivnosti</t>
  </si>
  <si>
    <t>II.  Ukupno novčani izdaci od poslovnih aktivnosti (007 do 012)</t>
  </si>
  <si>
    <t>IV. Ukupno novčani izdaci od investicijskih aktivnosti (022 do 024)</t>
  </si>
  <si>
    <t>V. Ukupno novčani primici od financijskih aktivnosti (028 do 030)</t>
  </si>
  <si>
    <t>PASIVA</t>
  </si>
  <si>
    <t>Naziv pozicije</t>
  </si>
  <si>
    <t>A1) NETO POVEĆANJE NOVČANOG TIJEKA OD POSLOVNIH 
       AKTIVNOSTI (006-013)</t>
  </si>
  <si>
    <t>A2) NETO SMANJENJE NOVČANOG TIJEKA OD POSLOVNIH 
       AKTIVNOSTI (013-006)</t>
  </si>
  <si>
    <t>B1) NETO POVEĆANJE NOVČANOG TIJEKA OD INVESTICIJSKIH
       AKTIVNOSTI (021-025)</t>
  </si>
  <si>
    <t>B2) NETO SMANJENJE NOVČANOG TIJEKA OD INVESTICIJSKIH
       AKTIVNOSTI (025-021)</t>
  </si>
  <si>
    <t xml:space="preserve">   3. Goodwill</t>
  </si>
  <si>
    <t>III. Ukupno novčani primici od investicijskih aktivnosti (016 do 020)</t>
  </si>
  <si>
    <t xml:space="preserve">     2. Novčani primici od tantijema, naknada, provizija i sl.</t>
  </si>
  <si>
    <t xml:space="preserve">     3. Novčani primici od osiguranja za naknadu šteta</t>
  </si>
  <si>
    <t xml:space="preserve">     4. Novčani primici s osnove povrata poreza</t>
  </si>
  <si>
    <t xml:space="preserve">     5. Ostali novčani primici</t>
  </si>
  <si>
    <t xml:space="preserve">     1. Novčani izdaci dobavljačima</t>
  </si>
  <si>
    <t xml:space="preserve">     2. Novčani izdaci za zaposlene</t>
  </si>
  <si>
    <t xml:space="preserve">     3. Novčani izdaci za osiguranje za naknade šteta</t>
  </si>
  <si>
    <t xml:space="preserve">     4. Novčani izdaci za kamate</t>
  </si>
  <si>
    <t xml:space="preserve">     5. Novčani izdaci za poreze</t>
  </si>
  <si>
    <t xml:space="preserve">     6. Ostali novčani izdaci</t>
  </si>
</sst>
</file>

<file path=xl/styles.xml><?xml version="1.0" encoding="utf-8"?>
<styleSheet xmlns="http://schemas.openxmlformats.org/spreadsheetml/2006/main">
  <numFmts count="2">
    <numFmt numFmtId="164" formatCode="_-* #,##0.00\ _k_n_-;\-* #,##0.00\ _k_n_-;_-* &quot;-&quot;??\ _k_n_-;_-@_-"/>
    <numFmt numFmtId="165" formatCode="000"/>
  </numFmts>
  <fonts count="64">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charset val="238"/>
    </font>
    <font>
      <sz val="8"/>
      <name val="Arial"/>
      <family val="2"/>
      <charset val="238"/>
    </font>
    <font>
      <sz val="8"/>
      <name val="Arial"/>
      <family val="2"/>
      <charset val="238"/>
    </font>
    <font>
      <b/>
      <sz val="9"/>
      <name val="Arial"/>
      <family val="2"/>
      <charset val="238"/>
    </font>
    <font>
      <sz val="9"/>
      <name val="Arial"/>
      <family val="2"/>
      <charset val="238"/>
    </font>
    <font>
      <u/>
      <sz val="10"/>
      <color indexed="12"/>
      <name val="Arial"/>
      <family val="2"/>
      <charset val="238"/>
    </font>
    <font>
      <sz val="9"/>
      <name val="Arial"/>
      <family val="2"/>
      <charset val="238"/>
    </font>
    <font>
      <b/>
      <sz val="8"/>
      <name val="Arial"/>
      <family val="2"/>
      <charset val="238"/>
    </font>
    <font>
      <b/>
      <sz val="10"/>
      <name val="Arial"/>
      <family val="2"/>
      <charset val="238"/>
    </font>
    <font>
      <sz val="8"/>
      <color indexed="16"/>
      <name val="Arial"/>
      <family val="2"/>
      <charset val="238"/>
    </font>
    <font>
      <sz val="10"/>
      <color indexed="8"/>
      <name val="Arial"/>
      <family val="2"/>
      <charset val="238"/>
    </font>
    <font>
      <b/>
      <sz val="12"/>
      <name val="Arial"/>
      <family val="2"/>
      <charset val="238"/>
    </font>
    <font>
      <b/>
      <sz val="12"/>
      <name val="Arial Rounded MT Bold"/>
      <family val="2"/>
    </font>
    <font>
      <b/>
      <sz val="9"/>
      <name val="Arial Rounded MT Bold"/>
      <family val="2"/>
    </font>
    <font>
      <sz val="9"/>
      <color indexed="8"/>
      <name val="Arial"/>
      <family val="2"/>
      <charset val="238"/>
    </font>
    <font>
      <sz val="10"/>
      <name val="Arial"/>
      <charset val="238"/>
    </font>
    <font>
      <sz val="12"/>
      <name val="Arial"/>
      <family val="2"/>
      <charset val="238"/>
    </font>
    <font>
      <b/>
      <sz val="12"/>
      <name val="Arial"/>
      <family val="2"/>
      <charset val="238"/>
    </font>
    <font>
      <b/>
      <sz val="10"/>
      <name val="Arial"/>
      <family val="2"/>
      <charset val="238"/>
    </font>
    <font>
      <b/>
      <sz val="9"/>
      <name val="Arial"/>
      <family val="2"/>
      <charset val="238"/>
    </font>
    <font>
      <b/>
      <sz val="8"/>
      <name val="Arial"/>
      <family val="2"/>
      <charset val="238"/>
    </font>
    <font>
      <b/>
      <sz val="9"/>
      <color indexed="8"/>
      <name val="Arial"/>
      <family val="2"/>
      <charset val="238"/>
    </font>
    <font>
      <b/>
      <sz val="10"/>
      <color indexed="8"/>
      <name val="Arial"/>
      <family val="2"/>
      <charset val="238"/>
    </font>
    <font>
      <sz val="8"/>
      <color indexed="8"/>
      <name val="Arial"/>
      <family val="2"/>
      <charset val="238"/>
    </font>
    <font>
      <b/>
      <sz val="18"/>
      <color theme="3"/>
      <name val="Cambria"/>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10"/>
      <color indexed="9"/>
      <name val="Arial"/>
      <family val="2"/>
      <charset val="238"/>
    </font>
    <font>
      <sz val="10"/>
      <color indexed="10"/>
      <name val="Arial"/>
      <family val="2"/>
      <charset val="238"/>
    </font>
    <font>
      <sz val="12"/>
      <name val="Times New Roman"/>
      <family val="1"/>
      <charset val="238"/>
    </font>
    <font>
      <b/>
      <sz val="16"/>
      <name val="Arial"/>
      <family val="2"/>
      <charset val="238"/>
    </font>
    <font>
      <b/>
      <sz val="14"/>
      <name val="Times New Roman"/>
      <family val="1"/>
      <charset val="238"/>
    </font>
    <font>
      <sz val="9.5"/>
      <name val="Arial"/>
      <family val="2"/>
      <charset val="238"/>
    </font>
    <font>
      <b/>
      <sz val="9.5"/>
      <name val="Arial"/>
      <family val="2"/>
      <charset val="238"/>
    </font>
    <font>
      <sz val="10"/>
      <color indexed="10"/>
      <name val="Arial"/>
      <family val="2"/>
      <charset val="238"/>
    </font>
    <font>
      <sz val="10"/>
      <name val="Times New Roman"/>
      <family val="1"/>
      <charset val="238"/>
    </font>
    <font>
      <sz val="10"/>
      <color indexed="10"/>
      <name val="Arial"/>
      <family val="2"/>
      <charset val="238"/>
    </font>
    <font>
      <sz val="10"/>
      <color indexed="12"/>
      <name val="Arial"/>
      <family val="2"/>
      <charset val="238"/>
    </font>
    <font>
      <sz val="10"/>
      <name val="Arial"/>
      <charset val="238"/>
    </font>
    <font>
      <b/>
      <sz val="10"/>
      <name val="Arial"/>
      <family val="2"/>
      <charset val="238"/>
    </font>
    <font>
      <sz val="9.5"/>
      <color indexed="8"/>
      <name val="Arial"/>
      <family val="2"/>
      <charset val="238"/>
    </font>
    <font>
      <b/>
      <sz val="9.5"/>
      <color indexed="8"/>
      <name val="Arial"/>
      <family val="2"/>
      <charset val="238"/>
    </font>
    <font>
      <b/>
      <sz val="12"/>
      <name val="Times New Roman"/>
      <family val="1"/>
      <charset val="238"/>
    </font>
    <font>
      <b/>
      <sz val="11"/>
      <color indexed="8"/>
      <name val="Calibri"/>
      <family val="2"/>
      <charset val="238"/>
    </font>
    <font>
      <sz val="8"/>
      <name val="Verdana"/>
      <family val="2"/>
    </font>
    <font>
      <b/>
      <sz val="10"/>
      <name val="Times New Roman"/>
      <family val="1"/>
      <charset val="238"/>
    </font>
    <font>
      <i/>
      <sz val="9.5"/>
      <name val="Arial"/>
      <family val="2"/>
      <charset val="238"/>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65"/>
        <bgColor indexed="64"/>
      </patternFill>
    </fill>
  </fills>
  <borders count="67">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bottom/>
      <diagonal/>
    </border>
    <border>
      <left/>
      <right/>
      <top style="thin">
        <color indexed="64"/>
      </top>
      <bottom/>
      <diagonal/>
    </border>
    <border>
      <left/>
      <right/>
      <top/>
      <bottom style="medium">
        <color indexed="64"/>
      </bottom>
      <diagonal/>
    </border>
    <border>
      <left/>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style="thin">
        <color indexed="64"/>
      </top>
      <bottom style="medium">
        <color indexed="64"/>
      </bottom>
      <diagonal/>
    </border>
    <border>
      <left/>
      <right style="thin">
        <color indexed="8"/>
      </right>
      <top/>
      <bottom/>
      <diagonal/>
    </border>
    <border>
      <left style="thin">
        <color indexed="8"/>
      </left>
      <right/>
      <top/>
      <bottom style="thin">
        <color indexed="64"/>
      </bottom>
      <diagonal/>
    </border>
    <border>
      <left style="thin">
        <color indexed="8"/>
      </left>
      <right/>
      <top/>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thin">
        <color indexed="64"/>
      </right>
      <top style="hair">
        <color indexed="8"/>
      </top>
      <bottom style="thin">
        <color indexed="8"/>
      </bottom>
      <diagonal/>
    </border>
    <border>
      <left/>
      <right/>
      <top style="thin">
        <color indexed="8"/>
      </top>
      <bottom style="hair">
        <color indexed="8"/>
      </bottom>
      <diagonal/>
    </border>
    <border>
      <left/>
      <right style="thin">
        <color indexed="64"/>
      </right>
      <top style="thin">
        <color indexed="8"/>
      </top>
      <bottom style="hair">
        <color indexed="8"/>
      </bottom>
      <diagonal/>
    </border>
    <border>
      <left style="thin">
        <color indexed="8"/>
      </left>
      <right/>
      <top style="hair">
        <color indexed="8"/>
      </top>
      <bottom style="hair">
        <color indexed="8"/>
      </bottom>
      <diagonal/>
    </border>
    <border>
      <left/>
      <right/>
      <top style="hair">
        <color indexed="8"/>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thin">
        <color indexed="8"/>
      </bottom>
      <diagonal/>
    </border>
    <border>
      <left/>
      <right style="thin">
        <color indexed="64"/>
      </right>
      <top style="hair">
        <color indexed="8"/>
      </top>
      <bottom style="hair">
        <color indexed="8"/>
      </bottom>
      <diagonal/>
    </border>
    <border>
      <left style="thin">
        <color indexed="8"/>
      </left>
      <right/>
      <top style="hair">
        <color indexed="8"/>
      </top>
      <bottom style="thin">
        <color indexed="64"/>
      </bottom>
      <diagonal/>
    </border>
    <border>
      <left/>
      <right/>
      <top style="hair">
        <color indexed="8"/>
      </top>
      <bottom style="thin">
        <color indexed="64"/>
      </bottom>
      <diagonal/>
    </border>
    <border>
      <left/>
      <right style="thin">
        <color indexed="64"/>
      </right>
      <top style="hair">
        <color indexed="8"/>
      </top>
      <bottom style="thin">
        <color indexed="64"/>
      </bottom>
      <diagonal/>
    </border>
  </borders>
  <cellStyleXfs count="49">
    <xf numFmtId="0" fontId="0" fillId="0" borderId="0"/>
    <xf numFmtId="0" fontId="14" fillId="0" borderId="0">
      <alignment vertical="top"/>
    </xf>
    <xf numFmtId="0" fontId="9" fillId="0" borderId="0" applyNumberFormat="0" applyFill="0" applyBorder="0" applyAlignment="0" applyProtection="0">
      <alignment vertical="top"/>
      <protection locked="0"/>
    </xf>
    <xf numFmtId="0" fontId="14" fillId="0" borderId="0">
      <alignment vertical="top"/>
    </xf>
    <xf numFmtId="0" fontId="28" fillId="0" borderId="0" applyNumberFormat="0" applyFill="0" applyBorder="0" applyAlignment="0" applyProtection="0"/>
    <xf numFmtId="0" fontId="29" fillId="0" borderId="37" applyNumberFormat="0" applyFill="0" applyAlignment="0" applyProtection="0"/>
    <xf numFmtId="0" fontId="30" fillId="0" borderId="38" applyNumberFormat="0" applyFill="0" applyAlignment="0" applyProtection="0"/>
    <xf numFmtId="0" fontId="31" fillId="0" borderId="39" applyNumberFormat="0" applyFill="0" applyAlignment="0" applyProtection="0"/>
    <xf numFmtId="0" fontId="31" fillId="0" borderId="0" applyNumberFormat="0" applyFill="0" applyBorder="0" applyAlignment="0" applyProtection="0"/>
    <xf numFmtId="0" fontId="32" fillId="2" borderId="0" applyNumberFormat="0" applyBorder="0" applyAlignment="0" applyProtection="0"/>
    <xf numFmtId="0" fontId="33" fillId="3" borderId="0" applyNumberFormat="0" applyBorder="0" applyAlignment="0" applyProtection="0"/>
    <xf numFmtId="0" fontId="34" fillId="4" borderId="0" applyNumberFormat="0" applyBorder="0" applyAlignment="0" applyProtection="0"/>
    <xf numFmtId="0" fontId="35" fillId="5" borderId="40" applyNumberFormat="0" applyAlignment="0" applyProtection="0"/>
    <xf numFmtId="0" fontId="36" fillId="6" borderId="41" applyNumberFormat="0" applyAlignment="0" applyProtection="0"/>
    <xf numFmtId="0" fontId="37" fillId="6" borderId="40" applyNumberFormat="0" applyAlignment="0" applyProtection="0"/>
    <xf numFmtId="0" fontId="38" fillId="0" borderId="42" applyNumberFormat="0" applyFill="0" applyAlignment="0" applyProtection="0"/>
    <xf numFmtId="0" fontId="39" fillId="7" borderId="43"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45" applyNumberFormat="0" applyFill="0" applyAlignment="0" applyProtection="0"/>
    <xf numFmtId="0" fontId="4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43" fillId="12" borderId="0" applyNumberFormat="0" applyBorder="0" applyAlignment="0" applyProtection="0"/>
    <xf numFmtId="0" fontId="4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3" fillId="16" borderId="0" applyNumberFormat="0" applyBorder="0" applyAlignment="0" applyProtection="0"/>
    <xf numFmtId="0" fontId="4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43" fillId="24" borderId="0" applyNumberFormat="0" applyBorder="0" applyAlignment="0" applyProtection="0"/>
    <xf numFmtId="0" fontId="4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43" fillId="28" borderId="0" applyNumberFormat="0" applyBorder="0" applyAlignment="0" applyProtection="0"/>
    <xf numFmtId="0" fontId="4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43" fillId="32" borderId="0" applyNumberFormat="0" applyBorder="0" applyAlignment="0" applyProtection="0"/>
    <xf numFmtId="0" fontId="3" fillId="0" borderId="0"/>
    <xf numFmtId="164" fontId="3" fillId="0" borderId="0" applyFont="0" applyFill="0" applyBorder="0" applyAlignment="0" applyProtection="0"/>
    <xf numFmtId="0" fontId="3" fillId="8" borderId="44" applyNumberFormat="0" applyFont="0" applyAlignment="0" applyProtection="0"/>
    <xf numFmtId="0" fontId="2" fillId="0" borderId="0"/>
    <xf numFmtId="0" fontId="61" fillId="0" borderId="0">
      <alignment vertical="center"/>
    </xf>
  </cellStyleXfs>
  <cellXfs count="479">
    <xf numFmtId="0" fontId="0" fillId="0" borderId="0" xfId="0"/>
    <xf numFmtId="165" fontId="7" fillId="0" borderId="1" xfId="0" applyNumberFormat="1" applyFont="1" applyFill="1" applyBorder="1" applyAlignment="1">
      <alignment horizontal="center" vertical="center"/>
    </xf>
    <xf numFmtId="165" fontId="7" fillId="0" borderId="2" xfId="0" applyNumberFormat="1" applyFont="1" applyFill="1" applyBorder="1" applyAlignment="1">
      <alignment horizontal="center" vertical="center"/>
    </xf>
    <xf numFmtId="165" fontId="7" fillId="0" borderId="3" xfId="0" applyNumberFormat="1" applyFont="1" applyFill="1" applyBorder="1" applyAlignment="1">
      <alignment horizontal="center" vertical="center"/>
    </xf>
    <xf numFmtId="165" fontId="7" fillId="0" borderId="4" xfId="0" applyNumberFormat="1" applyFont="1" applyFill="1" applyBorder="1" applyAlignment="1">
      <alignment horizontal="center" vertical="center"/>
    </xf>
    <xf numFmtId="3" fontId="5" fillId="0" borderId="5" xfId="0" applyNumberFormat="1" applyFont="1" applyFill="1" applyBorder="1" applyAlignment="1" applyProtection="1">
      <alignment vertical="center"/>
      <protection locked="0"/>
    </xf>
    <xf numFmtId="3" fontId="5" fillId="0" borderId="6" xfId="0" applyNumberFormat="1" applyFont="1" applyFill="1" applyBorder="1" applyAlignment="1" applyProtection="1">
      <alignment vertical="center"/>
      <protection locked="0"/>
    </xf>
    <xf numFmtId="3" fontId="5" fillId="0" borderId="1" xfId="0" applyNumberFormat="1" applyFont="1" applyFill="1" applyBorder="1" applyAlignment="1" applyProtection="1">
      <alignment vertical="center"/>
      <protection locked="0"/>
    </xf>
    <xf numFmtId="3" fontId="5" fillId="0" borderId="4" xfId="0" applyNumberFormat="1" applyFont="1" applyFill="1" applyBorder="1" applyAlignment="1" applyProtection="1">
      <alignment vertical="center"/>
      <protection locked="0"/>
    </xf>
    <xf numFmtId="165" fontId="7" fillId="0" borderId="6" xfId="0" applyNumberFormat="1" applyFont="1" applyFill="1" applyBorder="1" applyAlignment="1">
      <alignment horizontal="center" vertical="center"/>
    </xf>
    <xf numFmtId="0" fontId="10" fillId="0" borderId="0" xfId="3" applyFont="1" applyAlignment="1"/>
    <xf numFmtId="0" fontId="4" fillId="0" borderId="0" xfId="3" applyFont="1" applyAlignment="1"/>
    <xf numFmtId="0" fontId="7" fillId="0" borderId="0" xfId="3" applyFont="1" applyFill="1" applyBorder="1" applyAlignment="1" applyProtection="1">
      <alignment horizontal="left" vertical="center"/>
      <protection hidden="1"/>
    </xf>
    <xf numFmtId="0" fontId="8" fillId="0" borderId="0" xfId="3" applyFont="1" applyFill="1" applyBorder="1" applyAlignment="1" applyProtection="1">
      <alignment vertical="center"/>
      <protection hidden="1"/>
    </xf>
    <xf numFmtId="0" fontId="8" fillId="0" borderId="0" xfId="3" applyFont="1" applyFill="1" applyBorder="1" applyAlignment="1" applyProtection="1">
      <alignment horizontal="center" vertical="center" wrapText="1"/>
      <protection hidden="1"/>
    </xf>
    <xf numFmtId="0" fontId="10" fillId="0" borderId="0" xfId="3" applyFont="1" applyBorder="1" applyAlignment="1" applyProtection="1">
      <protection hidden="1"/>
    </xf>
    <xf numFmtId="0" fontId="17" fillId="0" borderId="0" xfId="3" applyFont="1" applyBorder="1" applyAlignment="1" applyProtection="1">
      <alignment horizontal="right" vertical="center" wrapText="1"/>
      <protection hidden="1"/>
    </xf>
    <xf numFmtId="0" fontId="17" fillId="0" borderId="0" xfId="3" applyNumberFormat="1" applyFont="1" applyFill="1" applyBorder="1" applyAlignment="1" applyProtection="1">
      <alignment horizontal="right" vertical="center" shrinkToFit="1"/>
      <protection locked="0" hidden="1"/>
    </xf>
    <xf numFmtId="0" fontId="17" fillId="0" borderId="0" xfId="3" applyFont="1" applyFill="1" applyBorder="1" applyAlignment="1" applyProtection="1">
      <alignment horizontal="left" vertical="center"/>
      <protection hidden="1"/>
    </xf>
    <xf numFmtId="0" fontId="10" fillId="0" borderId="0" xfId="3" applyFont="1" applyBorder="1" applyAlignment="1" applyProtection="1">
      <alignment horizontal="left"/>
      <protection hidden="1"/>
    </xf>
    <xf numFmtId="0" fontId="10" fillId="0" borderId="0" xfId="3" applyFont="1" applyBorder="1" applyAlignment="1" applyProtection="1">
      <alignment vertical="top"/>
      <protection hidden="1"/>
    </xf>
    <xf numFmtId="0" fontId="10" fillId="0" borderId="0" xfId="3" applyFont="1" applyBorder="1" applyAlignment="1" applyProtection="1">
      <alignment horizontal="right"/>
      <protection hidden="1"/>
    </xf>
    <xf numFmtId="0" fontId="7" fillId="0" borderId="0" xfId="3" applyFont="1" applyFill="1" applyBorder="1" applyAlignment="1" applyProtection="1">
      <alignment horizontal="right" vertical="center"/>
      <protection locked="0" hidden="1"/>
    </xf>
    <xf numFmtId="0" fontId="8" fillId="0" borderId="0" xfId="3" applyFont="1" applyBorder="1" applyAlignment="1" applyProtection="1">
      <protection hidden="1"/>
    </xf>
    <xf numFmtId="0" fontId="7" fillId="0" borderId="0" xfId="3" applyFont="1" applyBorder="1" applyAlignment="1" applyProtection="1">
      <alignment vertical="top"/>
      <protection hidden="1"/>
    </xf>
    <xf numFmtId="0" fontId="10" fillId="0" borderId="0" xfId="3" applyFont="1" applyFill="1" applyBorder="1" applyAlignment="1" applyProtection="1">
      <protection hidden="1"/>
    </xf>
    <xf numFmtId="0" fontId="10" fillId="0" borderId="0" xfId="3" applyFont="1" applyBorder="1" applyAlignment="1" applyProtection="1">
      <alignment horizontal="center" vertical="center"/>
      <protection locked="0" hidden="1"/>
    </xf>
    <xf numFmtId="0" fontId="10" fillId="0" borderId="0" xfId="3" applyFont="1" applyBorder="1" applyAlignment="1" applyProtection="1">
      <alignment vertical="top" wrapText="1"/>
      <protection hidden="1"/>
    </xf>
    <xf numFmtId="0" fontId="10" fillId="0" borderId="0" xfId="3" applyFont="1" applyBorder="1" applyAlignment="1" applyProtection="1">
      <alignment wrapText="1"/>
      <protection hidden="1"/>
    </xf>
    <xf numFmtId="0" fontId="10" fillId="0" borderId="0" xfId="3" applyFont="1" applyBorder="1" applyAlignment="1" applyProtection="1">
      <alignment horizontal="right" vertical="top"/>
      <protection hidden="1"/>
    </xf>
    <xf numFmtId="0" fontId="10" fillId="0" borderId="0" xfId="3" applyFont="1" applyBorder="1" applyAlignment="1" applyProtection="1">
      <alignment horizontal="center" vertical="top"/>
      <protection hidden="1"/>
    </xf>
    <xf numFmtId="0" fontId="10" fillId="0" borderId="0" xfId="3" applyFont="1" applyBorder="1" applyAlignment="1" applyProtection="1">
      <alignment horizontal="center"/>
      <protection hidden="1"/>
    </xf>
    <xf numFmtId="0" fontId="10" fillId="0" borderId="0" xfId="3" applyFont="1" applyBorder="1" applyAlignment="1"/>
    <xf numFmtId="0" fontId="10" fillId="0" borderId="0" xfId="3" applyFont="1" applyBorder="1" applyAlignment="1" applyProtection="1">
      <alignment horizontal="left" vertical="top"/>
      <protection hidden="1"/>
    </xf>
    <xf numFmtId="0" fontId="10" fillId="0" borderId="8" xfId="3" applyFont="1" applyBorder="1" applyAlignment="1" applyProtection="1">
      <protection hidden="1"/>
    </xf>
    <xf numFmtId="0" fontId="10" fillId="0" borderId="0" xfId="3" applyFont="1" applyBorder="1" applyAlignment="1" applyProtection="1">
      <alignment vertical="center"/>
      <protection hidden="1"/>
    </xf>
    <xf numFmtId="0" fontId="10" fillId="0" borderId="9" xfId="3" applyFont="1" applyBorder="1" applyAlignment="1" applyProtection="1">
      <protection hidden="1"/>
    </xf>
    <xf numFmtId="0" fontId="10" fillId="0" borderId="9" xfId="3" applyFont="1" applyBorder="1" applyAlignment="1"/>
    <xf numFmtId="0" fontId="21" fillId="0" borderId="0" xfId="1" applyFont="1" applyFill="1" applyBorder="1" applyAlignment="1">
      <alignment horizontal="center" vertical="center" wrapText="1"/>
    </xf>
    <xf numFmtId="165" fontId="23" fillId="0" borderId="1" xfId="0" applyNumberFormat="1" applyFont="1" applyFill="1" applyBorder="1" applyAlignment="1">
      <alignment horizontal="center" vertical="center"/>
    </xf>
    <xf numFmtId="3" fontId="6" fillId="0" borderId="6" xfId="0" applyNumberFormat="1" applyFont="1" applyFill="1" applyBorder="1" applyAlignment="1" applyProtection="1">
      <alignment vertical="center"/>
      <protection locked="0"/>
    </xf>
    <xf numFmtId="165" fontId="23" fillId="0" borderId="6" xfId="0" applyNumberFormat="1" applyFont="1" applyFill="1" applyBorder="1" applyAlignment="1">
      <alignment horizontal="center" vertical="center"/>
    </xf>
    <xf numFmtId="165" fontId="23" fillId="0" borderId="4" xfId="0" applyNumberFormat="1" applyFont="1" applyFill="1" applyBorder="1" applyAlignment="1">
      <alignment horizontal="center" vertical="center"/>
    </xf>
    <xf numFmtId="0" fontId="18" fillId="0" borderId="0" xfId="1" applyFont="1" applyBorder="1" applyAlignment="1" applyProtection="1">
      <alignment vertical="center"/>
      <protection hidden="1"/>
    </xf>
    <xf numFmtId="0" fontId="10" fillId="0" borderId="0" xfId="3" applyFont="1" applyBorder="1" applyAlignment="1" applyProtection="1">
      <alignment horizontal="right" vertical="center"/>
      <protection hidden="1"/>
    </xf>
    <xf numFmtId="0" fontId="0" fillId="0" borderId="0" xfId="0" applyFill="1"/>
    <xf numFmtId="3" fontId="5" fillId="0" borderId="1" xfId="0" applyNumberFormat="1" applyFont="1" applyFill="1" applyBorder="1" applyAlignment="1" applyProtection="1">
      <alignment vertical="center"/>
      <protection hidden="1"/>
    </xf>
    <xf numFmtId="3" fontId="5" fillId="0" borderId="6" xfId="0" applyNumberFormat="1" applyFont="1" applyFill="1" applyBorder="1" applyAlignment="1" applyProtection="1">
      <alignment vertical="center"/>
      <protection hidden="1"/>
    </xf>
    <xf numFmtId="0" fontId="19" fillId="0" borderId="10" xfId="0" applyFont="1" applyFill="1" applyBorder="1" applyAlignment="1">
      <alignment vertical="center"/>
    </xf>
    <xf numFmtId="0" fontId="11" fillId="0" borderId="11" xfId="0" applyFont="1" applyFill="1" applyBorder="1" applyAlignment="1" applyProtection="1">
      <alignment horizontal="center" vertical="center"/>
      <protection hidden="1"/>
    </xf>
    <xf numFmtId="0" fontId="7" fillId="0" borderId="12" xfId="0" applyFont="1" applyFill="1" applyBorder="1" applyAlignment="1" applyProtection="1">
      <alignment horizontal="center" vertical="center" wrapText="1"/>
      <protection hidden="1"/>
    </xf>
    <xf numFmtId="0" fontId="11" fillId="0" borderId="13" xfId="0" applyFont="1" applyFill="1" applyBorder="1" applyAlignment="1" applyProtection="1">
      <alignment horizontal="center" vertical="center" wrapText="1"/>
      <protection hidden="1"/>
    </xf>
    <xf numFmtId="3" fontId="5" fillId="0" borderId="4" xfId="0" applyNumberFormat="1" applyFont="1" applyFill="1" applyBorder="1" applyAlignment="1" applyProtection="1">
      <alignment vertical="center"/>
      <protection hidden="1"/>
    </xf>
    <xf numFmtId="0" fontId="0" fillId="0" borderId="10" xfId="0" applyFill="1" applyBorder="1"/>
    <xf numFmtId="0" fontId="11" fillId="0" borderId="12" xfId="0" applyFont="1" applyFill="1" applyBorder="1" applyAlignment="1" applyProtection="1">
      <alignment horizontal="center" vertical="center"/>
      <protection hidden="1"/>
    </xf>
    <xf numFmtId="3" fontId="5" fillId="0" borderId="5" xfId="0" applyNumberFormat="1" applyFont="1" applyFill="1" applyBorder="1" applyAlignment="1" applyProtection="1">
      <alignment vertical="center"/>
      <protection hidden="1"/>
    </xf>
    <xf numFmtId="3" fontId="5" fillId="0" borderId="14" xfId="0" applyNumberFormat="1" applyFont="1" applyFill="1" applyBorder="1" applyAlignment="1" applyProtection="1">
      <alignment vertical="center"/>
      <protection hidden="1"/>
    </xf>
    <xf numFmtId="0" fontId="7" fillId="0" borderId="12"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12" xfId="0" applyFont="1" applyFill="1" applyBorder="1" applyAlignment="1">
      <alignment horizontal="center" vertical="center"/>
    </xf>
    <xf numFmtId="49" fontId="11" fillId="0" borderId="12" xfId="0" applyNumberFormat="1" applyFont="1" applyFill="1" applyBorder="1" applyAlignment="1">
      <alignment horizontal="center" vertical="center" wrapText="1"/>
    </xf>
    <xf numFmtId="0" fontId="11" fillId="0" borderId="0" xfId="0" applyFont="1" applyFill="1"/>
    <xf numFmtId="0" fontId="19" fillId="0" borderId="0" xfId="0" applyFont="1" applyFill="1"/>
    <xf numFmtId="0" fontId="11" fillId="0" borderId="11" xfId="0" applyFont="1" applyFill="1" applyBorder="1" applyAlignment="1">
      <alignment horizontal="center" vertical="center"/>
    </xf>
    <xf numFmtId="49" fontId="11" fillId="0" borderId="11"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0" xfId="1" applyFont="1" applyFill="1" applyAlignment="1">
      <alignment wrapText="1"/>
    </xf>
    <xf numFmtId="0" fontId="4" fillId="0" borderId="0" xfId="0" applyFont="1" applyFill="1"/>
    <xf numFmtId="14" fontId="22" fillId="0" borderId="0" xfId="1" applyNumberFormat="1" applyFont="1" applyFill="1" applyBorder="1" applyAlignment="1" applyProtection="1">
      <alignment horizontal="center" vertical="center"/>
      <protection locked="0" hidden="1"/>
    </xf>
    <xf numFmtId="0" fontId="4" fillId="0" borderId="0" xfId="1" applyFont="1" applyFill="1" applyBorder="1" applyAlignment="1">
      <alignment wrapText="1"/>
    </xf>
    <xf numFmtId="3" fontId="6" fillId="0" borderId="1" xfId="0" applyNumberFormat="1" applyFont="1" applyFill="1" applyBorder="1" applyAlignment="1" applyProtection="1">
      <alignment vertical="center"/>
      <protection hidden="1"/>
    </xf>
    <xf numFmtId="3" fontId="6" fillId="0" borderId="4" xfId="0" applyNumberFormat="1" applyFont="1" applyFill="1" applyBorder="1" applyAlignment="1" applyProtection="1">
      <alignment vertical="center"/>
      <protection hidden="1"/>
    </xf>
    <xf numFmtId="49" fontId="24" fillId="0" borderId="12" xfId="0" applyNumberFormat="1" applyFont="1" applyFill="1" applyBorder="1" applyAlignment="1">
      <alignment horizontal="center" vertical="center" wrapText="1"/>
    </xf>
    <xf numFmtId="49" fontId="24" fillId="0" borderId="12" xfId="0" applyNumberFormat="1" applyFont="1" applyFill="1" applyBorder="1" applyAlignment="1">
      <alignment horizontal="center" vertical="center"/>
    </xf>
    <xf numFmtId="0" fontId="8" fillId="0" borderId="16" xfId="3" applyFont="1" applyFill="1" applyBorder="1" applyAlignment="1" applyProtection="1">
      <alignment horizontal="left" vertical="center" wrapText="1"/>
      <protection hidden="1"/>
    </xf>
    <xf numFmtId="0" fontId="8" fillId="0" borderId="7" xfId="3" applyFont="1" applyFill="1" applyBorder="1" applyAlignment="1" applyProtection="1">
      <alignment vertical="center"/>
      <protection hidden="1"/>
    </xf>
    <xf numFmtId="0" fontId="10" fillId="0" borderId="7" xfId="3" applyFont="1" applyBorder="1" applyAlignment="1" applyProtection="1">
      <protection hidden="1"/>
    </xf>
    <xf numFmtId="0" fontId="17" fillId="0" borderId="0" xfId="3" applyFont="1" applyBorder="1" applyAlignment="1" applyProtection="1">
      <alignment horizontal="right"/>
      <protection hidden="1"/>
    </xf>
    <xf numFmtId="0" fontId="10" fillId="0" borderId="7" xfId="3" applyFont="1" applyBorder="1" applyAlignment="1" applyProtection="1">
      <alignment horizontal="right"/>
      <protection hidden="1"/>
    </xf>
    <xf numFmtId="0" fontId="10" fillId="0" borderId="16" xfId="3" applyFont="1" applyBorder="1" applyAlignment="1" applyProtection="1">
      <protection hidden="1"/>
    </xf>
    <xf numFmtId="0" fontId="7" fillId="0" borderId="16" xfId="3" applyFont="1" applyFill="1" applyBorder="1" applyAlignment="1" applyProtection="1">
      <alignment horizontal="right" vertical="center"/>
      <protection locked="0" hidden="1"/>
    </xf>
    <xf numFmtId="0" fontId="10" fillId="0" borderId="16" xfId="3" applyFont="1" applyBorder="1" applyAlignment="1" applyProtection="1">
      <alignment horizontal="left" vertical="top" wrapText="1"/>
      <protection hidden="1"/>
    </xf>
    <xf numFmtId="0" fontId="10" fillId="0" borderId="7" xfId="3" applyFont="1" applyBorder="1" applyAlignment="1"/>
    <xf numFmtId="0" fontId="10" fillId="0" borderId="16" xfId="3" applyFont="1" applyBorder="1" applyAlignment="1" applyProtection="1">
      <alignment horizontal="left" vertical="top" indent="2"/>
      <protection hidden="1"/>
    </xf>
    <xf numFmtId="0" fontId="10" fillId="0" borderId="16" xfId="3" applyFont="1" applyBorder="1" applyAlignment="1" applyProtection="1">
      <alignment horizontal="left" vertical="top" wrapText="1" indent="2"/>
      <protection hidden="1"/>
    </xf>
    <xf numFmtId="0" fontId="10" fillId="0" borderId="7" xfId="3" applyFont="1" applyBorder="1" applyAlignment="1" applyProtection="1">
      <alignment horizontal="right" vertical="top"/>
      <protection hidden="1"/>
    </xf>
    <xf numFmtId="49" fontId="7" fillId="0" borderId="16" xfId="3" applyNumberFormat="1" applyFont="1" applyBorder="1" applyAlignment="1" applyProtection="1">
      <alignment horizontal="center" vertical="center"/>
      <protection locked="0" hidden="1"/>
    </xf>
    <xf numFmtId="0" fontId="10" fillId="0" borderId="7" xfId="3" applyFont="1" applyBorder="1" applyAlignment="1" applyProtection="1">
      <alignment horizontal="left" vertical="top"/>
      <protection hidden="1"/>
    </xf>
    <xf numFmtId="0" fontId="10" fillId="0" borderId="16" xfId="3" applyFont="1" applyBorder="1" applyAlignment="1" applyProtection="1">
      <alignment horizontal="left"/>
      <protection hidden="1"/>
    </xf>
    <xf numFmtId="0" fontId="10" fillId="0" borderId="15" xfId="3" applyFont="1" applyBorder="1" applyAlignment="1" applyProtection="1">
      <protection hidden="1"/>
    </xf>
    <xf numFmtId="0" fontId="10" fillId="0" borderId="7" xfId="3" applyFont="1" applyBorder="1" applyAlignment="1" applyProtection="1">
      <alignment horizontal="left"/>
      <protection hidden="1"/>
    </xf>
    <xf numFmtId="0" fontId="10" fillId="0" borderId="16" xfId="3" applyFont="1" applyFill="1" applyBorder="1" applyAlignment="1" applyProtection="1">
      <alignment vertical="center"/>
      <protection hidden="1"/>
    </xf>
    <xf numFmtId="0" fontId="18" fillId="0" borderId="16" xfId="1" applyFont="1" applyFill="1" applyBorder="1" applyAlignment="1" applyProtection="1">
      <alignment vertical="center"/>
      <protection hidden="1"/>
    </xf>
    <xf numFmtId="0" fontId="18" fillId="0" borderId="0" xfId="1" applyFont="1" applyBorder="1" applyAlignment="1" applyProtection="1">
      <alignment horizontal="left"/>
      <protection hidden="1"/>
    </xf>
    <xf numFmtId="0" fontId="14" fillId="0" borderId="0" xfId="1" applyBorder="1" applyAlignment="1"/>
    <xf numFmtId="0" fontId="14" fillId="0" borderId="16" xfId="1" applyBorder="1" applyAlignment="1"/>
    <xf numFmtId="0" fontId="7" fillId="0" borderId="7" xfId="3" applyFont="1" applyBorder="1" applyAlignment="1" applyProtection="1">
      <alignment vertical="center"/>
      <protection hidden="1"/>
    </xf>
    <xf numFmtId="0" fontId="10" fillId="0" borderId="17" xfId="3" applyFont="1" applyBorder="1" applyAlignment="1" applyProtection="1">
      <protection hidden="1"/>
    </xf>
    <xf numFmtId="0" fontId="10" fillId="0" borderId="18" xfId="3" applyFont="1" applyFill="1" applyBorder="1" applyAlignment="1" applyProtection="1">
      <alignment horizontal="right" vertical="top" wrapText="1"/>
      <protection hidden="1"/>
    </xf>
    <xf numFmtId="0" fontId="10" fillId="0" borderId="19" xfId="3" applyFont="1" applyFill="1" applyBorder="1" applyAlignment="1" applyProtection="1">
      <alignment horizontal="right" vertical="top" wrapText="1"/>
      <protection hidden="1"/>
    </xf>
    <xf numFmtId="0" fontId="10" fillId="0" borderId="19" xfId="3" applyFont="1" applyFill="1" applyBorder="1" applyAlignment="1" applyProtection="1">
      <protection hidden="1"/>
    </xf>
    <xf numFmtId="0" fontId="10" fillId="0" borderId="20" xfId="3" applyFont="1" applyFill="1" applyBorder="1" applyAlignment="1" applyProtection="1">
      <protection hidden="1"/>
    </xf>
    <xf numFmtId="14" fontId="7" fillId="0" borderId="12" xfId="3" applyNumberFormat="1" applyFont="1" applyFill="1" applyBorder="1" applyAlignment="1" applyProtection="1">
      <alignment horizontal="center" vertical="center"/>
      <protection locked="0" hidden="1"/>
    </xf>
    <xf numFmtId="1" fontId="7" fillId="0" borderId="11" xfId="3" applyNumberFormat="1" applyFont="1" applyFill="1" applyBorder="1" applyAlignment="1" applyProtection="1">
      <alignment horizontal="center" vertical="center"/>
      <protection locked="0" hidden="1"/>
    </xf>
    <xf numFmtId="3" fontId="7" fillId="0" borderId="11" xfId="3" applyNumberFormat="1" applyFont="1" applyFill="1" applyBorder="1" applyAlignment="1" applyProtection="1">
      <alignment horizontal="right" vertical="center"/>
      <protection locked="0" hidden="1"/>
    </xf>
    <xf numFmtId="0" fontId="7" fillId="0" borderId="11" xfId="3" applyFont="1" applyFill="1" applyBorder="1" applyAlignment="1" applyProtection="1">
      <alignment horizontal="center" vertical="center"/>
      <protection locked="0" hidden="1"/>
    </xf>
    <xf numFmtId="49" fontId="7" fillId="0" borderId="11" xfId="3" applyNumberFormat="1" applyFont="1" applyFill="1" applyBorder="1" applyAlignment="1" applyProtection="1">
      <alignment horizontal="right" vertical="center"/>
      <protection locked="0" hidden="1"/>
    </xf>
    <xf numFmtId="0" fontId="7" fillId="0" borderId="7" xfId="3" applyFont="1" applyFill="1" applyBorder="1" applyAlignment="1" applyProtection="1">
      <alignment horizontal="right" vertical="center"/>
      <protection locked="0" hidden="1"/>
    </xf>
    <xf numFmtId="0" fontId="10" fillId="0" borderId="0" xfId="3" applyFont="1" applyFill="1" applyBorder="1" applyAlignment="1"/>
    <xf numFmtId="49" fontId="7" fillId="0" borderId="0" xfId="3" applyNumberFormat="1" applyFont="1" applyFill="1" applyBorder="1" applyAlignment="1" applyProtection="1">
      <alignment horizontal="center" vertical="center"/>
      <protection locked="0" hidden="1"/>
    </xf>
    <xf numFmtId="0" fontId="44" fillId="0" borderId="0" xfId="0" applyFont="1" applyFill="1"/>
    <xf numFmtId="3" fontId="44" fillId="0" borderId="0" xfId="0" applyNumberFormat="1" applyFont="1" applyFill="1"/>
    <xf numFmtId="0" fontId="0" fillId="0" borderId="0" xfId="0" applyAlignment="1"/>
    <xf numFmtId="0" fontId="0" fillId="34" borderId="0" xfId="0" applyFill="1" applyBorder="1" applyAlignment="1">
      <alignment vertical="top"/>
    </xf>
    <xf numFmtId="3" fontId="0" fillId="34" borderId="0" xfId="0" applyNumberFormat="1" applyFill="1" applyBorder="1" applyAlignment="1">
      <alignment vertical="top"/>
    </xf>
    <xf numFmtId="0" fontId="46" fillId="33" borderId="0" xfId="0" applyFont="1" applyFill="1" applyAlignment="1">
      <alignment vertical="top"/>
    </xf>
    <xf numFmtId="0" fontId="0" fillId="33" borderId="0" xfId="0" applyFill="1" applyAlignment="1">
      <alignment vertical="top"/>
    </xf>
    <xf numFmtId="0" fontId="48" fillId="33" borderId="0" xfId="0" applyFont="1" applyFill="1" applyAlignment="1">
      <alignment vertical="top"/>
    </xf>
    <xf numFmtId="0" fontId="12" fillId="33" borderId="0" xfId="0" applyFont="1" applyFill="1" applyAlignment="1">
      <alignment horizontal="left" vertical="top" wrapText="1"/>
    </xf>
    <xf numFmtId="0" fontId="49" fillId="33" borderId="0" xfId="0" applyFont="1" applyFill="1" applyAlignment="1">
      <alignment horizontal="justify" vertical="top"/>
    </xf>
    <xf numFmtId="0" fontId="49" fillId="33" borderId="0" xfId="0" applyFont="1" applyFill="1" applyAlignment="1">
      <alignment horizontal="left" vertical="top" wrapText="1"/>
    </xf>
    <xf numFmtId="0" fontId="50" fillId="33" borderId="0" xfId="0" applyFont="1" applyFill="1" applyAlignment="1">
      <alignment horizontal="justify" vertical="top"/>
    </xf>
    <xf numFmtId="9" fontId="49" fillId="33" borderId="0" xfId="0" applyNumberFormat="1" applyFont="1" applyFill="1" applyAlignment="1">
      <alignment horizontal="justify" vertical="top"/>
    </xf>
    <xf numFmtId="0" fontId="4" fillId="33" borderId="0" xfId="0" applyFont="1" applyFill="1" applyAlignment="1">
      <alignment vertical="top"/>
    </xf>
    <xf numFmtId="0" fontId="49" fillId="33" borderId="0" xfId="0" applyFont="1" applyFill="1" applyAlignment="1">
      <alignment horizontal="left" vertical="top"/>
    </xf>
    <xf numFmtId="0" fontId="12" fillId="33" borderId="0" xfId="0" applyFont="1" applyFill="1" applyAlignment="1">
      <alignment horizontal="left" vertical="top"/>
    </xf>
    <xf numFmtId="0" fontId="0" fillId="33" borderId="0" xfId="0" applyFill="1" applyAlignment="1">
      <alignment horizontal="left" vertical="top"/>
    </xf>
    <xf numFmtId="0" fontId="12" fillId="33" borderId="0" xfId="0" applyFont="1" applyFill="1" applyAlignment="1">
      <alignment vertical="top"/>
    </xf>
    <xf numFmtId="0" fontId="14" fillId="33" borderId="0" xfId="0" applyFont="1" applyFill="1" applyAlignment="1">
      <alignment horizontal="justify" vertical="top"/>
    </xf>
    <xf numFmtId="0" fontId="26" fillId="33" borderId="0" xfId="0" applyFont="1" applyFill="1" applyAlignment="1">
      <alignment horizontal="center" vertical="top"/>
    </xf>
    <xf numFmtId="0" fontId="50" fillId="33" borderId="0" xfId="0" applyFont="1" applyFill="1" applyAlignment="1">
      <alignment vertical="top"/>
    </xf>
    <xf numFmtId="3" fontId="14" fillId="33" borderId="0" xfId="0" applyNumberFormat="1" applyFont="1" applyFill="1" applyAlignment="1">
      <alignment horizontal="right" vertical="top"/>
    </xf>
    <xf numFmtId="0" fontId="14" fillId="33" borderId="0" xfId="0" applyFont="1" applyFill="1" applyAlignment="1">
      <alignment horizontal="right" vertical="top"/>
    </xf>
    <xf numFmtId="3" fontId="14" fillId="33" borderId="0" xfId="0" applyNumberFormat="1" applyFont="1" applyFill="1" applyBorder="1" applyAlignment="1">
      <alignment horizontal="right" vertical="top"/>
    </xf>
    <xf numFmtId="3" fontId="14" fillId="33" borderId="9" xfId="0" applyNumberFormat="1" applyFont="1" applyFill="1" applyBorder="1" applyAlignment="1">
      <alignment horizontal="right" vertical="top"/>
    </xf>
    <xf numFmtId="0" fontId="26" fillId="33" borderId="0" xfId="0" applyFont="1" applyFill="1" applyAlignment="1">
      <alignment horizontal="justify" vertical="top"/>
    </xf>
    <xf numFmtId="3" fontId="26" fillId="33" borderId="9" xfId="0" applyNumberFormat="1" applyFont="1" applyFill="1" applyBorder="1" applyAlignment="1">
      <alignment horizontal="right" vertical="top"/>
    </xf>
    <xf numFmtId="0" fontId="20" fillId="33" borderId="0" xfId="0" applyFont="1" applyFill="1" applyAlignment="1">
      <alignment vertical="top"/>
    </xf>
    <xf numFmtId="0" fontId="26" fillId="33" borderId="0" xfId="0" applyFont="1" applyFill="1" applyAlignment="1">
      <alignment vertical="top"/>
    </xf>
    <xf numFmtId="0" fontId="14" fillId="33" borderId="0" xfId="0" applyFont="1" applyFill="1" applyAlignment="1">
      <alignment vertical="top"/>
    </xf>
    <xf numFmtId="0" fontId="14" fillId="33" borderId="9" xfId="0" applyFont="1" applyFill="1" applyBorder="1" applyAlignment="1">
      <alignment horizontal="right" vertical="top"/>
    </xf>
    <xf numFmtId="3" fontId="4" fillId="33" borderId="0" xfId="0" applyNumberFormat="1" applyFont="1" applyFill="1" applyAlignment="1">
      <alignment horizontal="right" vertical="top"/>
    </xf>
    <xf numFmtId="0" fontId="51" fillId="33" borderId="0" xfId="0" applyFont="1" applyFill="1" applyAlignment="1">
      <alignment vertical="top"/>
    </xf>
    <xf numFmtId="3" fontId="4" fillId="33" borderId="9" xfId="0" applyNumberFormat="1" applyFont="1" applyFill="1" applyBorder="1" applyAlignment="1">
      <alignment horizontal="right" vertical="top"/>
    </xf>
    <xf numFmtId="3" fontId="12" fillId="33" borderId="9" xfId="0" applyNumberFormat="1" applyFont="1" applyFill="1" applyBorder="1" applyAlignment="1">
      <alignment horizontal="right" vertical="top"/>
    </xf>
    <xf numFmtId="3" fontId="0" fillId="33" borderId="0" xfId="0" applyNumberFormat="1" applyFill="1" applyAlignment="1">
      <alignment vertical="top"/>
    </xf>
    <xf numFmtId="0" fontId="49" fillId="33" borderId="0" xfId="0" applyFont="1" applyFill="1" applyAlignment="1">
      <alignment vertical="top"/>
    </xf>
    <xf numFmtId="0" fontId="49" fillId="33" borderId="0" xfId="0" applyFont="1" applyFill="1" applyAlignment="1">
      <alignment horizontal="right" vertical="top"/>
    </xf>
    <xf numFmtId="0" fontId="52" fillId="33" borderId="0" xfId="0" applyFont="1" applyFill="1" applyAlignment="1">
      <alignment vertical="top"/>
    </xf>
    <xf numFmtId="0" fontId="27" fillId="33" borderId="0" xfId="0" applyFont="1" applyFill="1" applyAlignment="1">
      <alignment vertical="top"/>
    </xf>
    <xf numFmtId="0" fontId="12" fillId="33" borderId="0" xfId="0" applyFont="1" applyFill="1" applyAlignment="1">
      <alignment horizontal="center" vertical="top"/>
    </xf>
    <xf numFmtId="0" fontId="12" fillId="33" borderId="0" xfId="0" applyFont="1" applyFill="1" applyAlignment="1">
      <alignment horizontal="center" vertical="center"/>
    </xf>
    <xf numFmtId="0" fontId="12" fillId="33" borderId="0" xfId="0" applyFont="1" applyFill="1" applyAlignment="1">
      <alignment horizontal="center" vertical="center" wrapText="1"/>
    </xf>
    <xf numFmtId="3" fontId="12" fillId="33" borderId="46" xfId="0" applyNumberFormat="1" applyFont="1" applyFill="1" applyBorder="1" applyAlignment="1">
      <alignment horizontal="right" vertical="top"/>
    </xf>
    <xf numFmtId="0" fontId="12" fillId="33" borderId="46" xfId="0" applyFont="1" applyFill="1" applyBorder="1" applyAlignment="1">
      <alignment vertical="top"/>
    </xf>
    <xf numFmtId="0" fontId="53" fillId="33" borderId="0" xfId="0" applyFont="1" applyFill="1" applyAlignment="1">
      <alignment vertical="top"/>
    </xf>
    <xf numFmtId="0" fontId="12" fillId="33" borderId="46" xfId="0" applyFont="1" applyFill="1" applyBorder="1" applyAlignment="1">
      <alignment horizontal="right" vertical="top"/>
    </xf>
    <xf numFmtId="0" fontId="54" fillId="33" borderId="0" xfId="0" applyFont="1" applyFill="1" applyAlignment="1">
      <alignment vertical="top"/>
    </xf>
    <xf numFmtId="0" fontId="4" fillId="33" borderId="9" xfId="0" applyFont="1" applyFill="1" applyBorder="1" applyAlignment="1">
      <alignment vertical="top"/>
    </xf>
    <xf numFmtId="0" fontId="12" fillId="33" borderId="0" xfId="0" applyFont="1" applyFill="1" applyAlignment="1">
      <alignment vertical="top" wrapText="1"/>
    </xf>
    <xf numFmtId="3" fontId="26" fillId="33" borderId="46" xfId="0" applyNumberFormat="1" applyFont="1" applyFill="1" applyBorder="1" applyAlignment="1">
      <alignment horizontal="right" vertical="top"/>
    </xf>
    <xf numFmtId="0" fontId="0" fillId="33" borderId="0" xfId="0" applyFill="1" applyBorder="1" applyAlignment="1">
      <alignment vertical="top"/>
    </xf>
    <xf numFmtId="0" fontId="0" fillId="33" borderId="0" xfId="0" applyFill="1" applyAlignment="1">
      <alignment horizontal="center" vertical="center" wrapText="1"/>
    </xf>
    <xf numFmtId="3" fontId="12" fillId="33" borderId="0" xfId="0" applyNumberFormat="1" applyFont="1" applyFill="1" applyAlignment="1">
      <alignment horizontal="left" vertical="center" wrapText="1"/>
    </xf>
    <xf numFmtId="3" fontId="12" fillId="33" borderId="47" xfId="0" applyNumberFormat="1" applyFont="1" applyFill="1" applyBorder="1" applyAlignment="1">
      <alignment horizontal="right" vertical="center" wrapText="1"/>
    </xf>
    <xf numFmtId="3" fontId="0" fillId="33" borderId="0" xfId="0" applyNumberFormat="1" applyFill="1" applyAlignment="1">
      <alignment horizontal="left" vertical="center" wrapText="1"/>
    </xf>
    <xf numFmtId="3" fontId="0" fillId="33" borderId="0" xfId="0" applyNumberFormat="1" applyFill="1" applyAlignment="1">
      <alignment horizontal="right" vertical="center" wrapText="1"/>
    </xf>
    <xf numFmtId="3" fontId="55" fillId="33" borderId="0" xfId="0" applyNumberFormat="1" applyFont="1" applyFill="1" applyAlignment="1">
      <alignment horizontal="right" vertical="center" wrapText="1"/>
    </xf>
    <xf numFmtId="3" fontId="0" fillId="33" borderId="9" xfId="0" applyNumberFormat="1" applyFill="1" applyBorder="1" applyAlignment="1">
      <alignment horizontal="right" vertical="center" wrapText="1"/>
    </xf>
    <xf numFmtId="3" fontId="12" fillId="33" borderId="46" xfId="0" applyNumberFormat="1" applyFont="1" applyFill="1" applyBorder="1" applyAlignment="1">
      <alignment horizontal="right" vertical="center" wrapText="1"/>
    </xf>
    <xf numFmtId="14" fontId="54" fillId="33" borderId="0" xfId="0" applyNumberFormat="1" applyFont="1" applyFill="1" applyBorder="1" applyAlignment="1"/>
    <xf numFmtId="3" fontId="56" fillId="33" borderId="0" xfId="0" applyNumberFormat="1" applyFont="1" applyFill="1" applyBorder="1" applyAlignment="1"/>
    <xf numFmtId="3" fontId="12" fillId="33" borderId="0" xfId="0" applyNumberFormat="1" applyFont="1" applyFill="1" applyBorder="1" applyAlignment="1"/>
    <xf numFmtId="3" fontId="0" fillId="33" borderId="0" xfId="0" applyNumberFormat="1" applyFill="1" applyBorder="1" applyAlignment="1"/>
    <xf numFmtId="0" fontId="14" fillId="33" borderId="0" xfId="0" applyFont="1" applyFill="1" applyAlignment="1">
      <alignment horizontal="left" vertical="center" wrapText="1"/>
    </xf>
    <xf numFmtId="0" fontId="26" fillId="33" borderId="0" xfId="0" applyFont="1" applyFill="1" applyAlignment="1">
      <alignment horizontal="left" vertical="center" wrapText="1"/>
    </xf>
    <xf numFmtId="3" fontId="26" fillId="33" borderId="0" xfId="0" applyNumberFormat="1" applyFont="1" applyFill="1" applyAlignment="1">
      <alignment horizontal="right" vertical="top"/>
    </xf>
    <xf numFmtId="3" fontId="12" fillId="33" borderId="0" xfId="0" applyNumberFormat="1" applyFont="1" applyFill="1" applyAlignment="1">
      <alignment horizontal="right" vertical="top"/>
    </xf>
    <xf numFmtId="0" fontId="4" fillId="33" borderId="0" xfId="0" applyFont="1" applyFill="1" applyAlignment="1">
      <alignment horizontal="left" vertical="center" wrapText="1"/>
    </xf>
    <xf numFmtId="3" fontId="12" fillId="33" borderId="0" xfId="0" applyNumberFormat="1" applyFont="1" applyFill="1" applyBorder="1" applyAlignment="1">
      <alignment horizontal="right" vertical="top"/>
    </xf>
    <xf numFmtId="0" fontId="0" fillId="33" borderId="0" xfId="0" applyFill="1" applyAlignment="1">
      <alignment horizontal="left" vertical="top" wrapText="1"/>
    </xf>
    <xf numFmtId="3" fontId="26" fillId="33" borderId="0" xfId="0" applyNumberFormat="1" applyFont="1" applyFill="1" applyBorder="1" applyAlignment="1">
      <alignment horizontal="right" vertical="top"/>
    </xf>
    <xf numFmtId="3" fontId="56" fillId="33" borderId="46" xfId="0" applyNumberFormat="1" applyFont="1" applyFill="1" applyBorder="1" applyAlignment="1">
      <alignment vertical="top"/>
    </xf>
    <xf numFmtId="0" fontId="57" fillId="33" borderId="0" xfId="0" applyFont="1" applyFill="1" applyAlignment="1">
      <alignment horizontal="right" vertical="top"/>
    </xf>
    <xf numFmtId="3" fontId="58" fillId="33" borderId="9" xfId="0" applyNumberFormat="1" applyFont="1" applyFill="1" applyBorder="1" applyAlignment="1">
      <alignment horizontal="right" vertical="top"/>
    </xf>
    <xf numFmtId="0" fontId="4" fillId="33" borderId="0" xfId="0" applyFont="1" applyFill="1" applyAlignment="1">
      <alignment horizontal="left" vertical="top" wrapText="1"/>
    </xf>
    <xf numFmtId="4" fontId="56" fillId="33" borderId="0" xfId="0" applyNumberFormat="1" applyFont="1" applyFill="1" applyAlignment="1">
      <alignment horizontal="right" vertical="top" wrapText="1"/>
    </xf>
    <xf numFmtId="0" fontId="59" fillId="33" borderId="0" xfId="0" applyFont="1" applyFill="1" applyAlignment="1">
      <alignment vertical="top"/>
    </xf>
    <xf numFmtId="0" fontId="60" fillId="33" borderId="0" xfId="47" applyFont="1" applyFill="1"/>
    <xf numFmtId="0" fontId="61" fillId="33" borderId="0" xfId="48" applyFill="1">
      <alignment vertical="center"/>
    </xf>
    <xf numFmtId="0" fontId="12" fillId="33" borderId="0" xfId="0" applyFont="1" applyFill="1" applyBorder="1" applyAlignment="1">
      <alignment vertical="top"/>
    </xf>
    <xf numFmtId="0" fontId="4" fillId="33" borderId="0" xfId="0" applyFont="1" applyFill="1" applyAlignment="1">
      <alignment vertical="center"/>
    </xf>
    <xf numFmtId="3" fontId="4" fillId="33" borderId="0" xfId="0" applyNumberFormat="1" applyFont="1" applyFill="1" applyAlignment="1">
      <alignment horizontal="right" vertical="center"/>
    </xf>
    <xf numFmtId="0" fontId="4" fillId="33" borderId="0" xfId="0" applyFont="1" applyFill="1" applyAlignment="1">
      <alignment vertical="center" wrapText="1"/>
    </xf>
    <xf numFmtId="3" fontId="4" fillId="33" borderId="9" xfId="0" applyNumberFormat="1" applyFont="1" applyFill="1" applyBorder="1" applyAlignment="1">
      <alignment horizontal="right" vertical="center"/>
    </xf>
    <xf numFmtId="0" fontId="62" fillId="33" borderId="0" xfId="0" applyFont="1" applyFill="1" applyAlignment="1">
      <alignment vertical="top"/>
    </xf>
    <xf numFmtId="0" fontId="4" fillId="33" borderId="0" xfId="0" applyFont="1" applyFill="1" applyAlignment="1">
      <alignment vertical="top" wrapText="1"/>
    </xf>
    <xf numFmtId="3" fontId="4" fillId="33" borderId="0" xfId="0" applyNumberFormat="1" applyFont="1" applyFill="1" applyBorder="1" applyAlignment="1">
      <alignment horizontal="right" vertical="center"/>
    </xf>
    <xf numFmtId="0" fontId="55" fillId="33" borderId="0" xfId="0" applyFont="1" applyFill="1" applyAlignment="1">
      <alignment vertical="top"/>
    </xf>
    <xf numFmtId="3" fontId="55" fillId="33" borderId="0" xfId="0" applyNumberFormat="1" applyFont="1" applyFill="1" applyAlignment="1">
      <alignment vertical="top"/>
    </xf>
    <xf numFmtId="3" fontId="14" fillId="33" borderId="0" xfId="0" applyNumberFormat="1" applyFont="1" applyFill="1" applyAlignment="1">
      <alignment horizontal="right" vertical="center"/>
    </xf>
    <xf numFmtId="3" fontId="14" fillId="33" borderId="9" xfId="0" applyNumberFormat="1" applyFont="1" applyFill="1" applyBorder="1" applyAlignment="1">
      <alignment horizontal="right" vertical="center"/>
    </xf>
    <xf numFmtId="0" fontId="57" fillId="33" borderId="0" xfId="0" applyFont="1" applyFill="1" applyAlignment="1">
      <alignment horizontal="justify" vertical="top"/>
    </xf>
    <xf numFmtId="0" fontId="57" fillId="33" borderId="0" xfId="0" applyFont="1" applyFill="1" applyAlignment="1">
      <alignment horizontal="center" vertical="top"/>
    </xf>
    <xf numFmtId="0" fontId="58" fillId="33" borderId="0" xfId="0" applyFont="1" applyFill="1" applyAlignment="1">
      <alignment horizontal="right" vertical="top"/>
    </xf>
    <xf numFmtId="0" fontId="14" fillId="33" borderId="9" xfId="0" applyFont="1" applyFill="1" applyBorder="1" applyAlignment="1">
      <alignment vertical="top"/>
    </xf>
    <xf numFmtId="0" fontId="26" fillId="33" borderId="0" xfId="0" applyFont="1" applyFill="1" applyAlignment="1">
      <alignment horizontal="center" vertical="center" wrapText="1"/>
    </xf>
    <xf numFmtId="0" fontId="27" fillId="33" borderId="0" xfId="0" applyFont="1" applyFill="1" applyAlignment="1">
      <alignment horizontal="right" vertical="top"/>
    </xf>
    <xf numFmtId="3" fontId="12" fillId="33" borderId="0" xfId="0" applyNumberFormat="1" applyFont="1" applyFill="1" applyBorder="1" applyAlignment="1">
      <alignment horizontal="right" vertical="center" wrapText="1"/>
    </xf>
    <xf numFmtId="3" fontId="4" fillId="33" borderId="0" xfId="0" applyNumberFormat="1" applyFont="1" applyFill="1" applyAlignment="1">
      <alignment horizontal="right" vertical="center" wrapText="1"/>
    </xf>
    <xf numFmtId="0" fontId="14" fillId="33" borderId="0" xfId="0" applyFont="1" applyFill="1" applyAlignment="1">
      <alignment vertical="top" wrapText="1"/>
    </xf>
    <xf numFmtId="3" fontId="45" fillId="33" borderId="9" xfId="0" applyNumberFormat="1" applyFont="1" applyFill="1" applyBorder="1" applyAlignment="1">
      <alignment horizontal="right" vertical="top"/>
    </xf>
    <xf numFmtId="3" fontId="0" fillId="33" borderId="0" xfId="0" applyNumberFormat="1" applyFill="1" applyAlignment="1">
      <alignment horizontal="right" vertical="top" wrapText="1"/>
    </xf>
    <xf numFmtId="0" fontId="60" fillId="33" borderId="0" xfId="47" applyFont="1" applyFill="1" applyAlignment="1">
      <alignment horizontal="right"/>
    </xf>
    <xf numFmtId="0" fontId="60" fillId="33" borderId="0" xfId="47" applyFont="1" applyFill="1" applyAlignment="1">
      <alignment horizontal="right" wrapText="1"/>
    </xf>
    <xf numFmtId="0" fontId="61" fillId="33" borderId="0" xfId="48" applyFill="1" applyAlignment="1">
      <alignment vertical="center" wrapText="1"/>
    </xf>
    <xf numFmtId="0" fontId="14" fillId="33" borderId="0" xfId="0" applyFont="1" applyFill="1" applyAlignment="1">
      <alignment vertical="top"/>
    </xf>
    <xf numFmtId="0" fontId="26" fillId="33" borderId="0" xfId="0" applyFont="1" applyFill="1" applyAlignment="1">
      <alignment horizontal="justify" vertical="top"/>
    </xf>
    <xf numFmtId="0" fontId="12" fillId="33" borderId="0" xfId="0" applyFont="1" applyFill="1" applyAlignment="1">
      <alignment vertical="top"/>
    </xf>
    <xf numFmtId="0" fontId="12" fillId="33" borderId="0" xfId="0" applyFont="1" applyFill="1" applyAlignment="1">
      <alignment vertical="top"/>
    </xf>
    <xf numFmtId="0" fontId="4" fillId="33" borderId="0" xfId="0" applyFont="1" applyFill="1" applyAlignment="1">
      <alignment vertical="top"/>
    </xf>
    <xf numFmtId="0" fontId="4" fillId="33" borderId="0" xfId="0" applyFont="1" applyFill="1" applyAlignment="1">
      <alignment vertical="top"/>
    </xf>
    <xf numFmtId="0" fontId="0" fillId="0" borderId="0" xfId="0" applyFill="1" applyAlignment="1">
      <alignment vertical="top"/>
    </xf>
    <xf numFmtId="0" fontId="0" fillId="0" borderId="0" xfId="0" applyFill="1" applyAlignment="1">
      <alignment horizontal="left" vertical="top" wrapText="1"/>
    </xf>
    <xf numFmtId="0" fontId="0" fillId="0" borderId="0" xfId="0" applyFill="1" applyAlignment="1">
      <alignment vertical="top" wrapText="1"/>
    </xf>
    <xf numFmtId="3" fontId="0" fillId="0" borderId="0" xfId="0" applyNumberFormat="1" applyFill="1" applyAlignment="1">
      <alignment vertical="top"/>
    </xf>
    <xf numFmtId="0" fontId="4" fillId="0" borderId="0" xfId="0" applyFont="1" applyFill="1" applyAlignment="1">
      <alignment vertical="top"/>
    </xf>
    <xf numFmtId="0" fontId="0" fillId="0" borderId="0" xfId="0" applyFill="1" applyBorder="1" applyAlignment="1">
      <alignment vertical="top"/>
    </xf>
    <xf numFmtId="0" fontId="55" fillId="0" borderId="0" xfId="0" applyFont="1" applyFill="1" applyAlignment="1">
      <alignment vertical="top"/>
    </xf>
    <xf numFmtId="3" fontId="0" fillId="33" borderId="0" xfId="0" applyNumberFormat="1" applyFill="1" applyBorder="1" applyAlignment="1">
      <alignment vertical="top"/>
    </xf>
    <xf numFmtId="0" fontId="4" fillId="0" borderId="0" xfId="0" applyFont="1" applyAlignment="1"/>
    <xf numFmtId="3" fontId="0" fillId="0" borderId="0" xfId="0" applyNumberFormat="1" applyFill="1"/>
    <xf numFmtId="0" fontId="49" fillId="33" borderId="0" xfId="0" applyFont="1" applyFill="1" applyAlignment="1">
      <alignment horizontal="left" vertical="top"/>
    </xf>
    <xf numFmtId="3" fontId="1" fillId="33" borderId="0" xfId="47" applyNumberFormat="1" applyFont="1" applyFill="1" applyAlignment="1">
      <alignment horizontal="right"/>
    </xf>
    <xf numFmtId="4" fontId="1" fillId="33" borderId="0" xfId="47" applyNumberFormat="1" applyFont="1" applyFill="1"/>
    <xf numFmtId="0" fontId="11" fillId="0" borderId="11" xfId="0" applyFont="1" applyFill="1" applyBorder="1" applyAlignment="1" applyProtection="1">
      <alignment horizontal="center" vertical="center" wrapText="1"/>
      <protection hidden="1"/>
    </xf>
    <xf numFmtId="0" fontId="7" fillId="0" borderId="12" xfId="0" applyFont="1" applyFill="1" applyBorder="1" applyAlignment="1" applyProtection="1">
      <alignment horizontal="center" vertical="center" wrapText="1"/>
      <protection hidden="1"/>
    </xf>
    <xf numFmtId="0" fontId="11" fillId="0" borderId="12" xfId="0" applyFont="1" applyFill="1" applyBorder="1" applyAlignment="1" applyProtection="1">
      <alignment horizontal="center" vertical="center" wrapText="1"/>
      <protection hidden="1"/>
    </xf>
    <xf numFmtId="0" fontId="7" fillId="0" borderId="12"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2" fillId="0" borderId="0" xfId="1" applyFont="1" applyFill="1" applyBorder="1" applyAlignment="1" applyProtection="1">
      <alignment horizontal="center" vertical="center"/>
      <protection hidden="1"/>
    </xf>
    <xf numFmtId="0" fontId="4" fillId="33" borderId="0" xfId="0" applyFont="1" applyFill="1" applyAlignment="1">
      <alignment horizontal="left" vertical="top" wrapText="1"/>
    </xf>
    <xf numFmtId="0" fontId="7" fillId="33" borderId="0" xfId="0" applyFont="1" applyFill="1" applyAlignment="1">
      <alignment vertical="top"/>
    </xf>
    <xf numFmtId="0" fontId="4" fillId="33" borderId="0" xfId="0" applyFont="1" applyFill="1" applyAlignment="1">
      <alignment vertical="top"/>
    </xf>
    <xf numFmtId="0" fontId="12" fillId="33" borderId="0" xfId="0" applyFont="1" applyFill="1" applyAlignment="1">
      <alignment vertical="top"/>
    </xf>
    <xf numFmtId="0" fontId="49" fillId="33" borderId="0" xfId="0" applyFont="1" applyFill="1" applyAlignment="1">
      <alignment horizontal="justify" vertical="top"/>
    </xf>
    <xf numFmtId="0" fontId="14" fillId="33" borderId="0" xfId="0" applyFont="1" applyFill="1" applyAlignment="1">
      <alignment vertical="top"/>
    </xf>
    <xf numFmtId="0" fontId="12" fillId="33" borderId="0" xfId="0" applyFont="1" applyFill="1" applyAlignment="1">
      <alignment horizontal="justify" vertical="top"/>
    </xf>
    <xf numFmtId="0" fontId="49" fillId="33" borderId="0" xfId="0" applyFont="1" applyFill="1" applyAlignment="1">
      <alignment horizontal="left" vertical="top"/>
    </xf>
    <xf numFmtId="0" fontId="12" fillId="33" borderId="0" xfId="0" applyFont="1" applyFill="1" applyAlignment="1">
      <alignment vertical="top"/>
    </xf>
    <xf numFmtId="0" fontId="8" fillId="0" borderId="8" xfId="3" applyFont="1" applyBorder="1" applyAlignment="1"/>
    <xf numFmtId="0" fontId="8" fillId="0" borderId="15" xfId="3" applyFont="1" applyBorder="1" applyAlignment="1"/>
    <xf numFmtId="0" fontId="8" fillId="0" borderId="7" xfId="3" applyFont="1" applyFill="1" applyBorder="1" applyAlignment="1" applyProtection="1">
      <alignment horizontal="center" vertical="center"/>
      <protection locked="0" hidden="1"/>
    </xf>
    <xf numFmtId="0" fontId="8" fillId="0" borderId="16" xfId="3" applyFont="1" applyBorder="1" applyAlignment="1" applyProtection="1">
      <alignment horizontal="left" vertical="center" wrapText="1"/>
      <protection hidden="1"/>
    </xf>
    <xf numFmtId="0" fontId="8" fillId="0" borderId="7" xfId="3" applyFont="1" applyBorder="1" applyAlignment="1" applyProtection="1">
      <protection hidden="1"/>
    </xf>
    <xf numFmtId="0" fontId="8" fillId="0" borderId="16" xfId="3" applyFont="1" applyFill="1" applyBorder="1" applyAlignment="1" applyProtection="1">
      <protection hidden="1"/>
    </xf>
    <xf numFmtId="0" fontId="8" fillId="0" borderId="0" xfId="3" applyFont="1" applyBorder="1" applyAlignment="1" applyProtection="1">
      <alignment wrapText="1"/>
      <protection hidden="1"/>
    </xf>
    <xf numFmtId="0" fontId="8" fillId="0" borderId="16" xfId="3" applyFont="1" applyBorder="1" applyAlignment="1" applyProtection="1">
      <alignment wrapText="1"/>
      <protection hidden="1"/>
    </xf>
    <xf numFmtId="0" fontId="8" fillId="0" borderId="7" xfId="3" applyFont="1" applyBorder="1" applyAlignment="1" applyProtection="1">
      <alignment horizontal="right"/>
      <protection hidden="1"/>
    </xf>
    <xf numFmtId="0" fontId="8" fillId="0" borderId="0" xfId="3" applyFont="1" applyBorder="1" applyAlignment="1" applyProtection="1">
      <alignment horizontal="right"/>
      <protection hidden="1"/>
    </xf>
    <xf numFmtId="0" fontId="8" fillId="0" borderId="16" xfId="3" applyFont="1" applyBorder="1" applyAlignment="1" applyProtection="1">
      <protection hidden="1"/>
    </xf>
    <xf numFmtId="0" fontId="8" fillId="0" borderId="7" xfId="3" applyFont="1" applyBorder="1" applyAlignment="1" applyProtection="1">
      <alignment horizontal="right" wrapText="1"/>
      <protection hidden="1"/>
    </xf>
    <xf numFmtId="0" fontId="8" fillId="0" borderId="0" xfId="3" applyFont="1" applyBorder="1" applyAlignment="1" applyProtection="1">
      <alignment horizontal="right" wrapText="1"/>
      <protection hidden="1"/>
    </xf>
    <xf numFmtId="0" fontId="8" fillId="0" borderId="0" xfId="3" applyFont="1" applyBorder="1" applyAlignment="1" applyProtection="1">
      <alignment horizontal="left"/>
      <protection hidden="1"/>
    </xf>
    <xf numFmtId="0" fontId="8" fillId="0" borderId="0" xfId="3" applyFont="1" applyFill="1" applyBorder="1" applyAlignment="1" applyProtection="1">
      <protection hidden="1"/>
    </xf>
    <xf numFmtId="0" fontId="8" fillId="0" borderId="0" xfId="3" applyFont="1" applyBorder="1" applyAlignment="1" applyProtection="1">
      <alignment vertical="top"/>
      <protection hidden="1"/>
    </xf>
    <xf numFmtId="0" fontId="8" fillId="0" borderId="0" xfId="3" applyFont="1" applyAlignment="1" applyProtection="1">
      <alignment horizontal="right" vertical="center"/>
      <protection hidden="1"/>
    </xf>
    <xf numFmtId="0" fontId="8" fillId="0" borderId="0" xfId="3" applyFont="1" applyAlignment="1" applyProtection="1">
      <alignment horizontal="right"/>
      <protection hidden="1"/>
    </xf>
    <xf numFmtId="0" fontId="8" fillId="0" borderId="16" xfId="3" applyFont="1" applyBorder="1" applyAlignment="1" applyProtection="1">
      <alignment vertical="top"/>
      <protection hidden="1"/>
    </xf>
    <xf numFmtId="0" fontId="8" fillId="0" borderId="0" xfId="3" applyFont="1" applyBorder="1" applyAlignment="1"/>
    <xf numFmtId="0" fontId="8" fillId="0" borderId="16" xfId="3" applyFont="1" applyBorder="1" applyAlignment="1" applyProtection="1">
      <alignment horizontal="left" vertical="top" wrapText="1"/>
      <protection hidden="1"/>
    </xf>
    <xf numFmtId="0" fontId="8" fillId="0" borderId="0" xfId="3" applyFont="1" applyBorder="1" applyAlignment="1" applyProtection="1">
      <alignment horizontal="right" vertical="top"/>
      <protection hidden="1"/>
    </xf>
    <xf numFmtId="0" fontId="8" fillId="0" borderId="7" xfId="3" applyFont="1" applyBorder="1" applyAlignment="1" applyProtection="1">
      <alignment horizontal="left"/>
      <protection hidden="1"/>
    </xf>
    <xf numFmtId="0" fontId="4" fillId="0" borderId="10" xfId="0" applyFont="1" applyFill="1" applyBorder="1" applyAlignment="1">
      <alignment vertical="center"/>
    </xf>
    <xf numFmtId="0" fontId="4" fillId="33" borderId="0" xfId="0" applyFont="1" applyFill="1" applyAlignment="1">
      <alignment horizontal="right" vertical="top"/>
    </xf>
    <xf numFmtId="3" fontId="14" fillId="34" borderId="0" xfId="0" applyNumberFormat="1" applyFont="1" applyFill="1" applyAlignment="1">
      <alignment horizontal="right" vertical="top"/>
    </xf>
    <xf numFmtId="3" fontId="14" fillId="34" borderId="9" xfId="0" applyNumberFormat="1" applyFont="1" applyFill="1" applyBorder="1" applyAlignment="1">
      <alignment horizontal="right" vertical="top"/>
    </xf>
    <xf numFmtId="3" fontId="45" fillId="34" borderId="9" xfId="0" applyNumberFormat="1" applyFont="1" applyFill="1" applyBorder="1" applyAlignment="1">
      <alignment horizontal="right" vertical="top"/>
    </xf>
    <xf numFmtId="0" fontId="14" fillId="34" borderId="0" xfId="0" applyFont="1" applyFill="1" applyAlignment="1">
      <alignment horizontal="right" vertical="top"/>
    </xf>
    <xf numFmtId="3" fontId="4" fillId="34" borderId="0" xfId="0" applyNumberFormat="1" applyFont="1" applyFill="1" applyAlignment="1">
      <alignment horizontal="right" vertical="top"/>
    </xf>
    <xf numFmtId="0" fontId="14" fillId="34" borderId="0" xfId="0" applyFont="1" applyFill="1" applyAlignment="1">
      <alignment vertical="top"/>
    </xf>
    <xf numFmtId="0" fontId="49" fillId="33" borderId="0" xfId="0" applyFont="1" applyFill="1" applyAlignment="1">
      <alignment vertical="top" wrapText="1"/>
    </xf>
    <xf numFmtId="0" fontId="49" fillId="33" borderId="0" xfId="0" applyFont="1" applyFill="1" applyAlignment="1">
      <alignment horizontal="justify" vertical="top" wrapText="1"/>
    </xf>
    <xf numFmtId="0" fontId="49" fillId="33" borderId="0" xfId="0" applyFont="1" applyFill="1" applyAlignment="1">
      <alignment horizontal="justify" vertical="top" wrapText="1"/>
    </xf>
    <xf numFmtId="0" fontId="14" fillId="33" borderId="0" xfId="0" applyFont="1" applyFill="1" applyAlignment="1">
      <alignment vertical="center" wrapText="1"/>
    </xf>
    <xf numFmtId="0" fontId="57" fillId="33" borderId="0" xfId="0" applyFont="1" applyFill="1" applyAlignment="1">
      <alignment vertical="top" wrapText="1"/>
    </xf>
    <xf numFmtId="0" fontId="58" fillId="33" borderId="0" xfId="0" applyFont="1" applyFill="1" applyAlignment="1">
      <alignment horizontal="justify" vertical="top" wrapText="1"/>
    </xf>
    <xf numFmtId="0" fontId="46" fillId="33" borderId="0" xfId="0" applyFont="1" applyFill="1" applyAlignment="1">
      <alignment vertical="top" wrapText="1"/>
    </xf>
    <xf numFmtId="3" fontId="57" fillId="33" borderId="0" xfId="0" applyNumberFormat="1" applyFont="1" applyFill="1" applyAlignment="1">
      <alignment horizontal="right" vertical="center"/>
    </xf>
    <xf numFmtId="0" fontId="57" fillId="33" borderId="0" xfId="0" applyFont="1" applyFill="1" applyAlignment="1">
      <alignment horizontal="right" vertical="center"/>
    </xf>
    <xf numFmtId="0" fontId="57" fillId="33" borderId="9" xfId="0" applyFont="1" applyFill="1" applyBorder="1" applyAlignment="1">
      <alignment horizontal="right" vertical="center"/>
    </xf>
    <xf numFmtId="3" fontId="57" fillId="33" borderId="9" xfId="0" applyNumberFormat="1" applyFont="1" applyFill="1" applyBorder="1" applyAlignment="1">
      <alignment horizontal="right" vertical="center"/>
    </xf>
    <xf numFmtId="0" fontId="55" fillId="33" borderId="0" xfId="0" applyFont="1" applyFill="1" applyAlignment="1">
      <alignment vertical="top" wrapText="1"/>
    </xf>
    <xf numFmtId="3" fontId="55" fillId="33" borderId="0" xfId="0" applyNumberFormat="1" applyFont="1" applyFill="1" applyAlignment="1">
      <alignment vertical="center"/>
    </xf>
    <xf numFmtId="3" fontId="55" fillId="33" borderId="9" xfId="0" applyNumberFormat="1" applyFont="1" applyFill="1" applyBorder="1" applyAlignment="1">
      <alignment vertical="center"/>
    </xf>
    <xf numFmtId="0" fontId="8" fillId="0" borderId="0" xfId="3" applyFont="1" applyBorder="1" applyAlignment="1" applyProtection="1">
      <alignment horizontal="right" vertical="center"/>
      <protection hidden="1"/>
    </xf>
    <xf numFmtId="0" fontId="8" fillId="0" borderId="16" xfId="3" applyFont="1" applyBorder="1" applyAlignment="1" applyProtection="1">
      <alignment horizontal="right" vertical="center"/>
      <protection hidden="1"/>
    </xf>
    <xf numFmtId="0" fontId="7" fillId="0" borderId="18" xfId="3" applyFont="1" applyFill="1" applyBorder="1" applyAlignment="1" applyProtection="1">
      <alignment horizontal="left" vertical="center"/>
      <protection locked="0" hidden="1"/>
    </xf>
    <xf numFmtId="0" fontId="7" fillId="0" borderId="19" xfId="3" applyFont="1" applyFill="1" applyBorder="1" applyAlignment="1" applyProtection="1">
      <alignment horizontal="left" vertical="center"/>
      <protection locked="0" hidden="1"/>
    </xf>
    <xf numFmtId="0" fontId="7" fillId="0" borderId="20" xfId="3" applyFont="1" applyFill="1" applyBorder="1" applyAlignment="1" applyProtection="1">
      <alignment horizontal="left" vertical="center"/>
      <protection locked="0" hidden="1"/>
    </xf>
    <xf numFmtId="0" fontId="8" fillId="0" borderId="0" xfId="3" applyFont="1" applyBorder="1" applyAlignment="1" applyProtection="1">
      <alignment horizontal="right" vertical="center" wrapText="1"/>
      <protection hidden="1"/>
    </xf>
    <xf numFmtId="49" fontId="7" fillId="0" borderId="18" xfId="3" applyNumberFormat="1" applyFont="1" applyFill="1" applyBorder="1" applyAlignment="1" applyProtection="1">
      <alignment horizontal="center" vertical="center"/>
      <protection locked="0" hidden="1"/>
    </xf>
    <xf numFmtId="49" fontId="7" fillId="0" borderId="20" xfId="3" applyNumberFormat="1" applyFont="1" applyFill="1" applyBorder="1" applyAlignment="1" applyProtection="1">
      <alignment horizontal="center" vertical="center"/>
      <protection locked="0" hidden="1"/>
    </xf>
    <xf numFmtId="0" fontId="7" fillId="0" borderId="50" xfId="3" applyFont="1" applyFill="1" applyBorder="1" applyAlignment="1" applyProtection="1">
      <alignment horizontal="left" vertical="center" wrapText="1"/>
      <protection hidden="1"/>
    </xf>
    <xf numFmtId="0" fontId="7" fillId="0" borderId="0" xfId="3" applyFont="1" applyFill="1" applyBorder="1" applyAlignment="1" applyProtection="1">
      <alignment horizontal="left" vertical="center" wrapText="1"/>
      <protection hidden="1"/>
    </xf>
    <xf numFmtId="0" fontId="7" fillId="0" borderId="16" xfId="3" applyFont="1" applyFill="1" applyBorder="1" applyAlignment="1" applyProtection="1">
      <alignment horizontal="left" vertical="center" wrapText="1"/>
      <protection hidden="1"/>
    </xf>
    <xf numFmtId="0" fontId="16" fillId="0" borderId="0" xfId="0" applyFont="1" applyBorder="1" applyAlignment="1" applyProtection="1">
      <alignment horizontal="center" vertical="center" wrapText="1"/>
      <protection hidden="1"/>
    </xf>
    <xf numFmtId="0" fontId="16" fillId="0" borderId="16" xfId="0" applyFont="1" applyBorder="1" applyAlignment="1" applyProtection="1">
      <alignment horizontal="center" vertical="center" wrapText="1"/>
      <protection hidden="1"/>
    </xf>
    <xf numFmtId="0" fontId="8" fillId="0" borderId="48" xfId="3" applyFont="1" applyBorder="1" applyAlignment="1" applyProtection="1">
      <alignment horizontal="right" vertical="center"/>
      <protection hidden="1"/>
    </xf>
    <xf numFmtId="49" fontId="7" fillId="0" borderId="49" xfId="3" applyNumberFormat="1" applyFont="1" applyFill="1" applyBorder="1" applyAlignment="1" applyProtection="1">
      <alignment horizontal="center" vertical="center"/>
      <protection locked="0" hidden="1"/>
    </xf>
    <xf numFmtId="0" fontId="5" fillId="0" borderId="0" xfId="3" applyFont="1" applyBorder="1" applyAlignment="1" applyProtection="1">
      <alignment horizontal="right" vertical="center" wrapText="1"/>
      <protection hidden="1"/>
    </xf>
    <xf numFmtId="0" fontId="5" fillId="0" borderId="48" xfId="3" applyFont="1" applyBorder="1" applyAlignment="1" applyProtection="1">
      <alignment horizontal="right" vertical="center" wrapText="1"/>
      <protection hidden="1"/>
    </xf>
    <xf numFmtId="0" fontId="7" fillId="0" borderId="49" xfId="3" applyFont="1" applyFill="1" applyBorder="1" applyAlignment="1" applyProtection="1">
      <alignment horizontal="left" vertical="center"/>
      <protection locked="0" hidden="1"/>
    </xf>
    <xf numFmtId="1" fontId="7" fillId="0" borderId="49" xfId="3" applyNumberFormat="1" applyFont="1" applyFill="1" applyBorder="1" applyAlignment="1" applyProtection="1">
      <alignment horizontal="center" vertical="center"/>
      <protection locked="0" hidden="1"/>
    </xf>
    <xf numFmtId="1" fontId="7" fillId="0" borderId="20" xfId="3" applyNumberFormat="1" applyFont="1" applyFill="1" applyBorder="1" applyAlignment="1" applyProtection="1">
      <alignment horizontal="center" vertical="center"/>
      <protection locked="0" hidden="1"/>
    </xf>
    <xf numFmtId="0" fontId="9" fillId="0" borderId="49" xfId="2" applyFill="1" applyBorder="1" applyAlignment="1" applyProtection="1">
      <protection locked="0" hidden="1"/>
    </xf>
    <xf numFmtId="0" fontId="9" fillId="0" borderId="19" xfId="2" applyFill="1" applyBorder="1" applyAlignment="1" applyProtection="1">
      <protection locked="0" hidden="1"/>
    </xf>
    <xf numFmtId="0" fontId="9" fillId="0" borderId="20" xfId="2" applyFill="1" applyBorder="1" applyAlignment="1" applyProtection="1">
      <protection locked="0" hidden="1"/>
    </xf>
    <xf numFmtId="0" fontId="8" fillId="0" borderId="7" xfId="3" applyFont="1" applyBorder="1" applyAlignment="1" applyProtection="1">
      <alignment horizontal="right" vertical="center"/>
      <protection hidden="1"/>
    </xf>
    <xf numFmtId="0" fontId="8" fillId="0" borderId="0" xfId="0" applyFont="1" applyBorder="1" applyAlignment="1" applyProtection="1">
      <alignment horizontal="center" vertical="center"/>
      <protection hidden="1"/>
    </xf>
    <xf numFmtId="0" fontId="8" fillId="0" borderId="0" xfId="0" applyFont="1" applyBorder="1" applyAlignment="1">
      <alignment horizontal="center" vertical="center"/>
    </xf>
    <xf numFmtId="0" fontId="8" fillId="0" borderId="0" xfId="0" applyFont="1" applyBorder="1" applyAlignment="1">
      <alignment horizontal="center"/>
    </xf>
    <xf numFmtId="0" fontId="7" fillId="0" borderId="18" xfId="3" applyFont="1" applyFill="1" applyBorder="1" applyAlignment="1" applyProtection="1">
      <alignment horizontal="right" vertical="center"/>
      <protection locked="0" hidden="1"/>
    </xf>
    <xf numFmtId="0" fontId="10" fillId="0" borderId="19" xfId="3" applyFont="1" applyFill="1" applyBorder="1" applyAlignment="1"/>
    <xf numFmtId="0" fontId="10" fillId="0" borderId="20" xfId="3" applyFont="1" applyFill="1" applyBorder="1" applyAlignment="1"/>
    <xf numFmtId="0" fontId="10" fillId="0" borderId="0" xfId="3" applyFont="1" applyBorder="1" applyAlignment="1" applyProtection="1">
      <alignment vertical="top" wrapText="1"/>
      <protection hidden="1"/>
    </xf>
    <xf numFmtId="0" fontId="10" fillId="0" borderId="0" xfId="3" applyFont="1" applyBorder="1" applyAlignment="1" applyProtection="1">
      <alignment wrapText="1"/>
      <protection hidden="1"/>
    </xf>
    <xf numFmtId="0" fontId="8" fillId="0" borderId="48" xfId="3" applyFont="1" applyBorder="1" applyAlignment="1" applyProtection="1">
      <alignment horizontal="right" vertical="center" wrapText="1"/>
      <protection hidden="1"/>
    </xf>
    <xf numFmtId="49" fontId="7" fillId="0" borderId="18" xfId="3" applyNumberFormat="1" applyFont="1" applyFill="1" applyBorder="1" applyAlignment="1" applyProtection="1">
      <alignment horizontal="left" vertical="center"/>
      <protection locked="0" hidden="1"/>
    </xf>
    <xf numFmtId="49" fontId="7" fillId="0" borderId="19" xfId="3" applyNumberFormat="1" applyFont="1" applyFill="1" applyBorder="1" applyAlignment="1" applyProtection="1">
      <alignment horizontal="left" vertical="center"/>
      <protection locked="0" hidden="1"/>
    </xf>
    <xf numFmtId="49" fontId="7" fillId="0" borderId="20" xfId="3" applyNumberFormat="1" applyFont="1" applyFill="1" applyBorder="1" applyAlignment="1" applyProtection="1">
      <alignment horizontal="left" vertical="center"/>
      <protection locked="0" hidden="1"/>
    </xf>
    <xf numFmtId="0" fontId="15" fillId="0" borderId="0" xfId="3" applyFont="1" applyBorder="1" applyAlignment="1"/>
    <xf numFmtId="0" fontId="10" fillId="0" borderId="0" xfId="3" applyFont="1" applyBorder="1" applyAlignment="1" applyProtection="1">
      <alignment vertical="center"/>
      <protection hidden="1"/>
    </xf>
    <xf numFmtId="0" fontId="10" fillId="0" borderId="0" xfId="3" applyFont="1" applyBorder="1" applyAlignment="1" applyProtection="1">
      <alignment horizontal="center" vertical="top"/>
      <protection hidden="1"/>
    </xf>
    <xf numFmtId="0" fontId="10" fillId="0" borderId="0" xfId="3" applyFont="1" applyBorder="1" applyAlignment="1" applyProtection="1">
      <alignment horizontal="center"/>
      <protection hidden="1"/>
    </xf>
    <xf numFmtId="0" fontId="10" fillId="0" borderId="8" xfId="3" applyFont="1" applyBorder="1" applyAlignment="1" applyProtection="1">
      <alignment horizontal="center"/>
      <protection hidden="1"/>
    </xf>
    <xf numFmtId="0" fontId="10" fillId="0" borderId="19" xfId="3" applyFont="1" applyFill="1" applyBorder="1" applyAlignment="1" applyProtection="1">
      <alignment horizontal="center" vertical="top"/>
      <protection hidden="1"/>
    </xf>
    <xf numFmtId="0" fontId="10" fillId="0" borderId="19" xfId="3" applyFont="1" applyFill="1" applyBorder="1" applyAlignment="1" applyProtection="1">
      <alignment horizontal="center"/>
      <protection hidden="1"/>
    </xf>
    <xf numFmtId="49" fontId="9" fillId="0" borderId="18" xfId="2" applyNumberFormat="1" applyFill="1" applyBorder="1" applyAlignment="1" applyProtection="1">
      <alignment horizontal="left" vertical="center"/>
      <protection locked="0" hidden="1"/>
    </xf>
    <xf numFmtId="0" fontId="10" fillId="0" borderId="20" xfId="3" applyFont="1" applyFill="1" applyBorder="1" applyAlignment="1">
      <alignment horizontal="left" vertical="center"/>
    </xf>
    <xf numFmtId="0" fontId="25" fillId="0" borderId="0" xfId="1" applyFont="1" applyBorder="1" applyAlignment="1" applyProtection="1">
      <alignment horizontal="left"/>
      <protection hidden="1"/>
    </xf>
    <xf numFmtId="0" fontId="26" fillId="0" borderId="0" xfId="1" applyFont="1" applyBorder="1" applyAlignment="1"/>
    <xf numFmtId="0" fontId="18" fillId="0" borderId="0" xfId="1" applyFont="1" applyBorder="1" applyAlignment="1" applyProtection="1">
      <alignment horizontal="left"/>
      <protection hidden="1"/>
    </xf>
    <xf numFmtId="0" fontId="14" fillId="0" borderId="0" xfId="1" applyBorder="1" applyAlignment="1"/>
    <xf numFmtId="0" fontId="14" fillId="0" borderId="16" xfId="1" applyBorder="1" applyAlignment="1"/>
    <xf numFmtId="0" fontId="10" fillId="0" borderId="22" xfId="3" applyFont="1" applyBorder="1" applyAlignment="1" applyProtection="1">
      <alignment horizontal="center" vertical="top"/>
      <protection hidden="1"/>
    </xf>
    <xf numFmtId="0" fontId="10" fillId="0" borderId="22" xfId="3" applyFont="1" applyBorder="1" applyAlignment="1">
      <alignment horizontal="center"/>
    </xf>
    <xf numFmtId="0" fontId="10" fillId="0" borderId="23" xfId="3" applyFont="1" applyBorder="1" applyAlignment="1"/>
    <xf numFmtId="0" fontId="8" fillId="0" borderId="51" xfId="0" applyFont="1" applyFill="1" applyBorder="1" applyAlignment="1">
      <alignment horizontal="left" vertical="center" wrapText="1"/>
    </xf>
    <xf numFmtId="0" fontId="8" fillId="0" borderId="5" xfId="0" applyFont="1" applyFill="1" applyBorder="1" applyAlignment="1">
      <alignment horizontal="left" vertical="center" wrapText="1"/>
    </xf>
    <xf numFmtId="0" fontId="8" fillId="0" borderId="28" xfId="0" applyFont="1" applyFill="1" applyBorder="1" applyAlignment="1">
      <alignment horizontal="left" vertical="center" wrapText="1"/>
    </xf>
    <xf numFmtId="0" fontId="8" fillId="0" borderId="29" xfId="0" applyFont="1" applyFill="1" applyBorder="1" applyAlignment="1">
      <alignment horizontal="left" vertical="center" wrapText="1"/>
    </xf>
    <xf numFmtId="0" fontId="13" fillId="0" borderId="0" xfId="0" applyFont="1" applyFill="1" applyBorder="1" applyAlignment="1">
      <alignment vertical="center" wrapText="1"/>
    </xf>
    <xf numFmtId="0" fontId="13" fillId="0" borderId="0" xfId="0" applyFont="1" applyFill="1" applyAlignment="1">
      <alignment vertical="center"/>
    </xf>
    <xf numFmtId="0" fontId="7" fillId="0" borderId="52"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24" xfId="0" applyFont="1" applyFill="1" applyBorder="1" applyAlignment="1">
      <alignment horizontal="left" vertical="center" wrapText="1"/>
    </xf>
    <xf numFmtId="0" fontId="19" fillId="0" borderId="24" xfId="0" applyFont="1" applyFill="1" applyBorder="1" applyAlignment="1">
      <alignment horizontal="left" vertical="center" wrapText="1"/>
    </xf>
    <xf numFmtId="0" fontId="19" fillId="0" borderId="25" xfId="0" applyFont="1" applyFill="1" applyBorder="1" applyAlignment="1">
      <alignment horizontal="left" vertical="center" wrapText="1"/>
    </xf>
    <xf numFmtId="0" fontId="7" fillId="0" borderId="26" xfId="0" applyFont="1" applyFill="1" applyBorder="1" applyAlignment="1">
      <alignment horizontal="left" vertical="center" wrapText="1"/>
    </xf>
    <xf numFmtId="0" fontId="7" fillId="0" borderId="10" xfId="0" applyFont="1" applyFill="1" applyBorder="1" applyAlignment="1">
      <alignment horizontal="left" vertical="center" wrapText="1"/>
    </xf>
    <xf numFmtId="0" fontId="19" fillId="0" borderId="10" xfId="0" applyFont="1" applyFill="1" applyBorder="1" applyAlignment="1">
      <alignment vertical="center"/>
    </xf>
    <xf numFmtId="0" fontId="19" fillId="0" borderId="27" xfId="0" applyFont="1" applyFill="1" applyBorder="1" applyAlignment="1">
      <alignment vertical="center"/>
    </xf>
    <xf numFmtId="0" fontId="8" fillId="0" borderId="53" xfId="0" applyFont="1" applyFill="1" applyBorder="1" applyAlignment="1">
      <alignment horizontal="left" vertical="center" wrapText="1"/>
    </xf>
    <xf numFmtId="0" fontId="8" fillId="0" borderId="57" xfId="0" applyFont="1" applyFill="1" applyBorder="1" applyAlignment="1">
      <alignment horizontal="left" vertical="center" wrapText="1"/>
    </xf>
    <xf numFmtId="0" fontId="8" fillId="0" borderId="58" xfId="0" applyFont="1" applyFill="1" applyBorder="1" applyAlignment="1">
      <alignment horizontal="left" vertical="center" wrapText="1"/>
    </xf>
    <xf numFmtId="0" fontId="7" fillId="0" borderId="51"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28" xfId="0" applyFont="1" applyFill="1" applyBorder="1" applyAlignment="1">
      <alignment horizontal="left" vertical="center" wrapText="1"/>
    </xf>
    <xf numFmtId="0" fontId="7" fillId="0" borderId="29" xfId="0" applyFont="1" applyFill="1" applyBorder="1" applyAlignment="1">
      <alignment horizontal="left" vertical="center" wrapText="1"/>
    </xf>
    <xf numFmtId="0" fontId="8" fillId="0" borderId="54" xfId="0" applyFont="1" applyFill="1" applyBorder="1" applyAlignment="1">
      <alignment horizontal="left" vertical="center" wrapText="1"/>
    </xf>
    <xf numFmtId="0" fontId="8" fillId="0" borderId="55" xfId="0" applyFont="1" applyFill="1" applyBorder="1" applyAlignment="1">
      <alignment horizontal="left" vertical="center" wrapText="1"/>
    </xf>
    <xf numFmtId="0" fontId="8" fillId="0" borderId="56" xfId="0" applyFont="1" applyFill="1" applyBorder="1" applyAlignment="1">
      <alignment horizontal="left" vertical="center" wrapText="1"/>
    </xf>
    <xf numFmtId="0" fontId="27" fillId="0" borderId="0" xfId="0" applyFont="1" applyFill="1" applyBorder="1" applyAlignment="1">
      <alignment vertical="center" wrapText="1"/>
    </xf>
    <xf numFmtId="0" fontId="27" fillId="0" borderId="0" xfId="0" applyFont="1" applyFill="1" applyAlignment="1">
      <alignment vertical="center"/>
    </xf>
    <xf numFmtId="0" fontId="8" fillId="0" borderId="5" xfId="0" applyFont="1" applyFill="1" applyBorder="1" applyAlignment="1">
      <alignment horizontal="left" vertical="center" wrapText="1" indent="1"/>
    </xf>
    <xf numFmtId="0" fontId="8" fillId="0" borderId="28" xfId="0" applyFont="1" applyFill="1" applyBorder="1" applyAlignment="1">
      <alignment horizontal="left" vertical="center" wrapText="1" indent="1"/>
    </xf>
    <xf numFmtId="0" fontId="8" fillId="0" borderId="29" xfId="0" applyFont="1" applyFill="1" applyBorder="1" applyAlignment="1">
      <alignment horizontal="left" vertical="center" wrapText="1" indent="1"/>
    </xf>
    <xf numFmtId="0" fontId="7" fillId="0" borderId="14" xfId="0" applyFont="1" applyFill="1" applyBorder="1" applyAlignment="1">
      <alignment horizontal="left" vertical="center" wrapText="1"/>
    </xf>
    <xf numFmtId="0" fontId="7" fillId="0" borderId="30" xfId="0" applyFont="1" applyFill="1" applyBorder="1" applyAlignment="1">
      <alignment horizontal="left" vertical="center" wrapText="1"/>
    </xf>
    <xf numFmtId="0" fontId="7" fillId="0" borderId="31" xfId="0" applyFont="1" applyFill="1" applyBorder="1" applyAlignment="1">
      <alignment horizontal="left" vertical="center" wrapText="1"/>
    </xf>
    <xf numFmtId="0" fontId="19" fillId="0" borderId="24" xfId="0" applyFont="1" applyFill="1" applyBorder="1" applyAlignment="1">
      <alignment vertical="center"/>
    </xf>
    <xf numFmtId="0" fontId="19" fillId="0" borderId="25" xfId="0" applyFont="1" applyFill="1" applyBorder="1" applyAlignment="1">
      <alignment vertical="center"/>
    </xf>
    <xf numFmtId="0" fontId="7" fillId="0" borderId="27" xfId="0" applyFont="1" applyFill="1" applyBorder="1" applyAlignment="1">
      <alignment horizontal="left" vertical="center" wrapText="1"/>
    </xf>
    <xf numFmtId="0" fontId="11" fillId="0" borderId="11" xfId="0" applyFont="1" applyFill="1" applyBorder="1" applyAlignment="1" applyProtection="1">
      <alignment horizontal="center" vertical="center" wrapText="1"/>
      <protection hidden="1"/>
    </xf>
    <xf numFmtId="0" fontId="7" fillId="0" borderId="18" xfId="0" applyFont="1" applyFill="1" applyBorder="1" applyAlignment="1">
      <alignment horizontal="left" vertical="center" wrapText="1"/>
    </xf>
    <xf numFmtId="0" fontId="19" fillId="0" borderId="19" xfId="0" applyFont="1" applyFill="1" applyBorder="1" applyAlignment="1">
      <alignment horizontal="left" vertical="center" wrapText="1"/>
    </xf>
    <xf numFmtId="0" fontId="19" fillId="0" borderId="20" xfId="0" applyFont="1" applyFill="1" applyBorder="1" applyAlignment="1">
      <alignment horizontal="left" vertical="center" wrapText="1"/>
    </xf>
    <xf numFmtId="0" fontId="15" fillId="0" borderId="0" xfId="0" applyFont="1" applyFill="1" applyBorder="1" applyAlignment="1" applyProtection="1">
      <alignment horizontal="center" vertical="center" wrapText="1"/>
      <protection hidden="1"/>
    </xf>
    <xf numFmtId="0" fontId="12" fillId="0" borderId="19" xfId="0" applyFont="1" applyFill="1" applyBorder="1" applyAlignment="1" applyProtection="1">
      <alignment horizontal="center" vertical="top" wrapText="1"/>
      <protection hidden="1"/>
    </xf>
    <xf numFmtId="0" fontId="12" fillId="0" borderId="13" xfId="0" applyFont="1" applyFill="1" applyBorder="1" applyAlignment="1" applyProtection="1">
      <alignment vertical="center" wrapText="1"/>
      <protection hidden="1"/>
    </xf>
    <xf numFmtId="0" fontId="12" fillId="0" borderId="24" xfId="0" applyFont="1" applyFill="1" applyBorder="1" applyAlignment="1" applyProtection="1">
      <alignment vertical="center" wrapText="1"/>
      <protection hidden="1"/>
    </xf>
    <xf numFmtId="0" fontId="12" fillId="0" borderId="25" xfId="0" applyFont="1" applyFill="1" applyBorder="1" applyAlignment="1" applyProtection="1">
      <alignment vertical="center" wrapText="1"/>
      <protection hidden="1"/>
    </xf>
    <xf numFmtId="0" fontId="7" fillId="0" borderId="13" xfId="0" applyFont="1" applyFill="1" applyBorder="1" applyAlignment="1" applyProtection="1">
      <alignment horizontal="center" vertical="center" wrapText="1"/>
      <protection hidden="1"/>
    </xf>
    <xf numFmtId="0" fontId="7" fillId="0" borderId="24" xfId="0" applyFont="1" applyFill="1" applyBorder="1" applyAlignment="1" applyProtection="1">
      <alignment horizontal="center" vertical="center" wrapText="1"/>
      <protection hidden="1"/>
    </xf>
    <xf numFmtId="0" fontId="7" fillId="0" borderId="25" xfId="0" applyFont="1" applyFill="1" applyBorder="1" applyAlignment="1" applyProtection="1">
      <alignment horizontal="center" vertical="center" wrapText="1"/>
      <protection hidden="1"/>
    </xf>
    <xf numFmtId="0" fontId="12" fillId="0" borderId="0" xfId="0" applyFont="1" applyFill="1" applyBorder="1" applyAlignment="1" applyProtection="1">
      <alignment horizontal="center" vertical="top" wrapText="1"/>
      <protection hidden="1"/>
    </xf>
    <xf numFmtId="0" fontId="7" fillId="0" borderId="14" xfId="0" applyFont="1" applyFill="1" applyBorder="1" applyAlignment="1">
      <alignment horizontal="left" vertical="center" wrapText="1" indent="1"/>
    </xf>
    <xf numFmtId="0" fontId="7" fillId="0" borderId="30" xfId="0" applyFont="1" applyFill="1" applyBorder="1" applyAlignment="1">
      <alignment horizontal="left" vertical="center" wrapText="1" indent="1"/>
    </xf>
    <xf numFmtId="0" fontId="7" fillId="0" borderId="31" xfId="0" applyFont="1" applyFill="1" applyBorder="1" applyAlignment="1">
      <alignment horizontal="left" vertical="center" wrapText="1" indent="1"/>
    </xf>
    <xf numFmtId="0" fontId="7" fillId="0" borderId="21" xfId="0" applyFont="1"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35" xfId="0" applyFont="1" applyFill="1" applyBorder="1" applyAlignment="1">
      <alignment horizontal="left" vertical="center" wrapText="1"/>
    </xf>
    <xf numFmtId="0" fontId="7" fillId="0" borderId="36" xfId="0" applyFont="1" applyFill="1" applyBorder="1" applyAlignment="1">
      <alignment horizontal="left" vertical="center" wrapText="1"/>
    </xf>
    <xf numFmtId="0" fontId="7" fillId="0" borderId="5" xfId="0" applyFont="1" applyFill="1" applyBorder="1" applyAlignment="1">
      <alignment horizontal="left" vertical="center" wrapText="1" indent="1"/>
    </xf>
    <xf numFmtId="0" fontId="7" fillId="0" borderId="28" xfId="0" applyFont="1" applyFill="1" applyBorder="1" applyAlignment="1">
      <alignment horizontal="left" vertical="center" wrapText="1" indent="1"/>
    </xf>
    <xf numFmtId="0" fontId="7" fillId="0" borderId="29" xfId="0" applyFont="1" applyFill="1" applyBorder="1" applyAlignment="1">
      <alignment horizontal="left" vertical="center" wrapText="1" indent="1"/>
    </xf>
    <xf numFmtId="0" fontId="8" fillId="0" borderId="32" xfId="0" applyFont="1" applyFill="1" applyBorder="1" applyAlignment="1">
      <alignment horizontal="left" vertical="center" wrapText="1" indent="1"/>
    </xf>
    <xf numFmtId="0" fontId="8" fillId="0" borderId="33" xfId="0" applyFont="1" applyFill="1" applyBorder="1" applyAlignment="1">
      <alignment horizontal="left" vertical="center" wrapText="1" indent="1"/>
    </xf>
    <xf numFmtId="0" fontId="8" fillId="0" borderId="34" xfId="0" applyFont="1" applyFill="1" applyBorder="1" applyAlignment="1">
      <alignment horizontal="left" vertical="center" wrapText="1" indent="1"/>
    </xf>
    <xf numFmtId="0" fontId="11" fillId="0" borderId="12" xfId="0" applyFont="1" applyFill="1" applyBorder="1" applyAlignment="1" applyProtection="1">
      <alignment horizontal="center" vertical="center" wrapText="1"/>
      <protection hidden="1"/>
    </xf>
    <xf numFmtId="0" fontId="7" fillId="0" borderId="12" xfId="0" applyFont="1" applyFill="1" applyBorder="1" applyAlignment="1" applyProtection="1">
      <alignment horizontal="center" vertical="center" wrapText="1"/>
      <protection hidden="1"/>
    </xf>
    <xf numFmtId="0" fontId="12" fillId="0" borderId="19" xfId="0" applyFont="1" applyFill="1" applyBorder="1" applyAlignment="1" applyProtection="1">
      <alignment horizontal="left" vertical="center" wrapText="1"/>
      <protection hidden="1"/>
    </xf>
    <xf numFmtId="0" fontId="7" fillId="0" borderId="59" xfId="0" applyFont="1" applyFill="1" applyBorder="1" applyAlignment="1">
      <alignment horizontal="left" vertical="center" wrapText="1"/>
    </xf>
    <xf numFmtId="0" fontId="8" fillId="0" borderId="59" xfId="0" applyFont="1" applyFill="1" applyBorder="1" applyAlignment="1">
      <alignment horizontal="left" vertical="center" wrapText="1"/>
    </xf>
    <xf numFmtId="0" fontId="8" fillId="0" borderId="60" xfId="0" applyFont="1" applyFill="1" applyBorder="1" applyAlignment="1">
      <alignment horizontal="left" vertical="center" wrapText="1"/>
    </xf>
    <xf numFmtId="0" fontId="8" fillId="0" borderId="61" xfId="0" applyFont="1" applyFill="1" applyBorder="1" applyAlignment="1">
      <alignment horizontal="left" vertical="center" wrapText="1"/>
    </xf>
    <xf numFmtId="0" fontId="8" fillId="0" borderId="62" xfId="0" applyFont="1" applyFill="1" applyBorder="1" applyAlignment="1">
      <alignment horizontal="left" vertical="center" wrapText="1"/>
    </xf>
    <xf numFmtId="0" fontId="19" fillId="0" borderId="24" xfId="0" applyFont="1" applyFill="1" applyBorder="1" applyAlignment="1">
      <alignment vertical="center" wrapText="1"/>
    </xf>
    <xf numFmtId="0" fontId="19" fillId="0" borderId="25" xfId="0" applyFont="1" applyFill="1" applyBorder="1" applyAlignment="1">
      <alignment vertical="center" wrapText="1"/>
    </xf>
    <xf numFmtId="0" fontId="11" fillId="0" borderId="12" xfId="0" applyFont="1" applyFill="1" applyBorder="1" applyAlignment="1">
      <alignment horizontal="center" vertical="center" wrapText="1"/>
    </xf>
    <xf numFmtId="0" fontId="11" fillId="0" borderId="13" xfId="0" applyFont="1" applyFill="1" applyBorder="1" applyAlignment="1" applyProtection="1">
      <alignment vertical="center" wrapText="1"/>
      <protection hidden="1"/>
    </xf>
    <xf numFmtId="0" fontId="11" fillId="0" borderId="24" xfId="0" applyFont="1" applyFill="1" applyBorder="1" applyAlignment="1" applyProtection="1">
      <alignment vertical="center" wrapText="1"/>
      <protection hidden="1"/>
    </xf>
    <xf numFmtId="0" fontId="11" fillId="0" borderId="25" xfId="0" applyFont="1" applyFill="1" applyBorder="1" applyAlignment="1" applyProtection="1">
      <alignment vertical="center" wrapText="1"/>
      <protection hidden="1"/>
    </xf>
    <xf numFmtId="0" fontId="15" fillId="0" borderId="0" xfId="0" applyFont="1" applyFill="1" applyBorder="1" applyAlignment="1">
      <alignment horizontal="center" vertical="center" wrapText="1"/>
    </xf>
    <xf numFmtId="0" fontId="12" fillId="0" borderId="19" xfId="0" applyFont="1" applyFill="1" applyBorder="1" applyAlignment="1">
      <alignment horizontal="center" vertical="top" wrapText="1"/>
    </xf>
    <xf numFmtId="0" fontId="7" fillId="0" borderId="12" xfId="0" applyFont="1" applyFill="1" applyBorder="1" applyAlignment="1">
      <alignment horizontal="center" vertical="center" wrapText="1"/>
    </xf>
    <xf numFmtId="0" fontId="19" fillId="0" borderId="30" xfId="0" applyFont="1" applyFill="1" applyBorder="1"/>
    <xf numFmtId="0" fontId="19" fillId="0" borderId="31" xfId="0" applyFont="1" applyFill="1" applyBorder="1"/>
    <xf numFmtId="0" fontId="19" fillId="0" borderId="28" xfId="0" applyFont="1" applyFill="1" applyBorder="1"/>
    <xf numFmtId="0" fontId="19" fillId="0" borderId="29" xfId="0" applyFont="1" applyFill="1" applyBorder="1"/>
    <xf numFmtId="0" fontId="11" fillId="0" borderId="11" xfId="0" applyFont="1" applyFill="1" applyBorder="1" applyAlignment="1">
      <alignment horizontal="center" vertical="center" wrapText="1"/>
    </xf>
    <xf numFmtId="0" fontId="11" fillId="0" borderId="12" xfId="0" applyFont="1" applyFill="1" applyBorder="1" applyAlignment="1" applyProtection="1">
      <alignment vertical="center" wrapText="1"/>
      <protection hidden="1"/>
    </xf>
    <xf numFmtId="0" fontId="12" fillId="0" borderId="0" xfId="0" applyFont="1" applyFill="1" applyBorder="1" applyAlignment="1">
      <alignment horizontal="center" vertical="top" wrapText="1"/>
    </xf>
    <xf numFmtId="0" fontId="7" fillId="0" borderId="60" xfId="0" applyFont="1" applyFill="1" applyBorder="1" applyAlignment="1">
      <alignment horizontal="left" vertical="center" wrapText="1"/>
    </xf>
    <xf numFmtId="0" fontId="7" fillId="0" borderId="63" xfId="0" applyFont="1" applyFill="1" applyBorder="1" applyAlignment="1">
      <alignment horizontal="left" vertical="center" wrapText="1"/>
    </xf>
    <xf numFmtId="0" fontId="12" fillId="0" borderId="0" xfId="1" applyFont="1" applyFill="1" applyBorder="1" applyAlignment="1" applyProtection="1">
      <alignment horizontal="center" vertical="center"/>
      <protection hidden="1"/>
    </xf>
    <xf numFmtId="0" fontId="22" fillId="0" borderId="0" xfId="1" applyFont="1" applyFill="1" applyBorder="1" applyAlignment="1" applyProtection="1">
      <alignment horizontal="center" vertical="center"/>
      <protection hidden="1"/>
    </xf>
    <xf numFmtId="14" fontId="22" fillId="0" borderId="0" xfId="1" applyNumberFormat="1" applyFont="1" applyFill="1" applyBorder="1" applyAlignment="1" applyProtection="1">
      <alignment horizontal="center" vertical="center"/>
      <protection locked="0" hidden="1"/>
    </xf>
    <xf numFmtId="0" fontId="4" fillId="0" borderId="0" xfId="1" applyFont="1" applyFill="1" applyBorder="1" applyAlignment="1">
      <alignment vertical="center"/>
    </xf>
    <xf numFmtId="0" fontId="23" fillId="0" borderId="12" xfId="0" applyFont="1" applyFill="1" applyBorder="1" applyAlignment="1">
      <alignment horizontal="center" vertical="center" wrapText="1"/>
    </xf>
    <xf numFmtId="49" fontId="24" fillId="0" borderId="12" xfId="0" applyNumberFormat="1" applyFont="1" applyFill="1" applyBorder="1" applyAlignment="1">
      <alignment horizontal="center" vertical="center" wrapText="1"/>
    </xf>
    <xf numFmtId="0" fontId="10" fillId="0" borderId="26"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0" fillId="0" borderId="14" xfId="0" applyFont="1" applyFill="1" applyBorder="1" applyAlignment="1">
      <alignment horizontal="left" vertical="center" wrapText="1"/>
    </xf>
    <xf numFmtId="0" fontId="10" fillId="0" borderId="30" xfId="0" applyFont="1" applyFill="1" applyBorder="1" applyAlignment="1">
      <alignment horizontal="left" vertical="center" wrapText="1"/>
    </xf>
    <xf numFmtId="0" fontId="5" fillId="0" borderId="8" xfId="0" applyFont="1" applyFill="1" applyBorder="1" applyAlignment="1">
      <alignment horizontal="left" vertical="center" wrapText="1"/>
    </xf>
    <xf numFmtId="0" fontId="6" fillId="0" borderId="8" xfId="0" applyFont="1" applyFill="1" applyBorder="1" applyAlignment="1">
      <alignment vertical="center" wrapText="1"/>
    </xf>
    <xf numFmtId="0" fontId="15" fillId="0" borderId="0" xfId="1" applyFont="1" applyFill="1" applyBorder="1" applyAlignment="1">
      <alignment horizontal="center" vertical="center" wrapText="1"/>
    </xf>
    <xf numFmtId="0" fontId="4" fillId="0" borderId="0" xfId="0" applyFont="1" applyFill="1" applyBorder="1" applyAlignment="1">
      <alignment horizontal="center" vertical="center" wrapText="1"/>
    </xf>
    <xf numFmtId="0" fontId="8" fillId="0" borderId="63" xfId="0" applyFont="1" applyFill="1" applyBorder="1" applyAlignment="1">
      <alignment horizontal="left" vertical="center" wrapText="1"/>
    </xf>
    <xf numFmtId="0" fontId="7" fillId="0" borderId="64" xfId="0" applyFont="1" applyFill="1" applyBorder="1" applyAlignment="1">
      <alignment horizontal="left" vertical="center" wrapText="1"/>
    </xf>
    <xf numFmtId="0" fontId="7" fillId="0" borderId="65" xfId="0" applyFont="1" applyFill="1" applyBorder="1" applyAlignment="1">
      <alignment horizontal="left" vertical="center" wrapText="1"/>
    </xf>
    <xf numFmtId="0" fontId="7" fillId="0" borderId="66" xfId="0" applyFont="1" applyFill="1" applyBorder="1" applyAlignment="1">
      <alignment horizontal="left" vertical="center" wrapText="1"/>
    </xf>
    <xf numFmtId="0" fontId="23" fillId="0" borderId="13" xfId="0" applyFont="1" applyFill="1" applyBorder="1" applyAlignment="1">
      <alignment horizontal="left" vertical="center" wrapText="1"/>
    </xf>
    <xf numFmtId="0" fontId="23" fillId="0" borderId="24" xfId="0" applyFont="1" applyFill="1" applyBorder="1" applyAlignment="1">
      <alignment horizontal="left" vertical="center" wrapText="1"/>
    </xf>
    <xf numFmtId="0" fontId="4" fillId="0" borderId="24" xfId="0" applyFont="1" applyFill="1" applyBorder="1" applyAlignment="1">
      <alignment vertical="center" wrapText="1"/>
    </xf>
    <xf numFmtId="0" fontId="4" fillId="0" borderId="25" xfId="0" applyFont="1" applyFill="1" applyBorder="1" applyAlignment="1">
      <alignment vertical="center" wrapText="1"/>
    </xf>
    <xf numFmtId="0" fontId="49" fillId="33" borderId="0" xfId="0" applyFont="1" applyFill="1" applyAlignment="1">
      <alignment horizontal="justify" vertical="top" wrapText="1"/>
    </xf>
    <xf numFmtId="0" fontId="47" fillId="33" borderId="0" xfId="0" applyFont="1" applyFill="1" applyAlignment="1">
      <alignment horizontal="left" vertical="top"/>
    </xf>
    <xf numFmtId="0" fontId="12" fillId="33" borderId="0" xfId="0" applyFont="1" applyFill="1" applyAlignment="1">
      <alignment horizontal="left" vertical="top" wrapText="1"/>
    </xf>
    <xf numFmtId="0" fontId="50" fillId="33" borderId="0" xfId="0" applyFont="1" applyFill="1" applyAlignment="1">
      <alignment horizontal="left" vertical="top" wrapText="1"/>
    </xf>
    <xf numFmtId="0" fontId="12" fillId="33" borderId="0" xfId="0" applyFont="1" applyFill="1" applyAlignment="1">
      <alignment horizontal="left" vertical="top"/>
    </xf>
    <xf numFmtId="0" fontId="49" fillId="33" borderId="0" xfId="0" applyFont="1" applyFill="1" applyAlignment="1">
      <alignment horizontal="left" vertical="top" wrapText="1"/>
    </xf>
    <xf numFmtId="0" fontId="50" fillId="33" borderId="0" xfId="0" applyFont="1" applyFill="1" applyAlignment="1">
      <alignment horizontal="left" vertical="top"/>
    </xf>
    <xf numFmtId="0" fontId="49" fillId="33" borderId="0" xfId="0" applyFont="1" applyFill="1" applyAlignment="1">
      <alignment horizontal="left" vertical="top"/>
    </xf>
    <xf numFmtId="0" fontId="26" fillId="33" borderId="0" xfId="0" applyFont="1" applyFill="1" applyAlignment="1">
      <alignment horizontal="justify" vertical="top"/>
    </xf>
    <xf numFmtId="0" fontId="49" fillId="33" borderId="0" xfId="0" applyFont="1" applyFill="1" applyAlignment="1">
      <alignment horizontal="justify" vertical="top"/>
    </xf>
    <xf numFmtId="0" fontId="14" fillId="33" borderId="0" xfId="0" applyFont="1" applyFill="1" applyAlignment="1">
      <alignment vertical="top"/>
    </xf>
    <xf numFmtId="0" fontId="12" fillId="33" borderId="0" xfId="0" applyFont="1" applyFill="1" applyAlignment="1">
      <alignment horizontal="justify" vertical="top"/>
    </xf>
    <xf numFmtId="0" fontId="46" fillId="33" borderId="0" xfId="0" applyFont="1" applyFill="1" applyAlignment="1">
      <alignment vertical="top"/>
    </xf>
    <xf numFmtId="0" fontId="12" fillId="33" borderId="0" xfId="0" applyFont="1" applyFill="1" applyAlignment="1">
      <alignment vertical="top"/>
    </xf>
    <xf numFmtId="0" fontId="0" fillId="33" borderId="0" xfId="0" applyFill="1" applyAlignment="1">
      <alignment horizontal="left" vertical="top" wrapText="1"/>
    </xf>
    <xf numFmtId="0" fontId="4" fillId="33" borderId="0" xfId="0" applyFont="1" applyFill="1" applyAlignment="1">
      <alignment horizontal="left" vertical="top" wrapText="1"/>
    </xf>
    <xf numFmtId="0" fontId="4" fillId="33" borderId="0" xfId="0" applyFont="1" applyFill="1" applyAlignment="1">
      <alignment vertical="top"/>
    </xf>
    <xf numFmtId="0" fontId="7" fillId="33" borderId="0" xfId="0" applyFont="1" applyFill="1" applyAlignment="1">
      <alignment vertical="top"/>
    </xf>
    <xf numFmtId="0" fontId="12" fillId="33" borderId="0" xfId="0" applyFont="1" applyFill="1" applyBorder="1" applyAlignment="1">
      <alignment vertical="top"/>
    </xf>
    <xf numFmtId="0" fontId="63" fillId="33" borderId="0" xfId="0" applyFont="1" applyFill="1" applyAlignment="1">
      <alignment horizontal="left" vertical="top" wrapText="1"/>
    </xf>
    <xf numFmtId="0" fontId="58" fillId="33" borderId="0" xfId="0" applyFont="1" applyFill="1" applyAlignment="1">
      <alignment horizontal="center" vertical="top"/>
    </xf>
  </cellXfs>
  <cellStyles count="49">
    <cellStyle name="Accent1" xfId="20" builtinId="29" customBuiltin="1"/>
    <cellStyle name="Accent1 - 20%" xfId="21" builtinId="30" customBuiltin="1"/>
    <cellStyle name="Accent1 - 40%" xfId="22" builtinId="31" customBuiltin="1"/>
    <cellStyle name="Accent1 - 60%" xfId="23" builtinId="32" customBuiltin="1"/>
    <cellStyle name="Accent2" xfId="24" builtinId="33" customBuiltin="1"/>
    <cellStyle name="Accent2 - 20%" xfId="25" builtinId="34" customBuiltin="1"/>
    <cellStyle name="Accent2 - 40%" xfId="26" builtinId="35" customBuiltin="1"/>
    <cellStyle name="Accent2 - 60%" xfId="27" builtinId="36" customBuiltin="1"/>
    <cellStyle name="Accent3" xfId="28" builtinId="37" customBuiltin="1"/>
    <cellStyle name="Accent3 - 20%" xfId="29" builtinId="38" customBuiltin="1"/>
    <cellStyle name="Accent3 - 40%" xfId="30" builtinId="39" customBuiltin="1"/>
    <cellStyle name="Accent3 - 60%" xfId="31" builtinId="40" customBuiltin="1"/>
    <cellStyle name="Accent4" xfId="32" builtinId="41" customBuiltin="1"/>
    <cellStyle name="Accent4 - 20%" xfId="33" builtinId="42" customBuiltin="1"/>
    <cellStyle name="Accent4 - 40%" xfId="34" builtinId="43" customBuiltin="1"/>
    <cellStyle name="Accent4 - 60%" xfId="35" builtinId="44" customBuiltin="1"/>
    <cellStyle name="Accent5" xfId="36" builtinId="45" customBuiltin="1"/>
    <cellStyle name="Accent5 - 20%" xfId="37" builtinId="46" customBuiltin="1"/>
    <cellStyle name="Accent5 - 40%" xfId="38" builtinId="47" customBuiltin="1"/>
    <cellStyle name="Accent5 - 60%" xfId="39" builtinId="48" customBuiltin="1"/>
    <cellStyle name="Accent6" xfId="40" builtinId="49" customBuiltin="1"/>
    <cellStyle name="Accent6 - 20%" xfId="41" builtinId="50" customBuiltin="1"/>
    <cellStyle name="Accent6 - 40%" xfId="42" builtinId="51" customBuiltin="1"/>
    <cellStyle name="Accent6 - 60%" xfId="43" builtinId="52" customBuiltin="1"/>
    <cellStyle name="Bad" xfId="10" builtinId="27" customBuiltin="1"/>
    <cellStyle name="Bilješka 2" xfId="46"/>
    <cellStyle name="Calculation" xfId="14" builtinId="22" customBuiltin="1"/>
    <cellStyle name="Check Cell" xfId="16" builtinId="23" customBuiltin="1"/>
    <cellStyle name="Explanatory Text" xfId="18"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2" builtinId="8"/>
    <cellStyle name="Input" xfId="12" builtinId="20" customBuiltin="1"/>
    <cellStyle name="Linked Cell" xfId="15" builtinId="24" customBuiltin="1"/>
    <cellStyle name="Neutral" xfId="11" builtinId="28" customBuiltin="1"/>
    <cellStyle name="Normal" xfId="0" builtinId="0"/>
    <cellStyle name="Normal 2" xfId="47"/>
    <cellStyle name="Normal 2 2" xfId="48"/>
    <cellStyle name="Normal_TFI-POD" xfId="3"/>
    <cellStyle name="Obično 2" xfId="44"/>
    <cellStyle name="Output" xfId="13" builtinId="21" customBuiltin="1"/>
    <cellStyle name="Sheet Title" xfId="4" builtinId="15" customBuiltin="1"/>
    <cellStyle name="Style 1" xfId="1"/>
    <cellStyle name="Total" xfId="19" builtinId="25" customBuiltin="1"/>
    <cellStyle name="Warning Text" xfId="17" builtinId="11" customBuiltin="1"/>
    <cellStyle name="Zarez 2" xfId="45"/>
  </cellStyles>
  <dxfs count="7">
    <dxf>
      <font>
        <condense val="0"/>
        <extend val="0"/>
        <color indexed="9"/>
      </font>
      <fill>
        <patternFill patternType="solid">
          <bgColor indexed="10"/>
        </patternFill>
      </fill>
    </dxf>
    <dxf>
      <fill>
        <patternFill>
          <bgColor rgb="FFFF0000"/>
        </patternFill>
      </fill>
    </dxf>
    <dxf>
      <fill>
        <patternFill>
          <bgColor rgb="FFFF0000"/>
        </patternFill>
      </fill>
    </dxf>
    <dxf>
      <fill>
        <patternFill>
          <bgColor rgb="FFFF0000"/>
        </patternFill>
      </fill>
    </dxf>
    <dxf>
      <font>
        <condense val="0"/>
        <extend val="0"/>
        <color indexed="9"/>
      </font>
      <fill>
        <patternFill patternType="solid">
          <bgColor indexed="10"/>
        </patternFill>
      </fill>
    </dxf>
    <dxf>
      <font>
        <condense val="0"/>
        <extend val="0"/>
        <color indexed="9"/>
      </font>
      <fill>
        <patternFill patternType="solid">
          <bgColor indexed="10"/>
        </patternFill>
      </fill>
    </dxf>
    <dxf>
      <font>
        <b/>
        <i val="0"/>
        <condense val="0"/>
        <extend val="0"/>
        <color auto="1"/>
      </font>
      <border>
        <left style="thin">
          <color indexed="64"/>
        </left>
        <right style="thin">
          <color indexed="64"/>
        </right>
        <top style="thin">
          <color indexed="64"/>
        </top>
        <bottom style="thin">
          <color indexed="64"/>
        </bottom>
      </border>
    </dxf>
  </dxfs>
  <tableStyles count="0" defaultTableStyle="TableStyleMedium9"/>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4" Type="http://schemas.openxmlformats.org/officeDocument/2006/relationships/worksheet" Target="worksheets/sheet4.xml"/><Relationship Id="rId10" Type="http://schemas.openxmlformats.org/officeDocument/2006/relationships/sharedStrings" Target="sharedStrings.xml"/><Relationship Id="rId5" Type="http://schemas.openxmlformats.org/officeDocument/2006/relationships/worksheet" Target="worksheets/sheet5.xml"/><Relationship Id="rId7" Type="http://schemas.openxmlformats.org/officeDocument/2006/relationships/worksheet" Target="worksheets/sheet7.xml"/><Relationship Id="rId11"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9" Type="http://schemas.openxmlformats.org/officeDocument/2006/relationships/styles" Target="styles.xml"/><Relationship Id="rId3" Type="http://schemas.openxmlformats.org/officeDocument/2006/relationships/worksheet" Target="worksheets/sheet3.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info@optima.hr" TargetMode="External"/><Relationship Id="rId3" Type="http://schemas.openxmlformats.org/officeDocument/2006/relationships/hyperlink" Target="http://www.optima.hr/" TargetMode="External"/><Relationship Id="rId1" Type="http://schemas.openxmlformats.org/officeDocument/2006/relationships/hyperlink" Target="mailto:svetlana.kundovic@optima-telekom.h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codeName="Sheet1" enableFormatConditionsCalculation="0"/>
  <dimension ref="A1:L63"/>
  <sheetViews>
    <sheetView view="pageBreakPreview" zoomScale="110" zoomScaleSheetLayoutView="110" workbookViewId="0">
      <selection activeCell="A32" sqref="A32:D32"/>
    </sheetView>
  </sheetViews>
  <sheetFormatPr baseColWidth="10" defaultColWidth="8.83203125" defaultRowHeight="12"/>
  <cols>
    <col min="1" max="1" width="8.83203125" style="11"/>
    <col min="2" max="2" width="13" style="11" customWidth="1"/>
    <col min="3" max="4" width="8.83203125" style="11"/>
    <col min="5" max="5" width="9.83203125" style="11" bestFit="1" customWidth="1"/>
    <col min="6" max="6" width="8.83203125" style="11"/>
    <col min="7" max="7" width="15.1640625" style="11" customWidth="1"/>
    <col min="8" max="8" width="19.33203125" style="11" customWidth="1"/>
    <col min="9" max="9" width="14.5" style="11" customWidth="1"/>
    <col min="10" max="16384" width="8.83203125" style="11"/>
  </cols>
  <sheetData>
    <row r="1" spans="1:12" ht="15">
      <c r="A1" s="331" t="s">
        <v>489</v>
      </c>
      <c r="B1" s="331"/>
      <c r="C1" s="331"/>
      <c r="D1" s="250"/>
      <c r="E1" s="250"/>
      <c r="F1" s="250"/>
      <c r="G1" s="250"/>
      <c r="H1" s="250"/>
      <c r="I1" s="251"/>
      <c r="J1" s="10"/>
      <c r="K1" s="10"/>
      <c r="L1" s="10"/>
    </row>
    <row r="2" spans="1:12" ht="12.75" customHeight="1">
      <c r="A2" s="303" t="s">
        <v>490</v>
      </c>
      <c r="B2" s="304"/>
      <c r="C2" s="304"/>
      <c r="D2" s="305"/>
      <c r="E2" s="102" t="s">
        <v>521</v>
      </c>
      <c r="F2" s="252"/>
      <c r="G2" s="12" t="s">
        <v>491</v>
      </c>
      <c r="H2" s="102" t="s">
        <v>522</v>
      </c>
      <c r="I2" s="74"/>
      <c r="J2" s="10"/>
      <c r="K2" s="10"/>
      <c r="L2" s="10"/>
    </row>
    <row r="3" spans="1:12">
      <c r="A3" s="75"/>
      <c r="B3" s="13"/>
      <c r="C3" s="13"/>
      <c r="D3" s="13"/>
      <c r="E3" s="14"/>
      <c r="F3" s="14"/>
      <c r="G3" s="13"/>
      <c r="H3" s="13"/>
      <c r="I3" s="253"/>
      <c r="J3" s="10"/>
      <c r="K3" s="10"/>
      <c r="L3" s="10"/>
    </row>
    <row r="4" spans="1:12" ht="15" customHeight="1">
      <c r="A4" s="306" t="s">
        <v>520</v>
      </c>
      <c r="B4" s="306"/>
      <c r="C4" s="306"/>
      <c r="D4" s="306"/>
      <c r="E4" s="306"/>
      <c r="F4" s="306"/>
      <c r="G4" s="306"/>
      <c r="H4" s="306"/>
      <c r="I4" s="307"/>
      <c r="J4" s="10"/>
      <c r="K4" s="10"/>
      <c r="L4" s="10"/>
    </row>
    <row r="5" spans="1:12">
      <c r="A5" s="254"/>
      <c r="B5" s="23"/>
      <c r="C5" s="23"/>
      <c r="D5" s="23"/>
      <c r="E5" s="16"/>
      <c r="F5" s="77"/>
      <c r="G5" s="17"/>
      <c r="H5" s="18"/>
      <c r="I5" s="255"/>
      <c r="J5" s="10"/>
      <c r="K5" s="10"/>
      <c r="L5" s="10"/>
    </row>
    <row r="6" spans="1:12">
      <c r="A6" s="295" t="s">
        <v>492</v>
      </c>
      <c r="B6" s="308"/>
      <c r="C6" s="309" t="s">
        <v>566</v>
      </c>
      <c r="D6" s="302"/>
      <c r="E6" s="256"/>
      <c r="F6" s="256"/>
      <c r="G6" s="256"/>
      <c r="H6" s="256"/>
      <c r="I6" s="257"/>
      <c r="J6" s="10"/>
      <c r="K6" s="10"/>
      <c r="L6" s="10"/>
    </row>
    <row r="7" spans="1:12">
      <c r="A7" s="258"/>
      <c r="B7" s="259"/>
      <c r="C7" s="23"/>
      <c r="D7" s="23"/>
      <c r="E7" s="256"/>
      <c r="F7" s="256"/>
      <c r="G7" s="256"/>
      <c r="H7" s="256"/>
      <c r="I7" s="257"/>
      <c r="J7" s="10"/>
      <c r="K7" s="10"/>
      <c r="L7" s="10"/>
    </row>
    <row r="8" spans="1:12" ht="12.75" customHeight="1">
      <c r="A8" s="310" t="s">
        <v>493</v>
      </c>
      <c r="B8" s="311"/>
      <c r="C8" s="309" t="s">
        <v>567</v>
      </c>
      <c r="D8" s="302"/>
      <c r="E8" s="256"/>
      <c r="F8" s="256"/>
      <c r="G8" s="256"/>
      <c r="H8" s="256"/>
      <c r="I8" s="260"/>
      <c r="J8" s="10"/>
      <c r="K8" s="10"/>
      <c r="L8" s="10"/>
    </row>
    <row r="9" spans="1:12">
      <c r="A9" s="261"/>
      <c r="B9" s="262"/>
      <c r="C9" s="263"/>
      <c r="D9" s="264"/>
      <c r="E9" s="23"/>
      <c r="F9" s="23"/>
      <c r="G9" s="23"/>
      <c r="H9" s="23"/>
      <c r="I9" s="260"/>
      <c r="J9" s="10"/>
      <c r="K9" s="10"/>
      <c r="L9" s="10"/>
    </row>
    <row r="10" spans="1:12" ht="12.75" customHeight="1">
      <c r="A10" s="300" t="s">
        <v>494</v>
      </c>
      <c r="B10" s="300"/>
      <c r="C10" s="301" t="s">
        <v>568</v>
      </c>
      <c r="D10" s="302"/>
      <c r="E10" s="23"/>
      <c r="F10" s="23"/>
      <c r="G10" s="23"/>
      <c r="H10" s="23"/>
      <c r="I10" s="260"/>
      <c r="J10" s="10"/>
      <c r="K10" s="10"/>
      <c r="L10" s="10"/>
    </row>
    <row r="11" spans="1:12">
      <c r="A11" s="300"/>
      <c r="B11" s="300"/>
      <c r="C11" s="23"/>
      <c r="D11" s="23"/>
      <c r="E11" s="23"/>
      <c r="F11" s="23"/>
      <c r="G11" s="23"/>
      <c r="H11" s="23"/>
      <c r="I11" s="260"/>
      <c r="J11" s="10"/>
      <c r="K11" s="10"/>
      <c r="L11" s="10"/>
    </row>
    <row r="12" spans="1:12">
      <c r="A12" s="295" t="s">
        <v>495</v>
      </c>
      <c r="B12" s="308"/>
      <c r="C12" s="312" t="s">
        <v>569</v>
      </c>
      <c r="D12" s="298"/>
      <c r="E12" s="298"/>
      <c r="F12" s="298"/>
      <c r="G12" s="298"/>
      <c r="H12" s="298"/>
      <c r="I12" s="299"/>
      <c r="J12" s="10"/>
      <c r="K12" s="10"/>
      <c r="L12" s="10"/>
    </row>
    <row r="13" spans="1:12">
      <c r="A13" s="258"/>
      <c r="B13" s="259"/>
      <c r="C13" s="265"/>
      <c r="D13" s="23"/>
      <c r="E13" s="23"/>
      <c r="F13" s="23"/>
      <c r="G13" s="23"/>
      <c r="H13" s="23"/>
      <c r="I13" s="260"/>
      <c r="J13" s="10"/>
      <c r="K13" s="10"/>
      <c r="L13" s="10"/>
    </row>
    <row r="14" spans="1:12">
      <c r="A14" s="295" t="s">
        <v>496</v>
      </c>
      <c r="B14" s="308"/>
      <c r="C14" s="313">
        <v>10010</v>
      </c>
      <c r="D14" s="314"/>
      <c r="E14" s="23"/>
      <c r="F14" s="297" t="s">
        <v>570</v>
      </c>
      <c r="G14" s="298"/>
      <c r="H14" s="298"/>
      <c r="I14" s="299"/>
      <c r="J14" s="10"/>
      <c r="K14" s="10"/>
      <c r="L14" s="10"/>
    </row>
    <row r="15" spans="1:12">
      <c r="A15" s="258"/>
      <c r="B15" s="259"/>
      <c r="C15" s="23"/>
      <c r="D15" s="23"/>
      <c r="E15" s="23"/>
      <c r="F15" s="23"/>
      <c r="G15" s="23"/>
      <c r="H15" s="23"/>
      <c r="I15" s="260"/>
      <c r="J15" s="10"/>
      <c r="K15" s="10"/>
      <c r="L15" s="10"/>
    </row>
    <row r="16" spans="1:12">
      <c r="A16" s="295" t="s">
        <v>497</v>
      </c>
      <c r="B16" s="296"/>
      <c r="C16" s="297" t="s">
        <v>571</v>
      </c>
      <c r="D16" s="298"/>
      <c r="E16" s="298"/>
      <c r="F16" s="298"/>
      <c r="G16" s="298"/>
      <c r="H16" s="298"/>
      <c r="I16" s="299"/>
      <c r="J16" s="10"/>
      <c r="K16" s="10"/>
      <c r="L16" s="10"/>
    </row>
    <row r="17" spans="1:12">
      <c r="A17" s="258"/>
      <c r="B17" s="259"/>
      <c r="C17" s="23"/>
      <c r="D17" s="23"/>
      <c r="E17" s="23"/>
      <c r="F17" s="23"/>
      <c r="G17" s="23"/>
      <c r="H17" s="23"/>
      <c r="I17" s="260"/>
      <c r="J17" s="10"/>
      <c r="K17" s="10"/>
      <c r="L17" s="10"/>
    </row>
    <row r="18" spans="1:12">
      <c r="A18" s="295" t="s">
        <v>498</v>
      </c>
      <c r="B18" s="308"/>
      <c r="C18" s="315" t="s">
        <v>572</v>
      </c>
      <c r="D18" s="316"/>
      <c r="E18" s="316"/>
      <c r="F18" s="316"/>
      <c r="G18" s="316"/>
      <c r="H18" s="316"/>
      <c r="I18" s="317"/>
      <c r="J18" s="10"/>
      <c r="K18" s="10"/>
      <c r="L18" s="10"/>
    </row>
    <row r="19" spans="1:12">
      <c r="A19" s="258"/>
      <c r="B19" s="259"/>
      <c r="C19" s="265"/>
      <c r="D19" s="23"/>
      <c r="E19" s="23"/>
      <c r="F19" s="23"/>
      <c r="G19" s="23"/>
      <c r="H19" s="23"/>
      <c r="I19" s="260"/>
      <c r="J19" s="10"/>
      <c r="K19" s="10"/>
      <c r="L19" s="10"/>
    </row>
    <row r="20" spans="1:12">
      <c r="A20" s="295" t="s">
        <v>499</v>
      </c>
      <c r="B20" s="308"/>
      <c r="C20" s="315" t="s">
        <v>573</v>
      </c>
      <c r="D20" s="316"/>
      <c r="E20" s="316"/>
      <c r="F20" s="316"/>
      <c r="G20" s="316"/>
      <c r="H20" s="316"/>
      <c r="I20" s="317"/>
      <c r="J20" s="10"/>
      <c r="K20" s="10"/>
      <c r="L20" s="10"/>
    </row>
    <row r="21" spans="1:12">
      <c r="A21" s="258"/>
      <c r="B21" s="259"/>
      <c r="C21" s="265"/>
      <c r="D21" s="23"/>
      <c r="E21" s="23"/>
      <c r="F21" s="23"/>
      <c r="G21" s="23"/>
      <c r="H21" s="23"/>
      <c r="I21" s="260"/>
      <c r="J21" s="10"/>
      <c r="K21" s="10"/>
      <c r="L21" s="10"/>
    </row>
    <row r="22" spans="1:12">
      <c r="A22" s="295" t="s">
        <v>500</v>
      </c>
      <c r="B22" s="296"/>
      <c r="C22" s="103">
        <v>133</v>
      </c>
      <c r="D22" s="297"/>
      <c r="E22" s="298"/>
      <c r="F22" s="299"/>
      <c r="G22" s="318"/>
      <c r="H22" s="295"/>
      <c r="I22" s="80"/>
      <c r="J22" s="10"/>
      <c r="K22" s="10"/>
      <c r="L22" s="10"/>
    </row>
    <row r="23" spans="1:12">
      <c r="A23" s="258"/>
      <c r="B23" s="259"/>
      <c r="C23" s="23"/>
      <c r="D23" s="23"/>
      <c r="E23" s="23"/>
      <c r="F23" s="23"/>
      <c r="G23" s="23"/>
      <c r="H23" s="23"/>
      <c r="I23" s="260"/>
      <c r="J23" s="10"/>
      <c r="K23" s="10"/>
      <c r="L23" s="10"/>
    </row>
    <row r="24" spans="1:12">
      <c r="A24" s="295" t="s">
        <v>501</v>
      </c>
      <c r="B24" s="296"/>
      <c r="C24" s="103">
        <v>21</v>
      </c>
      <c r="D24" s="297"/>
      <c r="E24" s="298"/>
      <c r="F24" s="298"/>
      <c r="G24" s="299"/>
      <c r="H24" s="266" t="s">
        <v>502</v>
      </c>
      <c r="I24" s="104">
        <v>193</v>
      </c>
      <c r="J24" s="10"/>
      <c r="K24" s="10"/>
      <c r="L24" s="10"/>
    </row>
    <row r="25" spans="1:12">
      <c r="A25" s="258"/>
      <c r="B25" s="259"/>
      <c r="C25" s="23"/>
      <c r="D25" s="23"/>
      <c r="E25" s="23"/>
      <c r="F25" s="23"/>
      <c r="G25" s="259"/>
      <c r="H25" s="267" t="s">
        <v>503</v>
      </c>
      <c r="I25" s="268"/>
      <c r="J25" s="10"/>
      <c r="K25" s="10"/>
      <c r="L25" s="10"/>
    </row>
    <row r="26" spans="1:12">
      <c r="A26" s="295" t="s">
        <v>504</v>
      </c>
      <c r="B26" s="296"/>
      <c r="C26" s="105" t="s">
        <v>505</v>
      </c>
      <c r="D26" s="24"/>
      <c r="E26" s="269"/>
      <c r="F26" s="23"/>
      <c r="G26" s="295" t="s">
        <v>506</v>
      </c>
      <c r="H26" s="296"/>
      <c r="I26" s="106"/>
      <c r="J26" s="10"/>
      <c r="K26" s="10"/>
      <c r="L26" s="10"/>
    </row>
    <row r="27" spans="1:12">
      <c r="A27" s="258"/>
      <c r="B27" s="259"/>
      <c r="C27" s="23"/>
      <c r="D27" s="23"/>
      <c r="E27" s="23"/>
      <c r="F27" s="23"/>
      <c r="G27" s="23"/>
      <c r="H27" s="23"/>
      <c r="I27" s="270"/>
      <c r="J27" s="10"/>
      <c r="K27" s="10"/>
      <c r="L27" s="10"/>
    </row>
    <row r="28" spans="1:12">
      <c r="A28" s="319" t="s">
        <v>507</v>
      </c>
      <c r="B28" s="319"/>
      <c r="C28" s="319"/>
      <c r="D28" s="319"/>
      <c r="E28" s="320" t="s">
        <v>508</v>
      </c>
      <c r="F28" s="320"/>
      <c r="G28" s="320"/>
      <c r="H28" s="321" t="s">
        <v>509</v>
      </c>
      <c r="I28" s="321"/>
      <c r="J28" s="10"/>
      <c r="K28" s="10"/>
      <c r="L28" s="10"/>
    </row>
    <row r="29" spans="1:12">
      <c r="A29" s="82"/>
      <c r="B29" s="32"/>
      <c r="C29" s="32"/>
      <c r="D29" s="25"/>
      <c r="E29" s="15"/>
      <c r="F29" s="15"/>
      <c r="G29" s="15"/>
      <c r="H29" s="26"/>
      <c r="I29" s="81"/>
      <c r="J29" s="10"/>
      <c r="K29" s="10"/>
      <c r="L29" s="10"/>
    </row>
    <row r="30" spans="1:12">
      <c r="A30" s="322"/>
      <c r="B30" s="323"/>
      <c r="C30" s="323"/>
      <c r="D30" s="324"/>
      <c r="E30" s="322"/>
      <c r="F30" s="323"/>
      <c r="G30" s="323"/>
      <c r="H30" s="301"/>
      <c r="I30" s="302"/>
      <c r="J30" s="10"/>
      <c r="K30" s="10"/>
      <c r="L30" s="10"/>
    </row>
    <row r="31" spans="1:12">
      <c r="A31" s="78"/>
      <c r="B31" s="21"/>
      <c r="C31" s="20"/>
      <c r="D31" s="325"/>
      <c r="E31" s="325"/>
      <c r="F31" s="325"/>
      <c r="G31" s="326"/>
      <c r="H31" s="15"/>
      <c r="I31" s="83"/>
      <c r="J31" s="10"/>
      <c r="K31" s="10"/>
      <c r="L31" s="10"/>
    </row>
    <row r="32" spans="1:12">
      <c r="A32" s="322"/>
      <c r="B32" s="323"/>
      <c r="C32" s="323"/>
      <c r="D32" s="324"/>
      <c r="E32" s="322"/>
      <c r="F32" s="323"/>
      <c r="G32" s="323"/>
      <c r="H32" s="301"/>
      <c r="I32" s="302"/>
      <c r="J32" s="10"/>
      <c r="K32" s="10"/>
      <c r="L32" s="10"/>
    </row>
    <row r="33" spans="1:12">
      <c r="A33" s="78"/>
      <c r="B33" s="21"/>
      <c r="C33" s="20"/>
      <c r="D33" s="27"/>
      <c r="E33" s="27"/>
      <c r="F33" s="27"/>
      <c r="G33" s="28"/>
      <c r="H33" s="15"/>
      <c r="I33" s="84"/>
      <c r="J33" s="10"/>
      <c r="K33" s="10"/>
      <c r="L33" s="10"/>
    </row>
    <row r="34" spans="1:12">
      <c r="A34" s="322"/>
      <c r="B34" s="323"/>
      <c r="C34" s="323"/>
      <c r="D34" s="324"/>
      <c r="E34" s="322"/>
      <c r="F34" s="323"/>
      <c r="G34" s="323"/>
      <c r="H34" s="301"/>
      <c r="I34" s="302"/>
      <c r="J34" s="10"/>
      <c r="K34" s="10"/>
      <c r="L34" s="10"/>
    </row>
    <row r="35" spans="1:12">
      <c r="A35" s="78"/>
      <c r="B35" s="21"/>
      <c r="C35" s="20"/>
      <c r="D35" s="27"/>
      <c r="E35" s="27"/>
      <c r="F35" s="27"/>
      <c r="G35" s="28"/>
      <c r="H35" s="15"/>
      <c r="I35" s="84"/>
      <c r="J35" s="10"/>
      <c r="K35" s="10"/>
      <c r="L35" s="10"/>
    </row>
    <row r="36" spans="1:12">
      <c r="A36" s="322"/>
      <c r="B36" s="323"/>
      <c r="C36" s="323"/>
      <c r="D36" s="324"/>
      <c r="E36" s="322"/>
      <c r="F36" s="323"/>
      <c r="G36" s="323"/>
      <c r="H36" s="301"/>
      <c r="I36" s="302"/>
      <c r="J36" s="10"/>
      <c r="K36" s="10"/>
      <c r="L36" s="10"/>
    </row>
    <row r="37" spans="1:12">
      <c r="A37" s="85"/>
      <c r="B37" s="29"/>
      <c r="C37" s="333"/>
      <c r="D37" s="334"/>
      <c r="E37" s="15"/>
      <c r="F37" s="333"/>
      <c r="G37" s="334"/>
      <c r="H37" s="15"/>
      <c r="I37" s="79"/>
      <c r="J37" s="10"/>
      <c r="K37" s="10"/>
      <c r="L37" s="10"/>
    </row>
    <row r="38" spans="1:12">
      <c r="A38" s="322"/>
      <c r="B38" s="323"/>
      <c r="C38" s="323"/>
      <c r="D38" s="324"/>
      <c r="E38" s="322"/>
      <c r="F38" s="323"/>
      <c r="G38" s="323"/>
      <c r="H38" s="301"/>
      <c r="I38" s="302"/>
      <c r="J38" s="10"/>
      <c r="K38" s="10"/>
      <c r="L38" s="10"/>
    </row>
    <row r="39" spans="1:12">
      <c r="A39" s="85"/>
      <c r="B39" s="29"/>
      <c r="C39" s="30"/>
      <c r="D39" s="31"/>
      <c r="E39" s="15"/>
      <c r="F39" s="30"/>
      <c r="G39" s="31"/>
      <c r="H39" s="15"/>
      <c r="I39" s="79"/>
      <c r="J39" s="10"/>
      <c r="K39" s="10"/>
      <c r="L39" s="10"/>
    </row>
    <row r="40" spans="1:12">
      <c r="A40" s="322"/>
      <c r="B40" s="323"/>
      <c r="C40" s="323"/>
      <c r="D40" s="324"/>
      <c r="E40" s="322"/>
      <c r="F40" s="323"/>
      <c r="G40" s="323"/>
      <c r="H40" s="301"/>
      <c r="I40" s="302"/>
      <c r="J40" s="10"/>
      <c r="K40" s="10"/>
      <c r="L40" s="10"/>
    </row>
    <row r="41" spans="1:12">
      <c r="A41" s="107"/>
      <c r="B41" s="32"/>
      <c r="C41" s="32"/>
      <c r="D41" s="32"/>
      <c r="E41" s="22"/>
      <c r="F41" s="108"/>
      <c r="G41" s="108"/>
      <c r="H41" s="109"/>
      <c r="I41" s="86"/>
      <c r="J41" s="10"/>
      <c r="K41" s="10"/>
      <c r="L41" s="10"/>
    </row>
    <row r="42" spans="1:12">
      <c r="A42" s="85"/>
      <c r="B42" s="29"/>
      <c r="C42" s="30"/>
      <c r="D42" s="31"/>
      <c r="E42" s="15"/>
      <c r="F42" s="30"/>
      <c r="G42" s="31"/>
      <c r="H42" s="15"/>
      <c r="I42" s="79"/>
      <c r="J42" s="10"/>
      <c r="K42" s="10"/>
      <c r="L42" s="10"/>
    </row>
    <row r="43" spans="1:12">
      <c r="A43" s="87"/>
      <c r="B43" s="33"/>
      <c r="C43" s="33"/>
      <c r="D43" s="19"/>
      <c r="E43" s="19"/>
      <c r="F43" s="33"/>
      <c r="G43" s="19"/>
      <c r="H43" s="19"/>
      <c r="I43" s="88"/>
      <c r="J43" s="10"/>
      <c r="K43" s="10"/>
      <c r="L43" s="10"/>
    </row>
    <row r="44" spans="1:12" ht="12.75" customHeight="1">
      <c r="A44" s="327" t="s">
        <v>510</v>
      </c>
      <c r="B44" s="327"/>
      <c r="C44" s="301"/>
      <c r="D44" s="302"/>
      <c r="E44" s="25"/>
      <c r="F44" s="297"/>
      <c r="G44" s="323"/>
      <c r="H44" s="323"/>
      <c r="I44" s="324"/>
      <c r="J44" s="10"/>
      <c r="K44" s="10"/>
      <c r="L44" s="10"/>
    </row>
    <row r="45" spans="1:12">
      <c r="A45" s="271"/>
      <c r="B45" s="271"/>
      <c r="C45" s="333"/>
      <c r="D45" s="334"/>
      <c r="E45" s="15"/>
      <c r="F45" s="333"/>
      <c r="G45" s="335"/>
      <c r="H45" s="34"/>
      <c r="I45" s="89"/>
      <c r="J45" s="10"/>
      <c r="K45" s="10"/>
      <c r="L45" s="10"/>
    </row>
    <row r="46" spans="1:12" ht="12.75" customHeight="1">
      <c r="A46" s="327" t="s">
        <v>511</v>
      </c>
      <c r="B46" s="327"/>
      <c r="C46" s="297" t="s">
        <v>574</v>
      </c>
      <c r="D46" s="298"/>
      <c r="E46" s="298"/>
      <c r="F46" s="298"/>
      <c r="G46" s="298"/>
      <c r="H46" s="298"/>
      <c r="I46" s="299"/>
      <c r="J46" s="10"/>
      <c r="K46" s="10"/>
      <c r="L46" s="10"/>
    </row>
    <row r="47" spans="1:12">
      <c r="A47" s="267"/>
      <c r="B47" s="267"/>
      <c r="C47" s="20" t="s">
        <v>554</v>
      </c>
      <c r="D47" s="15"/>
      <c r="E47" s="15"/>
      <c r="F47" s="15"/>
      <c r="G47" s="15"/>
      <c r="H47" s="15"/>
      <c r="I47" s="79"/>
      <c r="J47" s="10"/>
      <c r="K47" s="10"/>
      <c r="L47" s="10"/>
    </row>
    <row r="48" spans="1:12">
      <c r="A48" s="327" t="s">
        <v>512</v>
      </c>
      <c r="B48" s="327"/>
      <c r="C48" s="328" t="s">
        <v>575</v>
      </c>
      <c r="D48" s="329"/>
      <c r="E48" s="330"/>
      <c r="F48" s="15"/>
      <c r="G48" s="44" t="s">
        <v>555</v>
      </c>
      <c r="H48" s="328" t="s">
        <v>578</v>
      </c>
      <c r="I48" s="330"/>
      <c r="J48" s="10"/>
      <c r="K48" s="10"/>
      <c r="L48" s="10"/>
    </row>
    <row r="49" spans="1:12">
      <c r="A49" s="267"/>
      <c r="B49" s="267"/>
      <c r="C49" s="20"/>
      <c r="D49" s="15"/>
      <c r="E49" s="15"/>
      <c r="F49" s="15"/>
      <c r="G49" s="15"/>
      <c r="H49" s="15"/>
      <c r="I49" s="79"/>
      <c r="J49" s="10"/>
      <c r="K49" s="10"/>
      <c r="L49" s="10"/>
    </row>
    <row r="50" spans="1:12" ht="12.75" customHeight="1">
      <c r="A50" s="327" t="s">
        <v>513</v>
      </c>
      <c r="B50" s="327"/>
      <c r="C50" s="338" t="s">
        <v>576</v>
      </c>
      <c r="D50" s="329"/>
      <c r="E50" s="329"/>
      <c r="F50" s="329"/>
      <c r="G50" s="329"/>
      <c r="H50" s="329"/>
      <c r="I50" s="330"/>
      <c r="J50" s="10"/>
      <c r="K50" s="10"/>
      <c r="L50" s="10"/>
    </row>
    <row r="51" spans="1:12">
      <c r="A51" s="267"/>
      <c r="B51" s="267"/>
      <c r="C51" s="15"/>
      <c r="D51" s="15"/>
      <c r="E51" s="15"/>
      <c r="F51" s="15"/>
      <c r="G51" s="15"/>
      <c r="H51" s="15"/>
      <c r="I51" s="79"/>
      <c r="J51" s="10"/>
      <c r="K51" s="10"/>
      <c r="L51" s="10"/>
    </row>
    <row r="52" spans="1:12">
      <c r="A52" s="308" t="s">
        <v>514</v>
      </c>
      <c r="B52" s="308"/>
      <c r="C52" s="328" t="s">
        <v>577</v>
      </c>
      <c r="D52" s="329"/>
      <c r="E52" s="329"/>
      <c r="F52" s="329"/>
      <c r="G52" s="329"/>
      <c r="H52" s="329"/>
      <c r="I52" s="339"/>
      <c r="J52" s="10"/>
      <c r="K52" s="10"/>
      <c r="L52" s="10"/>
    </row>
    <row r="53" spans="1:12">
      <c r="A53" s="272"/>
      <c r="B53" s="263"/>
      <c r="C53" s="332" t="s">
        <v>556</v>
      </c>
      <c r="D53" s="332"/>
      <c r="E53" s="332"/>
      <c r="F53" s="332"/>
      <c r="G53" s="332"/>
      <c r="H53" s="332"/>
      <c r="I53" s="91"/>
      <c r="J53" s="10"/>
      <c r="K53" s="10"/>
      <c r="L53" s="10"/>
    </row>
    <row r="54" spans="1:12">
      <c r="A54" s="90"/>
      <c r="B54" s="19"/>
      <c r="C54" s="35"/>
      <c r="D54" s="35"/>
      <c r="E54" s="35"/>
      <c r="F54" s="35"/>
      <c r="G54" s="35"/>
      <c r="H54" s="35"/>
      <c r="I54" s="91"/>
      <c r="J54" s="10"/>
      <c r="K54" s="10"/>
      <c r="L54" s="10"/>
    </row>
    <row r="55" spans="1:12">
      <c r="A55" s="90"/>
      <c r="B55" s="340" t="s">
        <v>523</v>
      </c>
      <c r="C55" s="341"/>
      <c r="D55" s="341"/>
      <c r="E55" s="341"/>
      <c r="F55" s="43"/>
      <c r="G55" s="43"/>
      <c r="H55" s="43"/>
      <c r="I55" s="92"/>
      <c r="J55" s="10"/>
      <c r="K55" s="10"/>
      <c r="L55" s="10"/>
    </row>
    <row r="56" spans="1:12">
      <c r="A56" s="90"/>
      <c r="B56" s="342" t="s">
        <v>515</v>
      </c>
      <c r="C56" s="343"/>
      <c r="D56" s="343"/>
      <c r="E56" s="343"/>
      <c r="F56" s="343"/>
      <c r="G56" s="343"/>
      <c r="H56" s="343"/>
      <c r="I56" s="344"/>
      <c r="J56" s="10"/>
      <c r="K56" s="10"/>
      <c r="L56" s="10"/>
    </row>
    <row r="57" spans="1:12">
      <c r="A57" s="90"/>
      <c r="B57" s="342" t="s">
        <v>516</v>
      </c>
      <c r="C57" s="343"/>
      <c r="D57" s="343"/>
      <c r="E57" s="343"/>
      <c r="F57" s="343"/>
      <c r="G57" s="343"/>
      <c r="H57" s="343"/>
      <c r="I57" s="92"/>
      <c r="J57" s="10"/>
      <c r="K57" s="10"/>
      <c r="L57" s="10"/>
    </row>
    <row r="58" spans="1:12">
      <c r="A58" s="90"/>
      <c r="B58" s="342" t="s">
        <v>517</v>
      </c>
      <c r="C58" s="343"/>
      <c r="D58" s="343"/>
      <c r="E58" s="343"/>
      <c r="F58" s="343"/>
      <c r="G58" s="343"/>
      <c r="H58" s="343"/>
      <c r="I58" s="344"/>
      <c r="J58" s="10"/>
      <c r="K58" s="10"/>
      <c r="L58" s="10"/>
    </row>
    <row r="59" spans="1:12">
      <c r="A59" s="90"/>
      <c r="B59" s="342" t="s">
        <v>518</v>
      </c>
      <c r="C59" s="343"/>
      <c r="D59" s="343"/>
      <c r="E59" s="343"/>
      <c r="F59" s="343"/>
      <c r="G59" s="343"/>
      <c r="H59" s="343"/>
      <c r="I59" s="344"/>
      <c r="J59" s="10"/>
      <c r="K59" s="10"/>
      <c r="L59" s="10"/>
    </row>
    <row r="60" spans="1:12">
      <c r="A60" s="90"/>
      <c r="B60" s="93"/>
      <c r="C60" s="94"/>
      <c r="D60" s="94"/>
      <c r="E60" s="94"/>
      <c r="F60" s="94"/>
      <c r="G60" s="94"/>
      <c r="H60" s="94"/>
      <c r="I60" s="95"/>
      <c r="J60" s="10"/>
      <c r="K60" s="10"/>
      <c r="L60" s="10"/>
    </row>
    <row r="61" spans="1:12" ht="13" thickBot="1">
      <c r="A61" s="96" t="s">
        <v>557</v>
      </c>
      <c r="B61" s="15"/>
      <c r="C61" s="15"/>
      <c r="D61" s="15"/>
      <c r="E61" s="15"/>
      <c r="F61" s="15"/>
      <c r="G61" s="36"/>
      <c r="H61" s="37"/>
      <c r="I61" s="97"/>
      <c r="J61" s="10"/>
      <c r="K61" s="10"/>
      <c r="L61" s="10"/>
    </row>
    <row r="62" spans="1:12">
      <c r="A62" s="76"/>
      <c r="B62" s="15"/>
      <c r="C62" s="15"/>
      <c r="D62" s="15"/>
      <c r="E62" s="19" t="s">
        <v>558</v>
      </c>
      <c r="F62" s="32"/>
      <c r="G62" s="345" t="s">
        <v>519</v>
      </c>
      <c r="H62" s="346"/>
      <c r="I62" s="347"/>
      <c r="J62" s="10"/>
      <c r="K62" s="10"/>
      <c r="L62" s="10"/>
    </row>
    <row r="63" spans="1:12">
      <c r="A63" s="98"/>
      <c r="B63" s="99"/>
      <c r="C63" s="100"/>
      <c r="D63" s="100"/>
      <c r="E63" s="100"/>
      <c r="F63" s="100"/>
      <c r="G63" s="336"/>
      <c r="H63" s="337"/>
      <c r="I63" s="101"/>
      <c r="J63" s="10"/>
      <c r="K63" s="10"/>
      <c r="L63" s="10"/>
    </row>
  </sheetData>
  <sheetCalcPr fullCalcOnLoad="1"/>
  <protectedRanges>
    <protectedRange sqref="A30:I30 A32:I32 A34:D34" name="Range1"/>
    <protectedRange sqref="E2 H2 C6:D6 C8:D8 C10:D10 C12:I12 C14:D14 F14:I14 C16:I16 C18:I18 C20:I20 C24:G24 C22:F22 C26 I26 I24" name="Range1_1"/>
  </protectedRanges>
  <mergeCells count="73">
    <mergeCell ref="G63:H63"/>
    <mergeCell ref="A50:B50"/>
    <mergeCell ref="C50:I50"/>
    <mergeCell ref="A52:B52"/>
    <mergeCell ref="C52:I52"/>
    <mergeCell ref="B55:E55"/>
    <mergeCell ref="B56:I56"/>
    <mergeCell ref="B57:H57"/>
    <mergeCell ref="B58:I58"/>
    <mergeCell ref="B59:I59"/>
    <mergeCell ref="G62:I62"/>
    <mergeCell ref="A48:B48"/>
    <mergeCell ref="C48:E48"/>
    <mergeCell ref="H48:I48"/>
    <mergeCell ref="A1:C1"/>
    <mergeCell ref="C53:H53"/>
    <mergeCell ref="A46:B46"/>
    <mergeCell ref="A44:B44"/>
    <mergeCell ref="C44:D44"/>
    <mergeCell ref="F44:I44"/>
    <mergeCell ref="C45:D45"/>
    <mergeCell ref="F45:G45"/>
    <mergeCell ref="C46:I46"/>
    <mergeCell ref="C37:D37"/>
    <mergeCell ref="F37:G37"/>
    <mergeCell ref="A38:D38"/>
    <mergeCell ref="E38:G38"/>
    <mergeCell ref="H38:I38"/>
    <mergeCell ref="A40:D40"/>
    <mergeCell ref="E40:G40"/>
    <mergeCell ref="H40:I40"/>
    <mergeCell ref="A34:D34"/>
    <mergeCell ref="E34:G34"/>
    <mergeCell ref="H34:I34"/>
    <mergeCell ref="A36:D36"/>
    <mergeCell ref="E36:G36"/>
    <mergeCell ref="H36:I36"/>
    <mergeCell ref="A30:D30"/>
    <mergeCell ref="E30:G30"/>
    <mergeCell ref="H30:I30"/>
    <mergeCell ref="D31:G31"/>
    <mergeCell ref="A32:D32"/>
    <mergeCell ref="E32:G32"/>
    <mergeCell ref="H32:I32"/>
    <mergeCell ref="A24:B24"/>
    <mergeCell ref="D24:G24"/>
    <mergeCell ref="A26:B26"/>
    <mergeCell ref="G26:H26"/>
    <mergeCell ref="A28:D28"/>
    <mergeCell ref="E28:G28"/>
    <mergeCell ref="H28:I28"/>
    <mergeCell ref="A18:B18"/>
    <mergeCell ref="C18:I18"/>
    <mergeCell ref="A20:B20"/>
    <mergeCell ref="C20:I20"/>
    <mergeCell ref="A22:B22"/>
    <mergeCell ref="D22:F22"/>
    <mergeCell ref="G22:H22"/>
    <mergeCell ref="A16:B16"/>
    <mergeCell ref="C16:I16"/>
    <mergeCell ref="A10:B11"/>
    <mergeCell ref="C10:D10"/>
    <mergeCell ref="A2:D2"/>
    <mergeCell ref="A4:I4"/>
    <mergeCell ref="A6:B6"/>
    <mergeCell ref="C6:D6"/>
    <mergeCell ref="A8:B8"/>
    <mergeCell ref="C8:D8"/>
    <mergeCell ref="A12:B12"/>
    <mergeCell ref="C12:I12"/>
    <mergeCell ref="A14:B14"/>
    <mergeCell ref="C14:D14"/>
    <mergeCell ref="F14:I14"/>
  </mergeCells>
  <phoneticPr fontId="6" type="noConversion"/>
  <conditionalFormatting sqref="H29">
    <cfRule type="cellIs" dxfId="6" priority="2" stopIfTrue="1" operator="equal">
      <formula>"DA"</formula>
    </cfRule>
  </conditionalFormatting>
  <conditionalFormatting sqref="H2">
    <cfRule type="cellIs" dxfId="5" priority="3" stopIfTrue="1" operator="lessThan">
      <formula>#REF!</formula>
    </cfRule>
  </conditionalFormatting>
  <conditionalFormatting sqref="H2">
    <cfRule type="cellIs" dxfId="4" priority="1" stopIfTrue="1" operator="lessThan">
      <formula>#REF!</formula>
    </cfRule>
  </conditionalFormatting>
  <hyperlinks>
    <hyperlink ref="C50" r:id="rId1"/>
    <hyperlink ref="C18" r:id="rId2"/>
    <hyperlink ref="C20" r:id="rId3"/>
  </hyperlinks>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codeName="Sheet2" enableFormatConditionsCalculation="0"/>
  <dimension ref="A1:K123"/>
  <sheetViews>
    <sheetView view="pageBreakPreview" topLeftCell="A110" zoomScale="110" zoomScaleSheetLayoutView="110" workbookViewId="0">
      <selection activeCell="K5" sqref="K5"/>
    </sheetView>
  </sheetViews>
  <sheetFormatPr baseColWidth="10" defaultColWidth="8.83203125" defaultRowHeight="12"/>
  <cols>
    <col min="1" max="9" width="8.83203125" style="45"/>
    <col min="10" max="10" width="13.33203125" style="45" customWidth="1"/>
    <col min="11" max="11" width="12.83203125" style="45" customWidth="1"/>
    <col min="12" max="16384" width="8.83203125" style="45"/>
  </cols>
  <sheetData>
    <row r="1" spans="1:11" ht="15.75">
      <c r="A1" s="388" t="s">
        <v>524</v>
      </c>
      <c r="B1" s="388"/>
      <c r="C1" s="388"/>
      <c r="D1" s="388"/>
      <c r="E1" s="388"/>
      <c r="F1" s="388"/>
      <c r="G1" s="388"/>
      <c r="H1" s="388"/>
      <c r="I1" s="388"/>
      <c r="J1" s="388"/>
      <c r="K1" s="388"/>
    </row>
    <row r="2" spans="1:11" ht="12.75" customHeight="1">
      <c r="A2" s="389" t="s">
        <v>525</v>
      </c>
      <c r="B2" s="389"/>
      <c r="C2" s="389"/>
      <c r="D2" s="389"/>
      <c r="E2" s="389"/>
      <c r="F2" s="389"/>
      <c r="G2" s="389"/>
      <c r="H2" s="389"/>
      <c r="I2" s="389"/>
      <c r="J2" s="389"/>
      <c r="K2" s="389"/>
    </row>
    <row r="3" spans="1:11">
      <c r="A3" s="390" t="s">
        <v>526</v>
      </c>
      <c r="B3" s="391"/>
      <c r="C3" s="391"/>
      <c r="D3" s="391"/>
      <c r="E3" s="391"/>
      <c r="F3" s="391"/>
      <c r="G3" s="391"/>
      <c r="H3" s="391"/>
      <c r="I3" s="391"/>
      <c r="J3" s="391"/>
      <c r="K3" s="392"/>
    </row>
    <row r="4" spans="1:11">
      <c r="A4" s="393" t="s">
        <v>527</v>
      </c>
      <c r="B4" s="394"/>
      <c r="C4" s="394"/>
      <c r="D4" s="394"/>
      <c r="E4" s="394"/>
      <c r="F4" s="394"/>
      <c r="G4" s="394"/>
      <c r="H4" s="395"/>
      <c r="I4" s="236" t="s">
        <v>528</v>
      </c>
      <c r="J4" s="51" t="s">
        <v>529</v>
      </c>
      <c r="K4" s="237" t="s">
        <v>530</v>
      </c>
    </row>
    <row r="5" spans="1:11">
      <c r="A5" s="384">
        <v>1</v>
      </c>
      <c r="B5" s="384"/>
      <c r="C5" s="384"/>
      <c r="D5" s="384"/>
      <c r="E5" s="384"/>
      <c r="F5" s="384"/>
      <c r="G5" s="384"/>
      <c r="H5" s="384"/>
      <c r="I5" s="49">
        <v>2</v>
      </c>
      <c r="J5" s="235">
        <v>3</v>
      </c>
      <c r="K5" s="235">
        <v>4</v>
      </c>
    </row>
    <row r="6" spans="1:11">
      <c r="A6" s="385" t="s">
        <v>531</v>
      </c>
      <c r="B6" s="386"/>
      <c r="C6" s="386"/>
      <c r="D6" s="386"/>
      <c r="E6" s="386"/>
      <c r="F6" s="386"/>
      <c r="G6" s="386"/>
      <c r="H6" s="386"/>
      <c r="I6" s="386"/>
      <c r="J6" s="386"/>
      <c r="K6" s="387"/>
    </row>
    <row r="7" spans="1:11">
      <c r="A7" s="359" t="s">
        <v>532</v>
      </c>
      <c r="B7" s="360"/>
      <c r="C7" s="360"/>
      <c r="D7" s="360"/>
      <c r="E7" s="360"/>
      <c r="F7" s="360"/>
      <c r="G7" s="360"/>
      <c r="H7" s="383"/>
      <c r="I7" s="3">
        <v>1</v>
      </c>
      <c r="J7" s="6"/>
      <c r="K7" s="6"/>
    </row>
    <row r="8" spans="1:11">
      <c r="A8" s="367" t="s">
        <v>533</v>
      </c>
      <c r="B8" s="368"/>
      <c r="C8" s="368"/>
      <c r="D8" s="368"/>
      <c r="E8" s="368"/>
      <c r="F8" s="368"/>
      <c r="G8" s="368"/>
      <c r="H8" s="369"/>
      <c r="I8" s="1">
        <v>2</v>
      </c>
      <c r="J8" s="46">
        <f>J9+J16+J26+J35+J39</f>
        <v>476551339</v>
      </c>
      <c r="K8" s="46">
        <f>K9+K16+K26+K35+K39</f>
        <v>474163770</v>
      </c>
    </row>
    <row r="9" spans="1:11">
      <c r="A9" s="349" t="s">
        <v>534</v>
      </c>
      <c r="B9" s="350"/>
      <c r="C9" s="350"/>
      <c r="D9" s="350"/>
      <c r="E9" s="350"/>
      <c r="F9" s="350"/>
      <c r="G9" s="350"/>
      <c r="H9" s="351"/>
      <c r="I9" s="1">
        <v>3</v>
      </c>
      <c r="J9" s="46">
        <f>SUM(J10:J15)</f>
        <v>38101328</v>
      </c>
      <c r="K9" s="46">
        <f>SUM(K10:K15)</f>
        <v>29181988</v>
      </c>
    </row>
    <row r="10" spans="1:11" ht="12.75" customHeight="1">
      <c r="A10" s="348" t="s">
        <v>535</v>
      </c>
      <c r="B10" s="348"/>
      <c r="C10" s="348"/>
      <c r="D10" s="348"/>
      <c r="E10" s="348"/>
      <c r="F10" s="348"/>
      <c r="G10" s="348"/>
      <c r="H10" s="348"/>
      <c r="I10" s="1">
        <v>4</v>
      </c>
      <c r="J10" s="7"/>
      <c r="K10" s="7"/>
    </row>
    <row r="11" spans="1:11" ht="12.75" customHeight="1">
      <c r="A11" s="348" t="s">
        <v>426</v>
      </c>
      <c r="B11" s="348"/>
      <c r="C11" s="348"/>
      <c r="D11" s="348"/>
      <c r="E11" s="348"/>
      <c r="F11" s="348"/>
      <c r="G11" s="348"/>
      <c r="H11" s="348"/>
      <c r="I11" s="1">
        <v>5</v>
      </c>
      <c r="J11" s="7">
        <v>38101328</v>
      </c>
      <c r="K11" s="7">
        <v>29181988</v>
      </c>
    </row>
    <row r="12" spans="1:11" ht="12.75" customHeight="1">
      <c r="A12" s="348" t="s">
        <v>608</v>
      </c>
      <c r="B12" s="348"/>
      <c r="C12" s="348"/>
      <c r="D12" s="348"/>
      <c r="E12" s="348"/>
      <c r="F12" s="348"/>
      <c r="G12" s="348"/>
      <c r="H12" s="348"/>
      <c r="I12" s="1">
        <v>6</v>
      </c>
      <c r="J12" s="7"/>
      <c r="K12" s="7"/>
    </row>
    <row r="13" spans="1:11" ht="12.75" customHeight="1">
      <c r="A13" s="348" t="s">
        <v>427</v>
      </c>
      <c r="B13" s="348"/>
      <c r="C13" s="348"/>
      <c r="D13" s="348"/>
      <c r="E13" s="348"/>
      <c r="F13" s="348"/>
      <c r="G13" s="348"/>
      <c r="H13" s="348"/>
      <c r="I13" s="1">
        <v>7</v>
      </c>
      <c r="J13" s="7"/>
      <c r="K13" s="7"/>
    </row>
    <row r="14" spans="1:11" ht="12.75" customHeight="1">
      <c r="A14" s="348" t="s">
        <v>428</v>
      </c>
      <c r="B14" s="348"/>
      <c r="C14" s="348"/>
      <c r="D14" s="348"/>
      <c r="E14" s="348"/>
      <c r="F14" s="348"/>
      <c r="G14" s="348"/>
      <c r="H14" s="348"/>
      <c r="I14" s="1">
        <v>8</v>
      </c>
      <c r="J14" s="7"/>
      <c r="K14" s="7"/>
    </row>
    <row r="15" spans="1:11" ht="12.75" customHeight="1">
      <c r="A15" s="348" t="s">
        <v>429</v>
      </c>
      <c r="B15" s="348"/>
      <c r="C15" s="348"/>
      <c r="D15" s="348"/>
      <c r="E15" s="348"/>
      <c r="F15" s="348"/>
      <c r="G15" s="348"/>
      <c r="H15" s="348"/>
      <c r="I15" s="1">
        <v>9</v>
      </c>
      <c r="J15" s="7"/>
      <c r="K15" s="7"/>
    </row>
    <row r="16" spans="1:11">
      <c r="A16" s="349" t="s">
        <v>430</v>
      </c>
      <c r="B16" s="350"/>
      <c r="C16" s="350"/>
      <c r="D16" s="350"/>
      <c r="E16" s="350"/>
      <c r="F16" s="350"/>
      <c r="G16" s="350"/>
      <c r="H16" s="351"/>
      <c r="I16" s="1">
        <v>10</v>
      </c>
      <c r="J16" s="46">
        <f>SUM(J17:J25)</f>
        <v>385516545</v>
      </c>
      <c r="K16" s="46">
        <f>SUM(K17:K25)</f>
        <v>369470267</v>
      </c>
    </row>
    <row r="17" spans="1:11" ht="12.75" customHeight="1">
      <c r="A17" s="348" t="s">
        <v>431</v>
      </c>
      <c r="B17" s="348"/>
      <c r="C17" s="348"/>
      <c r="D17" s="348"/>
      <c r="E17" s="348"/>
      <c r="F17" s="348"/>
      <c r="G17" s="348"/>
      <c r="H17" s="348"/>
      <c r="I17" s="1">
        <v>11</v>
      </c>
      <c r="J17" s="7">
        <v>23269</v>
      </c>
      <c r="K17" s="7">
        <v>23269</v>
      </c>
    </row>
    <row r="18" spans="1:11" ht="12.75" customHeight="1">
      <c r="A18" s="348" t="s">
        <v>432</v>
      </c>
      <c r="B18" s="348"/>
      <c r="C18" s="348"/>
      <c r="D18" s="348"/>
      <c r="E18" s="348"/>
      <c r="F18" s="348"/>
      <c r="G18" s="348"/>
      <c r="H18" s="348"/>
      <c r="I18" s="1">
        <v>12</v>
      </c>
      <c r="J18" s="7">
        <v>14607856</v>
      </c>
      <c r="K18" s="7">
        <v>14194998</v>
      </c>
    </row>
    <row r="19" spans="1:11" ht="12.75" customHeight="1">
      <c r="A19" s="348" t="s">
        <v>433</v>
      </c>
      <c r="B19" s="348"/>
      <c r="C19" s="348"/>
      <c r="D19" s="348"/>
      <c r="E19" s="348"/>
      <c r="F19" s="348"/>
      <c r="G19" s="348"/>
      <c r="H19" s="348"/>
      <c r="I19" s="1">
        <v>13</v>
      </c>
      <c r="J19" s="7">
        <v>315614905</v>
      </c>
      <c r="K19" s="7">
        <v>318261709</v>
      </c>
    </row>
    <row r="20" spans="1:11" ht="12.75" customHeight="1">
      <c r="A20" s="348" t="s">
        <v>434</v>
      </c>
      <c r="B20" s="348"/>
      <c r="C20" s="348"/>
      <c r="D20" s="348"/>
      <c r="E20" s="348"/>
      <c r="F20" s="348"/>
      <c r="G20" s="348"/>
      <c r="H20" s="348"/>
      <c r="I20" s="1">
        <v>14</v>
      </c>
      <c r="J20" s="7">
        <v>982463</v>
      </c>
      <c r="K20" s="7">
        <v>552902</v>
      </c>
    </row>
    <row r="21" spans="1:11" ht="12.75" customHeight="1">
      <c r="A21" s="348" t="s">
        <v>435</v>
      </c>
      <c r="B21" s="348"/>
      <c r="C21" s="348"/>
      <c r="D21" s="348"/>
      <c r="E21" s="348"/>
      <c r="F21" s="348"/>
      <c r="G21" s="348"/>
      <c r="H21" s="348"/>
      <c r="I21" s="1">
        <v>15</v>
      </c>
      <c r="J21" s="7"/>
      <c r="K21" s="7"/>
    </row>
    <row r="22" spans="1:11" ht="12.75" customHeight="1">
      <c r="A22" s="348" t="s">
        <v>436</v>
      </c>
      <c r="B22" s="348"/>
      <c r="C22" s="348"/>
      <c r="D22" s="348"/>
      <c r="E22" s="348"/>
      <c r="F22" s="348"/>
      <c r="G22" s="348"/>
      <c r="H22" s="348"/>
      <c r="I22" s="1">
        <v>16</v>
      </c>
      <c r="J22" s="7"/>
      <c r="K22" s="7"/>
    </row>
    <row r="23" spans="1:11" ht="12.75" customHeight="1">
      <c r="A23" s="348" t="s">
        <v>437</v>
      </c>
      <c r="B23" s="348"/>
      <c r="C23" s="348"/>
      <c r="D23" s="348"/>
      <c r="E23" s="348"/>
      <c r="F23" s="348"/>
      <c r="G23" s="348"/>
      <c r="H23" s="348"/>
      <c r="I23" s="1">
        <v>17</v>
      </c>
      <c r="J23" s="7">
        <v>53166196</v>
      </c>
      <c r="K23" s="7">
        <v>35900552</v>
      </c>
    </row>
    <row r="24" spans="1:11" ht="12.75" customHeight="1">
      <c r="A24" s="348" t="s">
        <v>438</v>
      </c>
      <c r="B24" s="348"/>
      <c r="C24" s="348"/>
      <c r="D24" s="348"/>
      <c r="E24" s="348"/>
      <c r="F24" s="348"/>
      <c r="G24" s="348"/>
      <c r="H24" s="348"/>
      <c r="I24" s="1">
        <v>18</v>
      </c>
      <c r="J24" s="7">
        <v>46822</v>
      </c>
      <c r="K24" s="7">
        <v>46822</v>
      </c>
    </row>
    <row r="25" spans="1:11" ht="12.75" customHeight="1">
      <c r="A25" s="348" t="s">
        <v>439</v>
      </c>
      <c r="B25" s="348"/>
      <c r="C25" s="348"/>
      <c r="D25" s="348"/>
      <c r="E25" s="348"/>
      <c r="F25" s="348"/>
      <c r="G25" s="348"/>
      <c r="H25" s="348"/>
      <c r="I25" s="1">
        <v>19</v>
      </c>
      <c r="J25" s="7">
        <v>1075034</v>
      </c>
      <c r="K25" s="7">
        <v>490015</v>
      </c>
    </row>
    <row r="26" spans="1:11">
      <c r="A26" s="349" t="s">
        <v>440</v>
      </c>
      <c r="B26" s="350"/>
      <c r="C26" s="350"/>
      <c r="D26" s="350"/>
      <c r="E26" s="350"/>
      <c r="F26" s="350"/>
      <c r="G26" s="350"/>
      <c r="H26" s="351"/>
      <c r="I26" s="1">
        <v>20</v>
      </c>
      <c r="J26" s="46">
        <f>SUM(J27:J34)</f>
        <v>52933466</v>
      </c>
      <c r="K26" s="46">
        <f>SUM(K27:K34)</f>
        <v>75511515</v>
      </c>
    </row>
    <row r="27" spans="1:11" ht="12.75" customHeight="1">
      <c r="A27" s="348" t="s">
        <v>441</v>
      </c>
      <c r="B27" s="348"/>
      <c r="C27" s="348"/>
      <c r="D27" s="348"/>
      <c r="E27" s="348"/>
      <c r="F27" s="348"/>
      <c r="G27" s="348"/>
      <c r="H27" s="348"/>
      <c r="I27" s="1">
        <v>21</v>
      </c>
      <c r="J27" s="7">
        <v>19279891</v>
      </c>
      <c r="K27" s="7">
        <v>19280973</v>
      </c>
    </row>
    <row r="28" spans="1:11" ht="12.75" customHeight="1">
      <c r="A28" s="348" t="s">
        <v>442</v>
      </c>
      <c r="B28" s="348"/>
      <c r="C28" s="348"/>
      <c r="D28" s="348"/>
      <c r="E28" s="348"/>
      <c r="F28" s="348"/>
      <c r="G28" s="348"/>
      <c r="H28" s="348"/>
      <c r="I28" s="1">
        <v>22</v>
      </c>
      <c r="J28" s="7">
        <v>23566921</v>
      </c>
      <c r="K28" s="7">
        <v>19297604</v>
      </c>
    </row>
    <row r="29" spans="1:11" ht="12.75" customHeight="1">
      <c r="A29" s="348" t="s">
        <v>443</v>
      </c>
      <c r="B29" s="348"/>
      <c r="C29" s="348"/>
      <c r="D29" s="348"/>
      <c r="E29" s="348"/>
      <c r="F29" s="348"/>
      <c r="G29" s="348"/>
      <c r="H29" s="348"/>
      <c r="I29" s="1">
        <v>23</v>
      </c>
      <c r="J29" s="7"/>
      <c r="K29" s="7"/>
    </row>
    <row r="30" spans="1:11">
      <c r="A30" s="349" t="s">
        <v>384</v>
      </c>
      <c r="B30" s="350"/>
      <c r="C30" s="350"/>
      <c r="D30" s="350"/>
      <c r="E30" s="350"/>
      <c r="F30" s="350"/>
      <c r="G30" s="350"/>
      <c r="H30" s="351"/>
      <c r="I30" s="1">
        <v>24</v>
      </c>
      <c r="J30" s="7"/>
      <c r="K30" s="7"/>
    </row>
    <row r="31" spans="1:11" ht="12.75" customHeight="1">
      <c r="A31" s="348" t="s">
        <v>444</v>
      </c>
      <c r="B31" s="348"/>
      <c r="C31" s="348"/>
      <c r="D31" s="348"/>
      <c r="E31" s="348"/>
      <c r="F31" s="348"/>
      <c r="G31" s="348"/>
      <c r="H31" s="348"/>
      <c r="I31" s="1">
        <v>25</v>
      </c>
      <c r="J31" s="7"/>
      <c r="K31" s="7"/>
    </row>
    <row r="32" spans="1:11" ht="12.75" customHeight="1">
      <c r="A32" s="348" t="s">
        <v>445</v>
      </c>
      <c r="B32" s="348"/>
      <c r="C32" s="348"/>
      <c r="D32" s="348"/>
      <c r="E32" s="348"/>
      <c r="F32" s="348"/>
      <c r="G32" s="348"/>
      <c r="H32" s="348"/>
      <c r="I32" s="1">
        <v>26</v>
      </c>
      <c r="J32" s="7">
        <v>10086654</v>
      </c>
      <c r="K32" s="7">
        <v>36932938</v>
      </c>
    </row>
    <row r="33" spans="1:11" ht="12.75" customHeight="1">
      <c r="A33" s="348" t="s">
        <v>446</v>
      </c>
      <c r="B33" s="348"/>
      <c r="C33" s="348"/>
      <c r="D33" s="348"/>
      <c r="E33" s="348"/>
      <c r="F33" s="348"/>
      <c r="G33" s="348"/>
      <c r="H33" s="348"/>
      <c r="I33" s="1">
        <v>27</v>
      </c>
      <c r="J33" s="7"/>
      <c r="K33" s="7"/>
    </row>
    <row r="34" spans="1:11" ht="12.75" customHeight="1">
      <c r="A34" s="348" t="s">
        <v>447</v>
      </c>
      <c r="B34" s="348"/>
      <c r="C34" s="348"/>
      <c r="D34" s="348"/>
      <c r="E34" s="348"/>
      <c r="F34" s="348"/>
      <c r="G34" s="348"/>
      <c r="H34" s="348"/>
      <c r="I34" s="1">
        <v>28</v>
      </c>
      <c r="J34" s="7"/>
      <c r="K34" s="7"/>
    </row>
    <row r="35" spans="1:11">
      <c r="A35" s="349" t="s">
        <v>448</v>
      </c>
      <c r="B35" s="350"/>
      <c r="C35" s="350"/>
      <c r="D35" s="350"/>
      <c r="E35" s="350"/>
      <c r="F35" s="350"/>
      <c r="G35" s="350"/>
      <c r="H35" s="351"/>
      <c r="I35" s="1">
        <v>29</v>
      </c>
      <c r="J35" s="46">
        <f>SUM(J36:J38)</f>
        <v>0</v>
      </c>
      <c r="K35" s="46">
        <f>SUM(K36:K38)</f>
        <v>0</v>
      </c>
    </row>
    <row r="36" spans="1:11" ht="12.75" customHeight="1">
      <c r="A36" s="348" t="s">
        <v>449</v>
      </c>
      <c r="B36" s="348"/>
      <c r="C36" s="348"/>
      <c r="D36" s="348"/>
      <c r="E36" s="348"/>
      <c r="F36" s="348"/>
      <c r="G36" s="348"/>
      <c r="H36" s="348"/>
      <c r="I36" s="1">
        <v>30</v>
      </c>
      <c r="J36" s="7"/>
      <c r="K36" s="7"/>
    </row>
    <row r="37" spans="1:11" ht="12.75" customHeight="1">
      <c r="A37" s="348" t="s">
        <v>450</v>
      </c>
      <c r="B37" s="348"/>
      <c r="C37" s="348"/>
      <c r="D37" s="348"/>
      <c r="E37" s="348"/>
      <c r="F37" s="348"/>
      <c r="G37" s="348"/>
      <c r="H37" s="348"/>
      <c r="I37" s="1">
        <v>31</v>
      </c>
      <c r="J37" s="7"/>
      <c r="K37" s="7"/>
    </row>
    <row r="38" spans="1:11" ht="12.75" customHeight="1">
      <c r="A38" s="348" t="s">
        <v>451</v>
      </c>
      <c r="B38" s="348"/>
      <c r="C38" s="348"/>
      <c r="D38" s="348"/>
      <c r="E38" s="348"/>
      <c r="F38" s="348"/>
      <c r="G38" s="348"/>
      <c r="H38" s="348"/>
      <c r="I38" s="1">
        <v>32</v>
      </c>
      <c r="J38" s="7"/>
      <c r="K38" s="7"/>
    </row>
    <row r="39" spans="1:11" ht="12.75" customHeight="1">
      <c r="A39" s="348" t="s">
        <v>452</v>
      </c>
      <c r="B39" s="348"/>
      <c r="C39" s="348"/>
      <c r="D39" s="348"/>
      <c r="E39" s="348"/>
      <c r="F39" s="348"/>
      <c r="G39" s="348"/>
      <c r="H39" s="348"/>
      <c r="I39" s="1">
        <v>33</v>
      </c>
      <c r="J39" s="7"/>
      <c r="K39" s="7"/>
    </row>
    <row r="40" spans="1:11">
      <c r="A40" s="367" t="s">
        <v>453</v>
      </c>
      <c r="B40" s="368"/>
      <c r="C40" s="368"/>
      <c r="D40" s="368"/>
      <c r="E40" s="368"/>
      <c r="F40" s="368"/>
      <c r="G40" s="368"/>
      <c r="H40" s="369"/>
      <c r="I40" s="1">
        <v>34</v>
      </c>
      <c r="J40" s="46">
        <f>J41+J49+J56+J64</f>
        <v>110363900</v>
      </c>
      <c r="K40" s="46">
        <f>K41+K49+K56+K64</f>
        <v>83578113</v>
      </c>
    </row>
    <row r="41" spans="1:11">
      <c r="A41" s="349" t="s">
        <v>454</v>
      </c>
      <c r="B41" s="350"/>
      <c r="C41" s="350"/>
      <c r="D41" s="350"/>
      <c r="E41" s="350"/>
      <c r="F41" s="350"/>
      <c r="G41" s="350"/>
      <c r="H41" s="351"/>
      <c r="I41" s="1">
        <v>35</v>
      </c>
      <c r="J41" s="46">
        <f>SUM(J42:J48)</f>
        <v>6947747</v>
      </c>
      <c r="K41" s="46">
        <f>SUM(K42:K48)</f>
        <v>3045824</v>
      </c>
    </row>
    <row r="42" spans="1:11" ht="12.75" customHeight="1">
      <c r="A42" s="348" t="s">
        <v>455</v>
      </c>
      <c r="B42" s="348"/>
      <c r="C42" s="348"/>
      <c r="D42" s="348"/>
      <c r="E42" s="348"/>
      <c r="F42" s="348"/>
      <c r="G42" s="348"/>
      <c r="H42" s="348"/>
      <c r="I42" s="1">
        <v>36</v>
      </c>
      <c r="J42" s="7"/>
      <c r="K42" s="7"/>
    </row>
    <row r="43" spans="1:11" ht="12.75" customHeight="1">
      <c r="A43" s="348" t="s">
        <v>456</v>
      </c>
      <c r="B43" s="348"/>
      <c r="C43" s="348"/>
      <c r="D43" s="348"/>
      <c r="E43" s="348"/>
      <c r="F43" s="348"/>
      <c r="G43" s="348"/>
      <c r="H43" s="348"/>
      <c r="I43" s="1">
        <v>37</v>
      </c>
      <c r="J43" s="7"/>
      <c r="K43" s="7"/>
    </row>
    <row r="44" spans="1:11">
      <c r="A44" s="349" t="s">
        <v>457</v>
      </c>
      <c r="B44" s="350"/>
      <c r="C44" s="350"/>
      <c r="D44" s="350"/>
      <c r="E44" s="350"/>
      <c r="F44" s="350"/>
      <c r="G44" s="350"/>
      <c r="H44" s="351"/>
      <c r="I44" s="1">
        <v>38</v>
      </c>
      <c r="J44" s="7"/>
      <c r="K44" s="7"/>
    </row>
    <row r="45" spans="1:11">
      <c r="A45" s="349" t="s">
        <v>458</v>
      </c>
      <c r="B45" s="350"/>
      <c r="C45" s="350"/>
      <c r="D45" s="350"/>
      <c r="E45" s="350"/>
      <c r="F45" s="350"/>
      <c r="G45" s="350"/>
      <c r="H45" s="351"/>
      <c r="I45" s="1">
        <v>39</v>
      </c>
      <c r="J45" s="7">
        <v>6947747</v>
      </c>
      <c r="K45" s="7">
        <v>3045824</v>
      </c>
    </row>
    <row r="46" spans="1:11">
      <c r="A46" s="349" t="s">
        <v>459</v>
      </c>
      <c r="B46" s="350"/>
      <c r="C46" s="350"/>
      <c r="D46" s="350"/>
      <c r="E46" s="350"/>
      <c r="F46" s="350"/>
      <c r="G46" s="350"/>
      <c r="H46" s="351"/>
      <c r="I46" s="1">
        <v>40</v>
      </c>
      <c r="J46" s="7"/>
      <c r="K46" s="7"/>
    </row>
    <row r="47" spans="1:11">
      <c r="A47" s="349" t="s">
        <v>460</v>
      </c>
      <c r="B47" s="350"/>
      <c r="C47" s="350"/>
      <c r="D47" s="350"/>
      <c r="E47" s="350"/>
      <c r="F47" s="350"/>
      <c r="G47" s="350"/>
      <c r="H47" s="351"/>
      <c r="I47" s="1">
        <v>41</v>
      </c>
      <c r="J47" s="7"/>
      <c r="K47" s="7"/>
    </row>
    <row r="48" spans="1:11">
      <c r="A48" s="349" t="s">
        <v>461</v>
      </c>
      <c r="B48" s="350"/>
      <c r="C48" s="350"/>
      <c r="D48" s="350"/>
      <c r="E48" s="350"/>
      <c r="F48" s="350"/>
      <c r="G48" s="350"/>
      <c r="H48" s="351"/>
      <c r="I48" s="1">
        <v>42</v>
      </c>
      <c r="J48" s="7"/>
      <c r="K48" s="7"/>
    </row>
    <row r="49" spans="1:11">
      <c r="A49" s="349" t="s">
        <v>462</v>
      </c>
      <c r="B49" s="350"/>
      <c r="C49" s="350"/>
      <c r="D49" s="350"/>
      <c r="E49" s="350"/>
      <c r="F49" s="350"/>
      <c r="G49" s="350"/>
      <c r="H49" s="351"/>
      <c r="I49" s="1">
        <v>43</v>
      </c>
      <c r="J49" s="46">
        <f>SUM(J50:J55)</f>
        <v>77243931</v>
      </c>
      <c r="K49" s="46">
        <f>SUM(K50:K55)</f>
        <v>78239835</v>
      </c>
    </row>
    <row r="50" spans="1:11" ht="12.75" customHeight="1">
      <c r="A50" s="348" t="s">
        <v>463</v>
      </c>
      <c r="B50" s="348"/>
      <c r="C50" s="348"/>
      <c r="D50" s="348"/>
      <c r="E50" s="348"/>
      <c r="F50" s="348"/>
      <c r="G50" s="348"/>
      <c r="H50" s="348"/>
      <c r="I50" s="1">
        <v>44</v>
      </c>
      <c r="J50" s="7"/>
      <c r="K50" s="7"/>
    </row>
    <row r="51" spans="1:11" ht="12.75" customHeight="1">
      <c r="A51" s="348" t="s">
        <v>464</v>
      </c>
      <c r="B51" s="348"/>
      <c r="C51" s="348"/>
      <c r="D51" s="348"/>
      <c r="E51" s="348"/>
      <c r="F51" s="348"/>
      <c r="G51" s="348"/>
      <c r="H51" s="348"/>
      <c r="I51" s="1">
        <v>45</v>
      </c>
      <c r="J51" s="7">
        <v>72926667</v>
      </c>
      <c r="K51" s="7">
        <v>75853899</v>
      </c>
    </row>
    <row r="52" spans="1:11" ht="12.75" customHeight="1">
      <c r="A52" s="348" t="s">
        <v>465</v>
      </c>
      <c r="B52" s="348"/>
      <c r="C52" s="348"/>
      <c r="D52" s="348"/>
      <c r="E52" s="348"/>
      <c r="F52" s="348"/>
      <c r="G52" s="348"/>
      <c r="H52" s="348"/>
      <c r="I52" s="1">
        <v>46</v>
      </c>
      <c r="J52" s="7"/>
      <c r="K52" s="7"/>
    </row>
    <row r="53" spans="1:11" ht="12.75" customHeight="1">
      <c r="A53" s="348" t="s">
        <v>466</v>
      </c>
      <c r="B53" s="348"/>
      <c r="C53" s="348"/>
      <c r="D53" s="348"/>
      <c r="E53" s="348"/>
      <c r="F53" s="348"/>
      <c r="G53" s="348"/>
      <c r="H53" s="348"/>
      <c r="I53" s="1">
        <v>47</v>
      </c>
      <c r="J53" s="7">
        <v>72861</v>
      </c>
      <c r="K53" s="7">
        <v>2901</v>
      </c>
    </row>
    <row r="54" spans="1:11" ht="12.75" customHeight="1">
      <c r="A54" s="348" t="s">
        <v>467</v>
      </c>
      <c r="B54" s="348"/>
      <c r="C54" s="348"/>
      <c r="D54" s="348"/>
      <c r="E54" s="348"/>
      <c r="F54" s="348"/>
      <c r="G54" s="348"/>
      <c r="H54" s="348"/>
      <c r="I54" s="1">
        <v>48</v>
      </c>
      <c r="J54" s="7">
        <v>1639106</v>
      </c>
      <c r="K54" s="7">
        <v>323662</v>
      </c>
    </row>
    <row r="55" spans="1:11" ht="12.75" customHeight="1">
      <c r="A55" s="348" t="s">
        <v>468</v>
      </c>
      <c r="B55" s="348"/>
      <c r="C55" s="348"/>
      <c r="D55" s="348"/>
      <c r="E55" s="348"/>
      <c r="F55" s="348"/>
      <c r="G55" s="348"/>
      <c r="H55" s="348"/>
      <c r="I55" s="1">
        <v>49</v>
      </c>
      <c r="J55" s="7">
        <v>2605297</v>
      </c>
      <c r="K55" s="7">
        <v>2059373</v>
      </c>
    </row>
    <row r="56" spans="1:11">
      <c r="A56" s="349" t="s">
        <v>469</v>
      </c>
      <c r="B56" s="350"/>
      <c r="C56" s="350"/>
      <c r="D56" s="350"/>
      <c r="E56" s="350"/>
      <c r="F56" s="350"/>
      <c r="G56" s="350"/>
      <c r="H56" s="351"/>
      <c r="I56" s="1">
        <v>50</v>
      </c>
      <c r="J56" s="46">
        <f>SUM(J57:J63)</f>
        <v>24908864</v>
      </c>
      <c r="K56" s="46">
        <f>SUM(K57:K63)</f>
        <v>400881</v>
      </c>
    </row>
    <row r="57" spans="1:11" ht="12.75" customHeight="1">
      <c r="A57" s="348" t="s">
        <v>441</v>
      </c>
      <c r="B57" s="348"/>
      <c r="C57" s="348"/>
      <c r="D57" s="348"/>
      <c r="E57" s="348"/>
      <c r="F57" s="348"/>
      <c r="G57" s="348"/>
      <c r="H57" s="348"/>
      <c r="I57" s="1">
        <v>51</v>
      </c>
      <c r="J57" s="7"/>
      <c r="K57" s="7"/>
    </row>
    <row r="58" spans="1:11" ht="12.75" customHeight="1">
      <c r="A58" s="348" t="s">
        <v>442</v>
      </c>
      <c r="B58" s="348"/>
      <c r="C58" s="348"/>
      <c r="D58" s="348"/>
      <c r="E58" s="348"/>
      <c r="F58" s="348"/>
      <c r="G58" s="348"/>
      <c r="H58" s="348"/>
      <c r="I58" s="1">
        <v>52</v>
      </c>
      <c r="J58" s="7"/>
      <c r="K58" s="7"/>
    </row>
    <row r="59" spans="1:11" ht="12.75" customHeight="1">
      <c r="A59" s="348" t="s">
        <v>443</v>
      </c>
      <c r="B59" s="348"/>
      <c r="C59" s="348"/>
      <c r="D59" s="348"/>
      <c r="E59" s="348"/>
      <c r="F59" s="348"/>
      <c r="G59" s="348"/>
      <c r="H59" s="348"/>
      <c r="I59" s="1">
        <v>53</v>
      </c>
      <c r="J59" s="7"/>
      <c r="K59" s="7"/>
    </row>
    <row r="60" spans="1:11">
      <c r="A60" s="349" t="s">
        <v>384</v>
      </c>
      <c r="B60" s="350"/>
      <c r="C60" s="350"/>
      <c r="D60" s="350"/>
      <c r="E60" s="350"/>
      <c r="F60" s="350"/>
      <c r="G60" s="350"/>
      <c r="H60" s="351"/>
      <c r="I60" s="1">
        <v>54</v>
      </c>
      <c r="J60" s="7"/>
      <c r="K60" s="7"/>
    </row>
    <row r="61" spans="1:11">
      <c r="A61" s="349" t="s">
        <v>444</v>
      </c>
      <c r="B61" s="350"/>
      <c r="C61" s="350"/>
      <c r="D61" s="350"/>
      <c r="E61" s="350"/>
      <c r="F61" s="350"/>
      <c r="G61" s="350"/>
      <c r="H61" s="351"/>
      <c r="I61" s="1">
        <v>55</v>
      </c>
      <c r="J61" s="7"/>
      <c r="K61" s="7"/>
    </row>
    <row r="62" spans="1:11">
      <c r="A62" s="349" t="s">
        <v>445</v>
      </c>
      <c r="B62" s="350"/>
      <c r="C62" s="350"/>
      <c r="D62" s="350"/>
      <c r="E62" s="350"/>
      <c r="F62" s="350"/>
      <c r="G62" s="350"/>
      <c r="H62" s="351"/>
      <c r="I62" s="1">
        <v>56</v>
      </c>
      <c r="J62" s="7">
        <v>24908864</v>
      </c>
      <c r="K62" s="7">
        <v>400881</v>
      </c>
    </row>
    <row r="63" spans="1:11">
      <c r="A63" s="349" t="s">
        <v>470</v>
      </c>
      <c r="B63" s="350"/>
      <c r="C63" s="350"/>
      <c r="D63" s="350"/>
      <c r="E63" s="350"/>
      <c r="F63" s="350"/>
      <c r="G63" s="350"/>
      <c r="H63" s="351"/>
      <c r="I63" s="1">
        <v>57</v>
      </c>
      <c r="J63" s="7"/>
      <c r="K63" s="7"/>
    </row>
    <row r="64" spans="1:11" ht="12.75" customHeight="1">
      <c r="A64" s="348" t="s">
        <v>471</v>
      </c>
      <c r="B64" s="348"/>
      <c r="C64" s="348"/>
      <c r="D64" s="348"/>
      <c r="E64" s="348"/>
      <c r="F64" s="348"/>
      <c r="G64" s="348"/>
      <c r="H64" s="348"/>
      <c r="I64" s="1">
        <v>58</v>
      </c>
      <c r="J64" s="7">
        <v>1263358</v>
      </c>
      <c r="K64" s="7">
        <v>1891573</v>
      </c>
    </row>
    <row r="65" spans="1:11" ht="12.75" customHeight="1">
      <c r="A65" s="366" t="s">
        <v>472</v>
      </c>
      <c r="B65" s="366"/>
      <c r="C65" s="366"/>
      <c r="D65" s="366"/>
      <c r="E65" s="366"/>
      <c r="F65" s="366"/>
      <c r="G65" s="366"/>
      <c r="H65" s="366"/>
      <c r="I65" s="1">
        <v>59</v>
      </c>
      <c r="J65" s="7">
        <v>56916367</v>
      </c>
      <c r="K65" s="7">
        <v>53031522</v>
      </c>
    </row>
    <row r="66" spans="1:11">
      <c r="A66" s="367" t="s">
        <v>382</v>
      </c>
      <c r="B66" s="368"/>
      <c r="C66" s="368"/>
      <c r="D66" s="368"/>
      <c r="E66" s="368"/>
      <c r="F66" s="368"/>
      <c r="G66" s="368"/>
      <c r="H66" s="369"/>
      <c r="I66" s="1">
        <v>60</v>
      </c>
      <c r="J66" s="46">
        <f>J7+J8+J40+J65</f>
        <v>643831606</v>
      </c>
      <c r="K66" s="46">
        <f>K7+K8+K40+K65</f>
        <v>610773405</v>
      </c>
    </row>
    <row r="67" spans="1:11">
      <c r="A67" s="378" t="s">
        <v>383</v>
      </c>
      <c r="B67" s="379"/>
      <c r="C67" s="379"/>
      <c r="D67" s="379"/>
      <c r="E67" s="379"/>
      <c r="F67" s="379"/>
      <c r="G67" s="379"/>
      <c r="H67" s="380"/>
      <c r="I67" s="4">
        <v>61</v>
      </c>
      <c r="J67" s="8">
        <v>591364987</v>
      </c>
      <c r="K67" s="8">
        <v>1013162599.45</v>
      </c>
    </row>
    <row r="68" spans="1:11">
      <c r="A68" s="355" t="s">
        <v>602</v>
      </c>
      <c r="B68" s="381"/>
      <c r="C68" s="381"/>
      <c r="D68" s="381"/>
      <c r="E68" s="381"/>
      <c r="F68" s="381"/>
      <c r="G68" s="381"/>
      <c r="H68" s="381"/>
      <c r="I68" s="381"/>
      <c r="J68" s="381"/>
      <c r="K68" s="382"/>
    </row>
    <row r="69" spans="1:11">
      <c r="A69" s="359" t="s">
        <v>385</v>
      </c>
      <c r="B69" s="360"/>
      <c r="C69" s="360"/>
      <c r="D69" s="360"/>
      <c r="E69" s="360"/>
      <c r="F69" s="360"/>
      <c r="G69" s="360"/>
      <c r="H69" s="383"/>
      <c r="I69" s="3">
        <v>62</v>
      </c>
      <c r="J69" s="47">
        <f>J70+J71+J72+J78+J79+J82+J85</f>
        <v>-351332641</v>
      </c>
      <c r="K69" s="47">
        <f>K70+K71+K72+K78+K79+K82+K85</f>
        <v>-411250136</v>
      </c>
    </row>
    <row r="70" spans="1:11" ht="12.75" customHeight="1">
      <c r="A70" s="348" t="s">
        <v>386</v>
      </c>
      <c r="B70" s="348"/>
      <c r="C70" s="348"/>
      <c r="D70" s="348"/>
      <c r="E70" s="348"/>
      <c r="F70" s="348"/>
      <c r="G70" s="348"/>
      <c r="H70" s="348"/>
      <c r="I70" s="1">
        <v>63</v>
      </c>
      <c r="J70" s="7">
        <v>28200700</v>
      </c>
      <c r="K70" s="7">
        <v>28200700</v>
      </c>
    </row>
    <row r="71" spans="1:11" ht="12.75" customHeight="1">
      <c r="A71" s="348" t="s">
        <v>387</v>
      </c>
      <c r="B71" s="348"/>
      <c r="C71" s="348"/>
      <c r="D71" s="348"/>
      <c r="E71" s="348"/>
      <c r="F71" s="348"/>
      <c r="G71" s="348"/>
      <c r="H71" s="348"/>
      <c r="I71" s="1">
        <v>64</v>
      </c>
      <c r="J71" s="7">
        <v>194354000</v>
      </c>
      <c r="K71" s="7">
        <v>194354000</v>
      </c>
    </row>
    <row r="72" spans="1:11">
      <c r="A72" s="349" t="s">
        <v>388</v>
      </c>
      <c r="B72" s="350"/>
      <c r="C72" s="350"/>
      <c r="D72" s="350"/>
      <c r="E72" s="350"/>
      <c r="F72" s="350"/>
      <c r="G72" s="350"/>
      <c r="H72" s="351"/>
      <c r="I72" s="1">
        <v>65</v>
      </c>
      <c r="J72" s="46">
        <f>J73+J74-J75+J76+J77</f>
        <v>0</v>
      </c>
      <c r="K72" s="46">
        <f>K73+K74-K75+K76+K77</f>
        <v>0</v>
      </c>
    </row>
    <row r="73" spans="1:11" ht="12.75" customHeight="1">
      <c r="A73" s="348" t="s">
        <v>389</v>
      </c>
      <c r="B73" s="348"/>
      <c r="C73" s="348"/>
      <c r="D73" s="348"/>
      <c r="E73" s="348"/>
      <c r="F73" s="348"/>
      <c r="G73" s="348"/>
      <c r="H73" s="348"/>
      <c r="I73" s="1">
        <v>66</v>
      </c>
      <c r="J73" s="7"/>
      <c r="K73" s="7"/>
    </row>
    <row r="74" spans="1:11" ht="12.75" customHeight="1">
      <c r="A74" s="348" t="s">
        <v>390</v>
      </c>
      <c r="B74" s="348"/>
      <c r="C74" s="348"/>
      <c r="D74" s="348"/>
      <c r="E74" s="348"/>
      <c r="F74" s="348"/>
      <c r="G74" s="348"/>
      <c r="H74" s="348"/>
      <c r="I74" s="1">
        <v>67</v>
      </c>
      <c r="J74" s="7"/>
      <c r="K74" s="7"/>
    </row>
    <row r="75" spans="1:11" ht="12.75" customHeight="1">
      <c r="A75" s="348" t="s">
        <v>391</v>
      </c>
      <c r="B75" s="348"/>
      <c r="C75" s="348"/>
      <c r="D75" s="348"/>
      <c r="E75" s="348"/>
      <c r="F75" s="348"/>
      <c r="G75" s="348"/>
      <c r="H75" s="348"/>
      <c r="I75" s="1">
        <v>68</v>
      </c>
      <c r="J75" s="7"/>
      <c r="K75" s="7"/>
    </row>
    <row r="76" spans="1:11" ht="12.75" customHeight="1">
      <c r="A76" s="348" t="s">
        <v>392</v>
      </c>
      <c r="B76" s="348"/>
      <c r="C76" s="348"/>
      <c r="D76" s="348"/>
      <c r="E76" s="348"/>
      <c r="F76" s="348"/>
      <c r="G76" s="348"/>
      <c r="H76" s="348"/>
      <c r="I76" s="1">
        <v>69</v>
      </c>
      <c r="J76" s="7"/>
      <c r="K76" s="7"/>
    </row>
    <row r="77" spans="1:11" ht="12.75" customHeight="1">
      <c r="A77" s="348" t="s">
        <v>393</v>
      </c>
      <c r="B77" s="348"/>
      <c r="C77" s="348"/>
      <c r="D77" s="348"/>
      <c r="E77" s="348"/>
      <c r="F77" s="348"/>
      <c r="G77" s="348"/>
      <c r="H77" s="348"/>
      <c r="I77" s="1">
        <v>70</v>
      </c>
      <c r="J77" s="7"/>
      <c r="K77" s="7"/>
    </row>
    <row r="78" spans="1:11" ht="12.75" customHeight="1">
      <c r="A78" s="348" t="s">
        <v>394</v>
      </c>
      <c r="B78" s="348"/>
      <c r="C78" s="348"/>
      <c r="D78" s="348"/>
      <c r="E78" s="348"/>
      <c r="F78" s="348"/>
      <c r="G78" s="348"/>
      <c r="H78" s="348"/>
      <c r="I78" s="1">
        <v>71</v>
      </c>
      <c r="J78" s="7"/>
      <c r="K78" s="7"/>
    </row>
    <row r="79" spans="1:11">
      <c r="A79" s="349" t="s">
        <v>395</v>
      </c>
      <c r="B79" s="350"/>
      <c r="C79" s="350"/>
      <c r="D79" s="350"/>
      <c r="E79" s="350"/>
      <c r="F79" s="350"/>
      <c r="G79" s="350"/>
      <c r="H79" s="351"/>
      <c r="I79" s="1">
        <v>72</v>
      </c>
      <c r="J79" s="46">
        <f>J80-J81</f>
        <v>-553595946</v>
      </c>
      <c r="K79" s="46">
        <f>K80-K81</f>
        <v>-619250046</v>
      </c>
    </row>
    <row r="80" spans="1:11">
      <c r="A80" s="375" t="s">
        <v>396</v>
      </c>
      <c r="B80" s="376"/>
      <c r="C80" s="376"/>
      <c r="D80" s="376"/>
      <c r="E80" s="376"/>
      <c r="F80" s="376"/>
      <c r="G80" s="376"/>
      <c r="H80" s="377"/>
      <c r="I80" s="1">
        <v>73</v>
      </c>
      <c r="J80" s="7"/>
      <c r="K80" s="7"/>
    </row>
    <row r="81" spans="1:11">
      <c r="A81" s="375" t="s">
        <v>397</v>
      </c>
      <c r="B81" s="376"/>
      <c r="C81" s="376"/>
      <c r="D81" s="376"/>
      <c r="E81" s="376"/>
      <c r="F81" s="376"/>
      <c r="G81" s="376"/>
      <c r="H81" s="377"/>
      <c r="I81" s="1">
        <v>74</v>
      </c>
      <c r="J81" s="7">
        <v>553595946</v>
      </c>
      <c r="K81" s="7">
        <v>619250046</v>
      </c>
    </row>
    <row r="82" spans="1:11">
      <c r="A82" s="349" t="s">
        <v>398</v>
      </c>
      <c r="B82" s="350"/>
      <c r="C82" s="350"/>
      <c r="D82" s="350"/>
      <c r="E82" s="350"/>
      <c r="F82" s="350"/>
      <c r="G82" s="350"/>
      <c r="H82" s="351"/>
      <c r="I82" s="1">
        <v>75</v>
      </c>
      <c r="J82" s="46">
        <f>J83-J84</f>
        <v>-20291395</v>
      </c>
      <c r="K82" s="46">
        <f>K83-K84</f>
        <v>-14554790</v>
      </c>
    </row>
    <row r="83" spans="1:11">
      <c r="A83" s="375" t="s">
        <v>399</v>
      </c>
      <c r="B83" s="376"/>
      <c r="C83" s="376"/>
      <c r="D83" s="376"/>
      <c r="E83" s="376"/>
      <c r="F83" s="376"/>
      <c r="G83" s="376"/>
      <c r="H83" s="377"/>
      <c r="I83" s="1">
        <v>76</v>
      </c>
      <c r="J83" s="7"/>
      <c r="K83" s="7"/>
    </row>
    <row r="84" spans="1:11">
      <c r="A84" s="375" t="s">
        <v>400</v>
      </c>
      <c r="B84" s="376"/>
      <c r="C84" s="376"/>
      <c r="D84" s="376"/>
      <c r="E84" s="376"/>
      <c r="F84" s="376"/>
      <c r="G84" s="376"/>
      <c r="H84" s="377"/>
      <c r="I84" s="1">
        <v>77</v>
      </c>
      <c r="J84" s="7">
        <v>20291395</v>
      </c>
      <c r="K84" s="7">
        <v>14554790</v>
      </c>
    </row>
    <row r="85" spans="1:11">
      <c r="A85" s="349" t="s">
        <v>401</v>
      </c>
      <c r="B85" s="350"/>
      <c r="C85" s="350"/>
      <c r="D85" s="350"/>
      <c r="E85" s="350"/>
      <c r="F85" s="350"/>
      <c r="G85" s="350"/>
      <c r="H85" s="351"/>
      <c r="I85" s="1">
        <v>78</v>
      </c>
      <c r="J85" s="7"/>
      <c r="K85" s="7"/>
    </row>
    <row r="86" spans="1:11">
      <c r="A86" s="367" t="s">
        <v>405</v>
      </c>
      <c r="B86" s="368"/>
      <c r="C86" s="368"/>
      <c r="D86" s="368"/>
      <c r="E86" s="368"/>
      <c r="F86" s="368"/>
      <c r="G86" s="368"/>
      <c r="H86" s="369"/>
      <c r="I86" s="1">
        <v>79</v>
      </c>
      <c r="J86" s="46">
        <f>SUM(J87:J89)</f>
        <v>1338578</v>
      </c>
      <c r="K86" s="46">
        <f>SUM(K87:K89)</f>
        <v>2796143</v>
      </c>
    </row>
    <row r="87" spans="1:11">
      <c r="A87" s="349" t="s">
        <v>402</v>
      </c>
      <c r="B87" s="350"/>
      <c r="C87" s="350"/>
      <c r="D87" s="350"/>
      <c r="E87" s="350"/>
      <c r="F87" s="350"/>
      <c r="G87" s="350"/>
      <c r="H87" s="351"/>
      <c r="I87" s="1">
        <v>80</v>
      </c>
      <c r="J87" s="7">
        <v>409736</v>
      </c>
      <c r="K87" s="7">
        <v>1867301</v>
      </c>
    </row>
    <row r="88" spans="1:11" ht="12.75" customHeight="1">
      <c r="A88" s="348" t="s">
        <v>403</v>
      </c>
      <c r="B88" s="348"/>
      <c r="C88" s="348"/>
      <c r="D88" s="348"/>
      <c r="E88" s="348"/>
      <c r="F88" s="348"/>
      <c r="G88" s="348"/>
      <c r="H88" s="348"/>
      <c r="I88" s="1">
        <v>81</v>
      </c>
      <c r="J88" s="7">
        <v>928842</v>
      </c>
      <c r="K88" s="7">
        <v>928842</v>
      </c>
    </row>
    <row r="89" spans="1:11" ht="12.75" customHeight="1">
      <c r="A89" s="348" t="s">
        <v>404</v>
      </c>
      <c r="B89" s="348"/>
      <c r="C89" s="348"/>
      <c r="D89" s="348"/>
      <c r="E89" s="348"/>
      <c r="F89" s="348"/>
      <c r="G89" s="348"/>
      <c r="H89" s="348"/>
      <c r="I89" s="1">
        <v>82</v>
      </c>
      <c r="J89" s="7"/>
      <c r="K89" s="7"/>
    </row>
    <row r="90" spans="1:11">
      <c r="A90" s="367" t="s">
        <v>406</v>
      </c>
      <c r="B90" s="368"/>
      <c r="C90" s="368"/>
      <c r="D90" s="368"/>
      <c r="E90" s="368"/>
      <c r="F90" s="368"/>
      <c r="G90" s="368"/>
      <c r="H90" s="369"/>
      <c r="I90" s="1">
        <v>83</v>
      </c>
      <c r="J90" s="46">
        <f>SUM(J91:J99)</f>
        <v>262970402</v>
      </c>
      <c r="K90" s="46">
        <f>SUM(K91:K99)</f>
        <v>574629611</v>
      </c>
    </row>
    <row r="91" spans="1:11" ht="12.75" customHeight="1">
      <c r="A91" s="348" t="s">
        <v>407</v>
      </c>
      <c r="B91" s="348"/>
      <c r="C91" s="348"/>
      <c r="D91" s="348"/>
      <c r="E91" s="348"/>
      <c r="F91" s="348"/>
      <c r="G91" s="348"/>
      <c r="H91" s="348"/>
      <c r="I91" s="1">
        <v>84</v>
      </c>
      <c r="J91" s="7"/>
      <c r="K91" s="7"/>
    </row>
    <row r="92" spans="1:11" ht="12.75" customHeight="1">
      <c r="A92" s="348" t="s">
        <v>415</v>
      </c>
      <c r="B92" s="348"/>
      <c r="C92" s="348"/>
      <c r="D92" s="348"/>
      <c r="E92" s="348"/>
      <c r="F92" s="348"/>
      <c r="G92" s="348"/>
      <c r="H92" s="348"/>
      <c r="I92" s="1">
        <v>85</v>
      </c>
      <c r="J92" s="7">
        <v>62430100</v>
      </c>
      <c r="K92" s="7">
        <v>44421646</v>
      </c>
    </row>
    <row r="93" spans="1:11">
      <c r="A93" s="349" t="s">
        <v>408</v>
      </c>
      <c r="B93" s="350"/>
      <c r="C93" s="350"/>
      <c r="D93" s="350"/>
      <c r="E93" s="350"/>
      <c r="F93" s="350"/>
      <c r="G93" s="350"/>
      <c r="H93" s="351"/>
      <c r="I93" s="1">
        <v>86</v>
      </c>
      <c r="J93" s="7">
        <v>200540302</v>
      </c>
      <c r="K93" s="7">
        <v>530207965</v>
      </c>
    </row>
    <row r="94" spans="1:11" ht="12.75" customHeight="1">
      <c r="A94" s="348" t="s">
        <v>409</v>
      </c>
      <c r="B94" s="348"/>
      <c r="C94" s="348"/>
      <c r="D94" s="348"/>
      <c r="E94" s="348"/>
      <c r="F94" s="348"/>
      <c r="G94" s="348"/>
      <c r="H94" s="348"/>
      <c r="I94" s="1">
        <v>87</v>
      </c>
      <c r="J94" s="7"/>
      <c r="K94" s="7"/>
    </row>
    <row r="95" spans="1:11" ht="12.75" customHeight="1">
      <c r="A95" s="348" t="s">
        <v>410</v>
      </c>
      <c r="B95" s="348"/>
      <c r="C95" s="348"/>
      <c r="D95" s="348"/>
      <c r="E95" s="348"/>
      <c r="F95" s="348"/>
      <c r="G95" s="348"/>
      <c r="H95" s="348"/>
      <c r="I95" s="1">
        <v>88</v>
      </c>
      <c r="J95" s="7"/>
      <c r="K95" s="7"/>
    </row>
    <row r="96" spans="1:11" ht="12.75" customHeight="1">
      <c r="A96" s="348" t="s">
        <v>411</v>
      </c>
      <c r="B96" s="348"/>
      <c r="C96" s="348"/>
      <c r="D96" s="348"/>
      <c r="E96" s="348"/>
      <c r="F96" s="348"/>
      <c r="G96" s="348"/>
      <c r="H96" s="348"/>
      <c r="I96" s="1">
        <v>89</v>
      </c>
      <c r="J96" s="7"/>
      <c r="K96" s="7"/>
    </row>
    <row r="97" spans="1:11">
      <c r="A97" s="349" t="s">
        <v>345</v>
      </c>
      <c r="B97" s="350"/>
      <c r="C97" s="350"/>
      <c r="D97" s="350"/>
      <c r="E97" s="350"/>
      <c r="F97" s="350"/>
      <c r="G97" s="350"/>
      <c r="H97" s="351"/>
      <c r="I97" s="1">
        <v>90</v>
      </c>
      <c r="J97" s="7"/>
      <c r="K97" s="7"/>
    </row>
    <row r="98" spans="1:11">
      <c r="A98" s="349" t="s">
        <v>412</v>
      </c>
      <c r="B98" s="350"/>
      <c r="C98" s="350"/>
      <c r="D98" s="350"/>
      <c r="E98" s="350"/>
      <c r="F98" s="350"/>
      <c r="G98" s="350"/>
      <c r="H98" s="351"/>
      <c r="I98" s="1">
        <v>91</v>
      </c>
      <c r="J98" s="7"/>
      <c r="K98" s="7"/>
    </row>
    <row r="99" spans="1:11">
      <c r="A99" s="349" t="s">
        <v>413</v>
      </c>
      <c r="B99" s="350"/>
      <c r="C99" s="350"/>
      <c r="D99" s="350"/>
      <c r="E99" s="350"/>
      <c r="F99" s="350"/>
      <c r="G99" s="350"/>
      <c r="H99" s="351"/>
      <c r="I99" s="1">
        <v>92</v>
      </c>
      <c r="J99" s="7"/>
      <c r="K99" s="7"/>
    </row>
    <row r="100" spans="1:11">
      <c r="A100" s="367" t="s">
        <v>414</v>
      </c>
      <c r="B100" s="368"/>
      <c r="C100" s="368"/>
      <c r="D100" s="368"/>
      <c r="E100" s="368"/>
      <c r="F100" s="368"/>
      <c r="G100" s="368"/>
      <c r="H100" s="369"/>
      <c r="I100" s="1">
        <v>93</v>
      </c>
      <c r="J100" s="46">
        <f>SUM(J101:J112)</f>
        <v>713586482</v>
      </c>
      <c r="K100" s="46">
        <f>SUM(K101:K112)</f>
        <v>433316207</v>
      </c>
    </row>
    <row r="101" spans="1:11" ht="12.75" customHeight="1">
      <c r="A101" s="348" t="s">
        <v>407</v>
      </c>
      <c r="B101" s="348"/>
      <c r="C101" s="348"/>
      <c r="D101" s="348"/>
      <c r="E101" s="348"/>
      <c r="F101" s="348"/>
      <c r="G101" s="348"/>
      <c r="H101" s="348"/>
      <c r="I101" s="1">
        <v>94</v>
      </c>
      <c r="J101" s="7">
        <v>3658624</v>
      </c>
      <c r="K101" s="7">
        <v>8793100</v>
      </c>
    </row>
    <row r="102" spans="1:11" ht="12.75" customHeight="1">
      <c r="A102" s="348" t="s">
        <v>415</v>
      </c>
      <c r="B102" s="348"/>
      <c r="C102" s="348"/>
      <c r="D102" s="348"/>
      <c r="E102" s="348"/>
      <c r="F102" s="348"/>
      <c r="G102" s="348"/>
      <c r="H102" s="348"/>
      <c r="I102" s="1">
        <v>95</v>
      </c>
      <c r="J102" s="7"/>
      <c r="K102" s="7">
        <v>1833521</v>
      </c>
    </row>
    <row r="103" spans="1:11" ht="12.75" customHeight="1">
      <c r="A103" s="348" t="s">
        <v>408</v>
      </c>
      <c r="B103" s="348"/>
      <c r="C103" s="348"/>
      <c r="D103" s="348"/>
      <c r="E103" s="348"/>
      <c r="F103" s="348"/>
      <c r="G103" s="348"/>
      <c r="H103" s="348"/>
      <c r="I103" s="1">
        <v>96</v>
      </c>
      <c r="J103" s="7">
        <v>327813815</v>
      </c>
      <c r="K103" s="7">
        <v>5262784</v>
      </c>
    </row>
    <row r="104" spans="1:11" ht="12.75" customHeight="1">
      <c r="A104" s="348" t="s">
        <v>409</v>
      </c>
      <c r="B104" s="348"/>
      <c r="C104" s="348"/>
      <c r="D104" s="348"/>
      <c r="E104" s="348"/>
      <c r="F104" s="348"/>
      <c r="G104" s="348"/>
      <c r="H104" s="348"/>
      <c r="I104" s="1">
        <v>97</v>
      </c>
      <c r="J104" s="7"/>
      <c r="K104" s="7"/>
    </row>
    <row r="105" spans="1:11" ht="12.75" customHeight="1">
      <c r="A105" s="348" t="s">
        <v>410</v>
      </c>
      <c r="B105" s="348"/>
      <c r="C105" s="348"/>
      <c r="D105" s="348"/>
      <c r="E105" s="348"/>
      <c r="F105" s="348"/>
      <c r="G105" s="348"/>
      <c r="H105" s="348"/>
      <c r="I105" s="1">
        <v>98</v>
      </c>
      <c r="J105" s="7">
        <v>125146781</v>
      </c>
      <c r="K105" s="7">
        <v>160870065</v>
      </c>
    </row>
    <row r="106" spans="1:11" ht="12.75" customHeight="1">
      <c r="A106" s="348" t="s">
        <v>411</v>
      </c>
      <c r="B106" s="348"/>
      <c r="C106" s="348"/>
      <c r="D106" s="348"/>
      <c r="E106" s="348"/>
      <c r="F106" s="348"/>
      <c r="G106" s="348"/>
      <c r="H106" s="348"/>
      <c r="I106" s="1">
        <v>99</v>
      </c>
      <c r="J106" s="7">
        <v>248285938</v>
      </c>
      <c r="K106" s="7">
        <v>249747188</v>
      </c>
    </row>
    <row r="107" spans="1:11">
      <c r="A107" s="349" t="s">
        <v>345</v>
      </c>
      <c r="B107" s="350"/>
      <c r="C107" s="350"/>
      <c r="D107" s="350"/>
      <c r="E107" s="350"/>
      <c r="F107" s="350"/>
      <c r="G107" s="350"/>
      <c r="H107" s="351"/>
      <c r="I107" s="1">
        <v>100</v>
      </c>
      <c r="J107" s="7"/>
      <c r="K107" s="7"/>
    </row>
    <row r="108" spans="1:11" ht="12.75" customHeight="1">
      <c r="A108" s="348" t="s">
        <v>416</v>
      </c>
      <c r="B108" s="348"/>
      <c r="C108" s="348"/>
      <c r="D108" s="348"/>
      <c r="E108" s="348"/>
      <c r="F108" s="348"/>
      <c r="G108" s="348"/>
      <c r="H108" s="348"/>
      <c r="I108" s="1">
        <v>101</v>
      </c>
      <c r="J108" s="7">
        <v>1584388</v>
      </c>
      <c r="K108" s="7">
        <v>1710118</v>
      </c>
    </row>
    <row r="109" spans="1:11" ht="12.75" customHeight="1">
      <c r="A109" s="348" t="s">
        <v>417</v>
      </c>
      <c r="B109" s="348"/>
      <c r="C109" s="348"/>
      <c r="D109" s="348"/>
      <c r="E109" s="348"/>
      <c r="F109" s="348"/>
      <c r="G109" s="348"/>
      <c r="H109" s="348"/>
      <c r="I109" s="1">
        <v>102</v>
      </c>
      <c r="J109" s="7">
        <v>6094227</v>
      </c>
      <c r="K109" s="7">
        <v>5080960</v>
      </c>
    </row>
    <row r="110" spans="1:11" ht="12.75" customHeight="1">
      <c r="A110" s="348" t="s">
        <v>418</v>
      </c>
      <c r="B110" s="348"/>
      <c r="C110" s="348"/>
      <c r="D110" s="348"/>
      <c r="E110" s="348"/>
      <c r="F110" s="348"/>
      <c r="G110" s="348"/>
      <c r="H110" s="348"/>
      <c r="I110" s="1">
        <v>103</v>
      </c>
      <c r="J110" s="7"/>
      <c r="K110" s="7"/>
    </row>
    <row r="111" spans="1:11" ht="12.75" customHeight="1">
      <c r="A111" s="348" t="s">
        <v>419</v>
      </c>
      <c r="B111" s="348"/>
      <c r="C111" s="348"/>
      <c r="D111" s="348"/>
      <c r="E111" s="348"/>
      <c r="F111" s="348"/>
      <c r="G111" s="348"/>
      <c r="H111" s="348"/>
      <c r="I111" s="1">
        <v>104</v>
      </c>
      <c r="J111" s="7"/>
      <c r="K111" s="7"/>
    </row>
    <row r="112" spans="1:11" ht="12.75" customHeight="1">
      <c r="A112" s="348" t="s">
        <v>420</v>
      </c>
      <c r="B112" s="348"/>
      <c r="C112" s="348"/>
      <c r="D112" s="348"/>
      <c r="E112" s="348"/>
      <c r="F112" s="348"/>
      <c r="G112" s="348"/>
      <c r="H112" s="348"/>
      <c r="I112" s="1">
        <v>105</v>
      </c>
      <c r="J112" s="7">
        <v>1002709</v>
      </c>
      <c r="K112" s="7">
        <v>18471</v>
      </c>
    </row>
    <row r="113" spans="1:11" ht="12.75" customHeight="1">
      <c r="A113" s="366" t="s">
        <v>421</v>
      </c>
      <c r="B113" s="366"/>
      <c r="C113" s="366"/>
      <c r="D113" s="366"/>
      <c r="E113" s="366"/>
      <c r="F113" s="366"/>
      <c r="G113" s="366"/>
      <c r="H113" s="366"/>
      <c r="I113" s="1">
        <v>106</v>
      </c>
      <c r="J113" s="7">
        <v>17268785</v>
      </c>
      <c r="K113" s="7">
        <v>11281580</v>
      </c>
    </row>
    <row r="114" spans="1:11">
      <c r="A114" s="367" t="s">
        <v>422</v>
      </c>
      <c r="B114" s="368"/>
      <c r="C114" s="368"/>
      <c r="D114" s="368"/>
      <c r="E114" s="368"/>
      <c r="F114" s="368"/>
      <c r="G114" s="368"/>
      <c r="H114" s="369"/>
      <c r="I114" s="1">
        <v>107</v>
      </c>
      <c r="J114" s="46">
        <f>J69+J86+J90+J100+J113</f>
        <v>643831606</v>
      </c>
      <c r="K114" s="46">
        <f>K69+K86+K90+K100+K113</f>
        <v>610773405</v>
      </c>
    </row>
    <row r="115" spans="1:11" ht="12.75" customHeight="1">
      <c r="A115" s="354" t="s">
        <v>423</v>
      </c>
      <c r="B115" s="354"/>
      <c r="C115" s="354"/>
      <c r="D115" s="354"/>
      <c r="E115" s="354"/>
      <c r="F115" s="354"/>
      <c r="G115" s="354"/>
      <c r="H115" s="354"/>
      <c r="I115" s="2">
        <v>108</v>
      </c>
      <c r="J115" s="8">
        <v>591364987</v>
      </c>
      <c r="K115" s="8">
        <v>1013162599.45</v>
      </c>
    </row>
    <row r="116" spans="1:11">
      <c r="A116" s="355" t="s">
        <v>424</v>
      </c>
      <c r="B116" s="356"/>
      <c r="C116" s="356"/>
      <c r="D116" s="356"/>
      <c r="E116" s="356"/>
      <c r="F116" s="356"/>
      <c r="G116" s="356"/>
      <c r="H116" s="356"/>
      <c r="I116" s="357"/>
      <c r="J116" s="357"/>
      <c r="K116" s="358"/>
    </row>
    <row r="117" spans="1:11">
      <c r="A117" s="359" t="s">
        <v>425</v>
      </c>
      <c r="B117" s="360"/>
      <c r="C117" s="360"/>
      <c r="D117" s="360"/>
      <c r="E117" s="360"/>
      <c r="F117" s="360"/>
      <c r="G117" s="360"/>
      <c r="H117" s="360"/>
      <c r="I117" s="361"/>
      <c r="J117" s="361"/>
      <c r="K117" s="362"/>
    </row>
    <row r="118" spans="1:11" ht="12.75" customHeight="1">
      <c r="A118" s="363" t="s">
        <v>343</v>
      </c>
      <c r="B118" s="364"/>
      <c r="C118" s="364"/>
      <c r="D118" s="364"/>
      <c r="E118" s="364"/>
      <c r="F118" s="364"/>
      <c r="G118" s="364"/>
      <c r="H118" s="365"/>
      <c r="I118" s="1">
        <v>109</v>
      </c>
      <c r="J118" s="7"/>
      <c r="K118" s="7"/>
    </row>
    <row r="119" spans="1:11" ht="12.75" customHeight="1">
      <c r="A119" s="370" t="s">
        <v>342</v>
      </c>
      <c r="B119" s="371"/>
      <c r="C119" s="371"/>
      <c r="D119" s="371"/>
      <c r="E119" s="371"/>
      <c r="F119" s="371"/>
      <c r="G119" s="371"/>
      <c r="H119" s="372"/>
      <c r="I119" s="4">
        <v>110</v>
      </c>
      <c r="J119" s="8"/>
      <c r="K119" s="8"/>
    </row>
    <row r="120" spans="1:11">
      <c r="A120" s="373" t="s">
        <v>344</v>
      </c>
      <c r="B120" s="374"/>
      <c r="C120" s="374"/>
      <c r="D120" s="374"/>
      <c r="E120" s="374"/>
      <c r="F120" s="374"/>
      <c r="G120" s="374"/>
      <c r="H120" s="374"/>
      <c r="I120" s="374"/>
      <c r="J120" s="374"/>
      <c r="K120" s="374"/>
    </row>
    <row r="121" spans="1:11">
      <c r="A121" s="352"/>
      <c r="B121" s="353"/>
      <c r="C121" s="353"/>
      <c r="D121" s="353"/>
      <c r="E121" s="353"/>
      <c r="F121" s="353"/>
      <c r="G121" s="353"/>
      <c r="H121" s="353"/>
      <c r="I121" s="353"/>
      <c r="J121" s="353"/>
      <c r="K121" s="353"/>
    </row>
    <row r="122" spans="1:11" s="110" customFormat="1">
      <c r="J122" s="45"/>
      <c r="K122" s="45"/>
    </row>
    <row r="123" spans="1:11" s="110" customFormat="1">
      <c r="J123" s="45"/>
      <c r="K123" s="45"/>
    </row>
  </sheetData>
  <sheetCalcPr fullCalcOnLoad="1"/>
  <mergeCells count="121">
    <mergeCell ref="A5:H5"/>
    <mergeCell ref="A6:K6"/>
    <mergeCell ref="A7:H7"/>
    <mergeCell ref="A8:H8"/>
    <mergeCell ref="A1:K1"/>
    <mergeCell ref="A2:K2"/>
    <mergeCell ref="A3:K3"/>
    <mergeCell ref="A4:H4"/>
    <mergeCell ref="A13:H13"/>
    <mergeCell ref="A14:H14"/>
    <mergeCell ref="A15:H15"/>
    <mergeCell ref="A16:H16"/>
    <mergeCell ref="A9:H9"/>
    <mergeCell ref="A10:H10"/>
    <mergeCell ref="A11:H11"/>
    <mergeCell ref="A12:H12"/>
    <mergeCell ref="A21:H21"/>
    <mergeCell ref="A22:H22"/>
    <mergeCell ref="A23:H23"/>
    <mergeCell ref="A24:H24"/>
    <mergeCell ref="A17:H17"/>
    <mergeCell ref="A18:H18"/>
    <mergeCell ref="A19:H19"/>
    <mergeCell ref="A20:H20"/>
    <mergeCell ref="A29:H29"/>
    <mergeCell ref="A30:H30"/>
    <mergeCell ref="A31:H31"/>
    <mergeCell ref="A32:H32"/>
    <mergeCell ref="A25:H25"/>
    <mergeCell ref="A26:H26"/>
    <mergeCell ref="A27:H27"/>
    <mergeCell ref="A28:H28"/>
    <mergeCell ref="A37:H37"/>
    <mergeCell ref="A38:H38"/>
    <mergeCell ref="A39:H39"/>
    <mergeCell ref="A40:H40"/>
    <mergeCell ref="A33:H33"/>
    <mergeCell ref="A34:H34"/>
    <mergeCell ref="A35:H35"/>
    <mergeCell ref="A36:H36"/>
    <mergeCell ref="A45:H45"/>
    <mergeCell ref="A46:H46"/>
    <mergeCell ref="A47:H47"/>
    <mergeCell ref="A48:H48"/>
    <mergeCell ref="A41:H41"/>
    <mergeCell ref="A42:H42"/>
    <mergeCell ref="A43:H43"/>
    <mergeCell ref="A44:H44"/>
    <mergeCell ref="A53:H53"/>
    <mergeCell ref="A54:H54"/>
    <mergeCell ref="A55:H55"/>
    <mergeCell ref="A56:H56"/>
    <mergeCell ref="A49:H49"/>
    <mergeCell ref="A50:H50"/>
    <mergeCell ref="A51:H51"/>
    <mergeCell ref="A52:H52"/>
    <mergeCell ref="A61:H61"/>
    <mergeCell ref="A62:H62"/>
    <mergeCell ref="A63:H63"/>
    <mergeCell ref="A64:H64"/>
    <mergeCell ref="A57:H57"/>
    <mergeCell ref="A58:H58"/>
    <mergeCell ref="A59:H59"/>
    <mergeCell ref="A60:H60"/>
    <mergeCell ref="A69:H69"/>
    <mergeCell ref="A70:H70"/>
    <mergeCell ref="A71:H71"/>
    <mergeCell ref="A72:H72"/>
    <mergeCell ref="A65:H65"/>
    <mergeCell ref="A66:H66"/>
    <mergeCell ref="A67:H67"/>
    <mergeCell ref="A68:K68"/>
    <mergeCell ref="A77:H77"/>
    <mergeCell ref="A78:H78"/>
    <mergeCell ref="A79:H79"/>
    <mergeCell ref="A80:H80"/>
    <mergeCell ref="A73:H73"/>
    <mergeCell ref="A74:H74"/>
    <mergeCell ref="A75:H75"/>
    <mergeCell ref="A76:H76"/>
    <mergeCell ref="A85:H85"/>
    <mergeCell ref="A86:H86"/>
    <mergeCell ref="A87:H87"/>
    <mergeCell ref="A88:H88"/>
    <mergeCell ref="A81:H81"/>
    <mergeCell ref="A82:H82"/>
    <mergeCell ref="A83:H83"/>
    <mergeCell ref="A84:H84"/>
    <mergeCell ref="A93:H93"/>
    <mergeCell ref="A94:H94"/>
    <mergeCell ref="A95:H95"/>
    <mergeCell ref="A96:H96"/>
    <mergeCell ref="A89:H89"/>
    <mergeCell ref="A90:H90"/>
    <mergeCell ref="A91:H91"/>
    <mergeCell ref="A92:H92"/>
    <mergeCell ref="A101:H101"/>
    <mergeCell ref="A102:H102"/>
    <mergeCell ref="A103:H103"/>
    <mergeCell ref="A104:H104"/>
    <mergeCell ref="A97:H97"/>
    <mergeCell ref="A98:H98"/>
    <mergeCell ref="A99:H99"/>
    <mergeCell ref="A100:H100"/>
    <mergeCell ref="A109:H109"/>
    <mergeCell ref="A110:H110"/>
    <mergeCell ref="A111:H111"/>
    <mergeCell ref="A112:H112"/>
    <mergeCell ref="A105:H105"/>
    <mergeCell ref="A106:H106"/>
    <mergeCell ref="A107:H107"/>
    <mergeCell ref="A108:H108"/>
    <mergeCell ref="A121:K121"/>
    <mergeCell ref="A115:H115"/>
    <mergeCell ref="A116:K116"/>
    <mergeCell ref="A117:K117"/>
    <mergeCell ref="A118:H118"/>
    <mergeCell ref="A113:H113"/>
    <mergeCell ref="A114:H114"/>
    <mergeCell ref="A119:H119"/>
    <mergeCell ref="A120:K120"/>
  </mergeCells>
  <phoneticPr fontId="6" type="noConversion"/>
  <conditionalFormatting sqref="A122:XFD123">
    <cfRule type="cellIs" dxfId="3" priority="2" operator="notEqual">
      <formula>0</formula>
    </cfRule>
  </conditionalFormatting>
  <conditionalFormatting sqref="J122:K123">
    <cfRule type="cellIs" dxfId="2" priority="1" operator="notEqual">
      <formula>0</formula>
    </cfRule>
  </conditionalFormatting>
  <dataValidations disablePrompts="1" count="5">
    <dataValidation type="whole" operator="notEqual" allowBlank="1" showInputMessage="1" showErrorMessage="1" errorTitle="Pogrešan unos" error="Mogu se unijeti samo cjelobrojne vrijednosti." sqref="J118:K119 J85:K85">
      <formula1>999999999999</formula1>
    </dataValidation>
    <dataValidation type="whole" operator="notEqual" allowBlank="1" showInputMessage="1" showErrorMessage="1" errorTitle="Pogrešan unos" error="Mogu se unijeti samo cjelobrojne pozitivne ili negativne vrijednosti." sqref="J69:K69">
      <formula1>999999999999</formula1>
    </dataValidation>
    <dataValidation type="whole" operator="notEqual" allowBlank="1" showInputMessage="1" showErrorMessage="1" errorTitle="Pogrešan unos" error="Mogu se unijeti samo cjelobrojne pozitivne ili negativne vrijednosti." sqref="J71:K71">
      <formula1>9999999999</formula1>
    </dataValidation>
    <dataValidation type="whole" operator="notEqual" allowBlank="1" showInputMessage="1" showErrorMessage="1" errorTitle="Pogrešan unos" error="Mogu se unijeti samo cjelobrojne vrijednosti. Ova AOP oznaka može se unijeti i s negativnim predznakom" sqref="J78:K78">
      <formula1>9999999999</formula1>
    </dataValidation>
    <dataValidation type="whole" operator="greaterThanOrEqual" allowBlank="1" showInputMessage="1" showErrorMessage="1" errorTitle="Pogrešan unos" error="Mogu se unijeti samo cjelobrojne pozitivne vrijednosti." sqref="J72:K77 J70:K70 J79:K84 J86:K115 J7:K67">
      <formula1>0</formula1>
    </dataValidation>
  </dataValidations>
  <pageMargins left="0.75" right="0.75" top="1" bottom="1" header="0.5" footer="0.5"/>
  <headerFooter alignWithMargins="0"/>
  <rowBreaks count="1" manualBreakCount="1">
    <brk id="67" max="16383" man="1"/>
  </rowBreaks>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codeName="Sheet3" enableFormatConditionsCalculation="0"/>
  <dimension ref="A1:Q71"/>
  <sheetViews>
    <sheetView view="pageBreakPreview" zoomScale="110" zoomScaleSheetLayoutView="110" workbookViewId="0">
      <selection activeCell="J70" sqref="J70"/>
    </sheetView>
  </sheetViews>
  <sheetFormatPr baseColWidth="10" defaultColWidth="8.83203125" defaultRowHeight="12"/>
  <cols>
    <col min="1" max="9" width="8.83203125" style="45"/>
    <col min="10" max="11" width="11.33203125" style="45" customWidth="1"/>
    <col min="12" max="12" width="9.83203125" style="45" customWidth="1"/>
    <col min="13" max="13" width="10.33203125" style="45" customWidth="1"/>
    <col min="14" max="15" width="8.83203125" style="45"/>
    <col min="16" max="16" width="10.1640625" style="45" bestFit="1" customWidth="1"/>
    <col min="17" max="17" width="16" style="45" customWidth="1"/>
    <col min="18" max="16384" width="8.83203125" style="45"/>
  </cols>
  <sheetData>
    <row r="1" spans="1:17" ht="15.75">
      <c r="A1" s="388" t="s">
        <v>346</v>
      </c>
      <c r="B1" s="388"/>
      <c r="C1" s="388"/>
      <c r="D1" s="388"/>
      <c r="E1" s="388"/>
      <c r="F1" s="388"/>
      <c r="G1" s="388"/>
      <c r="H1" s="388"/>
      <c r="I1" s="388"/>
      <c r="J1" s="388"/>
      <c r="K1" s="388"/>
      <c r="L1" s="388"/>
      <c r="M1" s="388"/>
    </row>
    <row r="2" spans="1:17" ht="12.75" customHeight="1">
      <c r="A2" s="396" t="s">
        <v>347</v>
      </c>
      <c r="B2" s="396"/>
      <c r="C2" s="396"/>
      <c r="D2" s="396"/>
      <c r="E2" s="396"/>
      <c r="F2" s="396"/>
      <c r="G2" s="396"/>
      <c r="H2" s="396"/>
      <c r="I2" s="396"/>
      <c r="J2" s="396"/>
      <c r="K2" s="396"/>
      <c r="L2" s="396"/>
      <c r="M2" s="396"/>
    </row>
    <row r="3" spans="1:17" ht="12.75" customHeight="1">
      <c r="A3" s="412" t="s">
        <v>526</v>
      </c>
      <c r="B3" s="412"/>
      <c r="C3" s="412"/>
      <c r="D3" s="412"/>
      <c r="E3" s="412"/>
      <c r="F3" s="412"/>
      <c r="G3" s="412"/>
      <c r="H3" s="412"/>
      <c r="I3" s="412"/>
      <c r="J3" s="412"/>
      <c r="K3" s="412"/>
      <c r="L3" s="412"/>
      <c r="M3" s="412"/>
    </row>
    <row r="4" spans="1:17" ht="12.75" customHeight="1">
      <c r="A4" s="411" t="s">
        <v>527</v>
      </c>
      <c r="B4" s="411"/>
      <c r="C4" s="411"/>
      <c r="D4" s="411"/>
      <c r="E4" s="411"/>
      <c r="F4" s="411"/>
      <c r="G4" s="411"/>
      <c r="H4" s="411"/>
      <c r="I4" s="236" t="s">
        <v>348</v>
      </c>
      <c r="J4" s="410" t="s">
        <v>529</v>
      </c>
      <c r="K4" s="410"/>
      <c r="L4" s="410" t="s">
        <v>530</v>
      </c>
      <c r="M4" s="410"/>
    </row>
    <row r="5" spans="1:17">
      <c r="A5" s="411"/>
      <c r="B5" s="411"/>
      <c r="C5" s="411"/>
      <c r="D5" s="411"/>
      <c r="E5" s="411"/>
      <c r="F5" s="411"/>
      <c r="G5" s="411"/>
      <c r="H5" s="411"/>
      <c r="I5" s="50"/>
      <c r="J5" s="237" t="s">
        <v>350</v>
      </c>
      <c r="K5" s="237" t="s">
        <v>349</v>
      </c>
      <c r="L5" s="237" t="s">
        <v>350</v>
      </c>
      <c r="M5" s="237" t="s">
        <v>349</v>
      </c>
    </row>
    <row r="6" spans="1:17">
      <c r="A6" s="410">
        <v>1</v>
      </c>
      <c r="B6" s="410"/>
      <c r="C6" s="410"/>
      <c r="D6" s="410"/>
      <c r="E6" s="410"/>
      <c r="F6" s="410"/>
      <c r="G6" s="410"/>
      <c r="H6" s="410"/>
      <c r="I6" s="54">
        <v>2</v>
      </c>
      <c r="J6" s="237">
        <v>3</v>
      </c>
      <c r="K6" s="237">
        <v>4</v>
      </c>
      <c r="L6" s="237">
        <v>5</v>
      </c>
      <c r="M6" s="237">
        <v>6</v>
      </c>
    </row>
    <row r="7" spans="1:17">
      <c r="A7" s="359" t="s">
        <v>351</v>
      </c>
      <c r="B7" s="360"/>
      <c r="C7" s="360"/>
      <c r="D7" s="360"/>
      <c r="E7" s="360"/>
      <c r="F7" s="360"/>
      <c r="G7" s="360"/>
      <c r="H7" s="383"/>
      <c r="I7" s="3">
        <v>111</v>
      </c>
      <c r="J7" s="47">
        <f>SUM(J8:J9)</f>
        <v>106786793</v>
      </c>
      <c r="K7" s="47">
        <f>SUM(K8:K9)</f>
        <v>106786793</v>
      </c>
      <c r="L7" s="47">
        <f>SUM(L8:L9)</f>
        <v>111296587</v>
      </c>
      <c r="M7" s="47">
        <f>SUM(M8:M9)</f>
        <v>111296587</v>
      </c>
    </row>
    <row r="8" spans="1:17">
      <c r="A8" s="367" t="s">
        <v>352</v>
      </c>
      <c r="B8" s="368"/>
      <c r="C8" s="368"/>
      <c r="D8" s="368"/>
      <c r="E8" s="368"/>
      <c r="F8" s="368"/>
      <c r="G8" s="368"/>
      <c r="H8" s="369"/>
      <c r="I8" s="1">
        <v>112</v>
      </c>
      <c r="J8" s="7">
        <v>105254834</v>
      </c>
      <c r="K8" s="7">
        <v>105254834</v>
      </c>
      <c r="L8" s="7">
        <v>109811649</v>
      </c>
      <c r="M8" s="7">
        <v>109811649</v>
      </c>
      <c r="P8" s="231"/>
      <c r="Q8" s="231"/>
    </row>
    <row r="9" spans="1:17">
      <c r="A9" s="367" t="s">
        <v>353</v>
      </c>
      <c r="B9" s="368"/>
      <c r="C9" s="368"/>
      <c r="D9" s="368"/>
      <c r="E9" s="368"/>
      <c r="F9" s="368"/>
      <c r="G9" s="368"/>
      <c r="H9" s="369"/>
      <c r="I9" s="1">
        <v>113</v>
      </c>
      <c r="J9" s="7">
        <v>1531959</v>
      </c>
      <c r="K9" s="7">
        <v>1531959</v>
      </c>
      <c r="L9" s="7">
        <v>1484938</v>
      </c>
      <c r="M9" s="7">
        <v>1484938</v>
      </c>
      <c r="P9" s="231"/>
      <c r="Q9" s="231"/>
    </row>
    <row r="10" spans="1:17">
      <c r="A10" s="367" t="s">
        <v>354</v>
      </c>
      <c r="B10" s="368"/>
      <c r="C10" s="368"/>
      <c r="D10" s="368"/>
      <c r="E10" s="368"/>
      <c r="F10" s="368"/>
      <c r="G10" s="368"/>
      <c r="H10" s="369"/>
      <c r="I10" s="1">
        <v>114</v>
      </c>
      <c r="J10" s="46">
        <f>J11+J12+J16+J20+J21+J22+J25+J26</f>
        <v>106043943.07000001</v>
      </c>
      <c r="K10" s="46">
        <f>K11+K12+K16+K20+K21+K22+K25+K26</f>
        <v>106043943.07000001</v>
      </c>
      <c r="L10" s="46">
        <f>L11+L12+L16+L20+L21+L22+L25+L26</f>
        <v>109514635</v>
      </c>
      <c r="M10" s="46">
        <f>M11+M12+M16+M20+M21+M22+M25+M26</f>
        <v>109514635</v>
      </c>
    </row>
    <row r="11" spans="1:17">
      <c r="A11" s="367" t="s">
        <v>364</v>
      </c>
      <c r="B11" s="368"/>
      <c r="C11" s="368"/>
      <c r="D11" s="368"/>
      <c r="E11" s="368"/>
      <c r="F11" s="368"/>
      <c r="G11" s="368"/>
      <c r="H11" s="369"/>
      <c r="I11" s="1">
        <v>115</v>
      </c>
      <c r="J11" s="7">
        <v>0</v>
      </c>
      <c r="K11" s="7">
        <v>0</v>
      </c>
      <c r="L11" s="7">
        <v>0</v>
      </c>
      <c r="M11" s="7">
        <v>0</v>
      </c>
    </row>
    <row r="12" spans="1:17">
      <c r="A12" s="367" t="s">
        <v>365</v>
      </c>
      <c r="B12" s="368"/>
      <c r="C12" s="368"/>
      <c r="D12" s="368"/>
      <c r="E12" s="368"/>
      <c r="F12" s="368"/>
      <c r="G12" s="368"/>
      <c r="H12" s="369"/>
      <c r="I12" s="1">
        <v>116</v>
      </c>
      <c r="J12" s="46">
        <f>SUM(J13:J15)</f>
        <v>80109447.170000002</v>
      </c>
      <c r="K12" s="46">
        <f>SUM(K13:K15)</f>
        <v>80109447.170000002</v>
      </c>
      <c r="L12" s="46">
        <f>SUM(L13:L15)</f>
        <v>81778484</v>
      </c>
      <c r="M12" s="46">
        <f>SUM(M13:M15)</f>
        <v>81778484</v>
      </c>
    </row>
    <row r="13" spans="1:17" ht="12.75" customHeight="1">
      <c r="A13" s="348" t="s">
        <v>366</v>
      </c>
      <c r="B13" s="348"/>
      <c r="C13" s="348"/>
      <c r="D13" s="348"/>
      <c r="E13" s="348"/>
      <c r="F13" s="348"/>
      <c r="G13" s="348"/>
      <c r="H13" s="348"/>
      <c r="I13" s="1">
        <v>117</v>
      </c>
      <c r="J13" s="7">
        <v>361054.17</v>
      </c>
      <c r="K13" s="7">
        <v>361054.17</v>
      </c>
      <c r="L13" s="7">
        <v>434379</v>
      </c>
      <c r="M13" s="7">
        <v>434379</v>
      </c>
    </row>
    <row r="14" spans="1:17" ht="12.75" customHeight="1">
      <c r="A14" s="348" t="s">
        <v>367</v>
      </c>
      <c r="B14" s="348"/>
      <c r="C14" s="348"/>
      <c r="D14" s="348"/>
      <c r="E14" s="348"/>
      <c r="F14" s="348"/>
      <c r="G14" s="348"/>
      <c r="H14" s="348"/>
      <c r="I14" s="1">
        <v>118</v>
      </c>
      <c r="J14" s="7">
        <v>1645074</v>
      </c>
      <c r="K14" s="7">
        <v>1645074</v>
      </c>
      <c r="L14" s="7">
        <v>1174639</v>
      </c>
      <c r="M14" s="7">
        <v>1174639</v>
      </c>
    </row>
    <row r="15" spans="1:17" ht="12.75" customHeight="1">
      <c r="A15" s="348" t="s">
        <v>368</v>
      </c>
      <c r="B15" s="348"/>
      <c r="C15" s="348"/>
      <c r="D15" s="348"/>
      <c r="E15" s="348"/>
      <c r="F15" s="348"/>
      <c r="G15" s="348"/>
      <c r="H15" s="348"/>
      <c r="I15" s="1">
        <v>119</v>
      </c>
      <c r="J15" s="7">
        <v>78103319</v>
      </c>
      <c r="K15" s="7">
        <v>78103319</v>
      </c>
      <c r="L15" s="7">
        <v>80169466</v>
      </c>
      <c r="M15" s="7">
        <v>80169466</v>
      </c>
    </row>
    <row r="16" spans="1:17">
      <c r="A16" s="367" t="s">
        <v>374</v>
      </c>
      <c r="B16" s="368"/>
      <c r="C16" s="368"/>
      <c r="D16" s="368"/>
      <c r="E16" s="368"/>
      <c r="F16" s="368"/>
      <c r="G16" s="368"/>
      <c r="H16" s="369"/>
      <c r="I16" s="1">
        <v>120</v>
      </c>
      <c r="J16" s="46">
        <f>SUM(J17:J19)</f>
        <v>8837568</v>
      </c>
      <c r="K16" s="46">
        <f>SUM(K17:K19)</f>
        <v>8837568</v>
      </c>
      <c r="L16" s="46">
        <f>SUM(L17:L19)</f>
        <v>8982618</v>
      </c>
      <c r="M16" s="46">
        <f>SUM(M17:M19)</f>
        <v>8982618</v>
      </c>
    </row>
    <row r="17" spans="1:13" ht="12.75" customHeight="1">
      <c r="A17" s="348" t="s">
        <v>369</v>
      </c>
      <c r="B17" s="348"/>
      <c r="C17" s="348"/>
      <c r="D17" s="348"/>
      <c r="E17" s="348"/>
      <c r="F17" s="348"/>
      <c r="G17" s="348"/>
      <c r="H17" s="348"/>
      <c r="I17" s="1">
        <v>121</v>
      </c>
      <c r="J17" s="7">
        <v>4713410</v>
      </c>
      <c r="K17" s="7">
        <v>4713410</v>
      </c>
      <c r="L17" s="7">
        <v>4853338</v>
      </c>
      <c r="M17" s="7">
        <v>4853338</v>
      </c>
    </row>
    <row r="18" spans="1:13" ht="12.75" customHeight="1">
      <c r="A18" s="348" t="s">
        <v>370</v>
      </c>
      <c r="B18" s="348"/>
      <c r="C18" s="348"/>
      <c r="D18" s="348"/>
      <c r="E18" s="348"/>
      <c r="F18" s="348"/>
      <c r="G18" s="348"/>
      <c r="H18" s="348"/>
      <c r="I18" s="1">
        <v>122</v>
      </c>
      <c r="J18" s="7">
        <v>2864832</v>
      </c>
      <c r="K18" s="7">
        <v>2864832</v>
      </c>
      <c r="L18" s="7">
        <v>2824812</v>
      </c>
      <c r="M18" s="7">
        <v>2824812</v>
      </c>
    </row>
    <row r="19" spans="1:13" ht="12.75" customHeight="1">
      <c r="A19" s="348" t="s">
        <v>371</v>
      </c>
      <c r="B19" s="348"/>
      <c r="C19" s="348"/>
      <c r="D19" s="348"/>
      <c r="E19" s="348"/>
      <c r="F19" s="348"/>
      <c r="G19" s="348"/>
      <c r="H19" s="348"/>
      <c r="I19" s="1">
        <v>123</v>
      </c>
      <c r="J19" s="7">
        <v>1259326</v>
      </c>
      <c r="K19" s="7">
        <v>1259326</v>
      </c>
      <c r="L19" s="7">
        <v>1304468</v>
      </c>
      <c r="M19" s="7">
        <v>1304468</v>
      </c>
    </row>
    <row r="20" spans="1:13">
      <c r="A20" s="367" t="s">
        <v>372</v>
      </c>
      <c r="B20" s="368"/>
      <c r="C20" s="368"/>
      <c r="D20" s="368"/>
      <c r="E20" s="368"/>
      <c r="F20" s="368"/>
      <c r="G20" s="368"/>
      <c r="H20" s="369"/>
      <c r="I20" s="1">
        <v>124</v>
      </c>
      <c r="J20" s="7">
        <v>12518709.9</v>
      </c>
      <c r="K20" s="7">
        <v>12518709.9</v>
      </c>
      <c r="L20" s="7">
        <v>13139376</v>
      </c>
      <c r="M20" s="7">
        <v>13139376</v>
      </c>
    </row>
    <row r="21" spans="1:13">
      <c r="A21" s="367" t="s">
        <v>373</v>
      </c>
      <c r="B21" s="368"/>
      <c r="C21" s="368"/>
      <c r="D21" s="368"/>
      <c r="E21" s="368"/>
      <c r="F21" s="368"/>
      <c r="G21" s="368"/>
      <c r="H21" s="369"/>
      <c r="I21" s="1">
        <v>125</v>
      </c>
      <c r="J21" s="7">
        <v>2538945</v>
      </c>
      <c r="K21" s="7">
        <v>2538945</v>
      </c>
      <c r="L21" s="7">
        <v>2517814</v>
      </c>
      <c r="M21" s="7">
        <v>2517814</v>
      </c>
    </row>
    <row r="22" spans="1:13">
      <c r="A22" s="367" t="s">
        <v>375</v>
      </c>
      <c r="B22" s="368"/>
      <c r="C22" s="368"/>
      <c r="D22" s="368"/>
      <c r="E22" s="368"/>
      <c r="F22" s="368"/>
      <c r="G22" s="368"/>
      <c r="H22" s="369"/>
      <c r="I22" s="1">
        <v>126</v>
      </c>
      <c r="J22" s="46">
        <f>SUM(J23:J24)</f>
        <v>2039273</v>
      </c>
      <c r="K22" s="46">
        <f>SUM(K23:K24)</f>
        <v>2039273</v>
      </c>
      <c r="L22" s="46">
        <f>SUM(L23:L24)</f>
        <v>3096343</v>
      </c>
      <c r="M22" s="46">
        <f>SUM(M23:M24)</f>
        <v>3096343</v>
      </c>
    </row>
    <row r="23" spans="1:13" ht="12.75" customHeight="1">
      <c r="A23" s="348" t="s">
        <v>376</v>
      </c>
      <c r="B23" s="348"/>
      <c r="C23" s="348"/>
      <c r="D23" s="348"/>
      <c r="E23" s="348"/>
      <c r="F23" s="348"/>
      <c r="G23" s="348"/>
      <c r="H23" s="348"/>
      <c r="I23" s="1">
        <v>127</v>
      </c>
      <c r="J23" s="7"/>
      <c r="K23" s="7">
        <v>0</v>
      </c>
      <c r="L23" s="7"/>
      <c r="M23" s="7"/>
    </row>
    <row r="24" spans="1:13" ht="12.75" customHeight="1">
      <c r="A24" s="348" t="s">
        <v>377</v>
      </c>
      <c r="B24" s="348"/>
      <c r="C24" s="348"/>
      <c r="D24" s="348"/>
      <c r="E24" s="348"/>
      <c r="F24" s="348"/>
      <c r="G24" s="348"/>
      <c r="H24" s="348"/>
      <c r="I24" s="1">
        <v>128</v>
      </c>
      <c r="J24" s="7">
        <v>2039273</v>
      </c>
      <c r="K24" s="7">
        <v>2039273</v>
      </c>
      <c r="L24" s="7">
        <v>3096343</v>
      </c>
      <c r="M24" s="7">
        <v>3096343</v>
      </c>
    </row>
    <row r="25" spans="1:13">
      <c r="A25" s="367" t="s">
        <v>378</v>
      </c>
      <c r="B25" s="368"/>
      <c r="C25" s="368"/>
      <c r="D25" s="368"/>
      <c r="E25" s="368"/>
      <c r="F25" s="368"/>
      <c r="G25" s="368"/>
      <c r="H25" s="369"/>
      <c r="I25" s="1">
        <v>129</v>
      </c>
      <c r="J25" s="7"/>
      <c r="K25" s="7">
        <v>0</v>
      </c>
      <c r="L25" s="7"/>
      <c r="M25" s="7"/>
    </row>
    <row r="26" spans="1:13">
      <c r="A26" s="367" t="s">
        <v>379</v>
      </c>
      <c r="B26" s="368"/>
      <c r="C26" s="368"/>
      <c r="D26" s="368"/>
      <c r="E26" s="368"/>
      <c r="F26" s="368"/>
      <c r="G26" s="368"/>
      <c r="H26" s="369"/>
      <c r="I26" s="1">
        <v>130</v>
      </c>
      <c r="J26" s="7">
        <v>0</v>
      </c>
      <c r="K26" s="7">
        <v>0</v>
      </c>
      <c r="L26" s="7"/>
      <c r="M26" s="7"/>
    </row>
    <row r="27" spans="1:13">
      <c r="A27" s="367" t="s">
        <v>380</v>
      </c>
      <c r="B27" s="368"/>
      <c r="C27" s="368"/>
      <c r="D27" s="368"/>
      <c r="E27" s="368"/>
      <c r="F27" s="368"/>
      <c r="G27" s="368"/>
      <c r="H27" s="369"/>
      <c r="I27" s="1">
        <v>131</v>
      </c>
      <c r="J27" s="46">
        <f>SUM(J28:J32)</f>
        <v>2101815</v>
      </c>
      <c r="K27" s="46">
        <f>SUM(K28:K32)</f>
        <v>2101815</v>
      </c>
      <c r="L27" s="46">
        <f>SUM(L28:L32)</f>
        <v>1947333</v>
      </c>
      <c r="M27" s="46">
        <f>SUM(M28:M32)</f>
        <v>1947333</v>
      </c>
    </row>
    <row r="28" spans="1:13" ht="27.75" customHeight="1">
      <c r="A28" s="367" t="s">
        <v>381</v>
      </c>
      <c r="B28" s="368"/>
      <c r="C28" s="368"/>
      <c r="D28" s="368"/>
      <c r="E28" s="368"/>
      <c r="F28" s="368"/>
      <c r="G28" s="368"/>
      <c r="H28" s="369"/>
      <c r="I28" s="1">
        <v>132</v>
      </c>
      <c r="J28" s="7">
        <v>500590</v>
      </c>
      <c r="K28" s="7">
        <v>500590</v>
      </c>
      <c r="L28" s="7">
        <v>284383</v>
      </c>
      <c r="M28" s="7">
        <v>284383</v>
      </c>
    </row>
    <row r="29" spans="1:13" ht="26.25" customHeight="1">
      <c r="A29" s="367" t="s">
        <v>313</v>
      </c>
      <c r="B29" s="368"/>
      <c r="C29" s="368"/>
      <c r="D29" s="368"/>
      <c r="E29" s="368"/>
      <c r="F29" s="368"/>
      <c r="G29" s="368"/>
      <c r="H29" s="369"/>
      <c r="I29" s="1">
        <v>133</v>
      </c>
      <c r="J29" s="7">
        <v>1601225</v>
      </c>
      <c r="K29" s="7">
        <v>1601225</v>
      </c>
      <c r="L29" s="7">
        <v>1662950</v>
      </c>
      <c r="M29" s="7">
        <v>1662950</v>
      </c>
    </row>
    <row r="30" spans="1:13">
      <c r="A30" s="367" t="s">
        <v>314</v>
      </c>
      <c r="B30" s="368"/>
      <c r="C30" s="368"/>
      <c r="D30" s="368"/>
      <c r="E30" s="368"/>
      <c r="F30" s="368"/>
      <c r="G30" s="368"/>
      <c r="H30" s="369"/>
      <c r="I30" s="1">
        <v>134</v>
      </c>
      <c r="J30" s="7"/>
      <c r="K30" s="7"/>
      <c r="L30" s="7"/>
      <c r="M30" s="7"/>
    </row>
    <row r="31" spans="1:13">
      <c r="A31" s="367" t="s">
        <v>315</v>
      </c>
      <c r="B31" s="368"/>
      <c r="C31" s="368"/>
      <c r="D31" s="368"/>
      <c r="E31" s="368"/>
      <c r="F31" s="368"/>
      <c r="G31" s="368"/>
      <c r="H31" s="369"/>
      <c r="I31" s="1">
        <v>135</v>
      </c>
      <c r="J31" s="7"/>
      <c r="K31" s="7"/>
      <c r="L31" s="7"/>
      <c r="M31" s="7"/>
    </row>
    <row r="32" spans="1:13">
      <c r="A32" s="367" t="s">
        <v>316</v>
      </c>
      <c r="B32" s="368"/>
      <c r="C32" s="368"/>
      <c r="D32" s="368"/>
      <c r="E32" s="368"/>
      <c r="F32" s="368"/>
      <c r="G32" s="368"/>
      <c r="H32" s="369"/>
      <c r="I32" s="1">
        <v>136</v>
      </c>
      <c r="J32" s="7"/>
      <c r="K32" s="7"/>
      <c r="L32" s="7"/>
      <c r="M32" s="7"/>
    </row>
    <row r="33" spans="1:13">
      <c r="A33" s="367" t="s">
        <v>317</v>
      </c>
      <c r="B33" s="368"/>
      <c r="C33" s="368"/>
      <c r="D33" s="368"/>
      <c r="E33" s="368"/>
      <c r="F33" s="368"/>
      <c r="G33" s="368"/>
      <c r="H33" s="369"/>
      <c r="I33" s="1">
        <v>137</v>
      </c>
      <c r="J33" s="46">
        <f>SUM(J34:J37)</f>
        <v>23136060</v>
      </c>
      <c r="K33" s="46">
        <f>SUM(K34:K37)</f>
        <v>23136060</v>
      </c>
      <c r="L33" s="46">
        <f>SUM(L34:L37)</f>
        <v>18284075</v>
      </c>
      <c r="M33" s="46">
        <f>SUM(M34:M37)</f>
        <v>18284075</v>
      </c>
    </row>
    <row r="34" spans="1:13" ht="27.75" customHeight="1">
      <c r="A34" s="367" t="s">
        <v>318</v>
      </c>
      <c r="B34" s="368"/>
      <c r="C34" s="368"/>
      <c r="D34" s="368"/>
      <c r="E34" s="368"/>
      <c r="F34" s="368"/>
      <c r="G34" s="368"/>
      <c r="H34" s="369"/>
      <c r="I34" s="1">
        <v>138</v>
      </c>
      <c r="J34" s="7"/>
      <c r="K34" s="7"/>
      <c r="L34" s="7"/>
      <c r="M34" s="7"/>
    </row>
    <row r="35" spans="1:13" ht="25.5" customHeight="1">
      <c r="A35" s="367" t="s">
        <v>319</v>
      </c>
      <c r="B35" s="368"/>
      <c r="C35" s="368"/>
      <c r="D35" s="368"/>
      <c r="E35" s="368"/>
      <c r="F35" s="368"/>
      <c r="G35" s="368"/>
      <c r="H35" s="369"/>
      <c r="I35" s="1">
        <v>139</v>
      </c>
      <c r="J35" s="7">
        <v>23136060</v>
      </c>
      <c r="K35" s="7">
        <v>23136060</v>
      </c>
      <c r="L35" s="7">
        <v>18284075</v>
      </c>
      <c r="M35" s="7">
        <v>18284075</v>
      </c>
    </row>
    <row r="36" spans="1:13">
      <c r="A36" s="367" t="s">
        <v>320</v>
      </c>
      <c r="B36" s="368"/>
      <c r="C36" s="368"/>
      <c r="D36" s="368"/>
      <c r="E36" s="368"/>
      <c r="F36" s="368"/>
      <c r="G36" s="368"/>
      <c r="H36" s="369"/>
      <c r="I36" s="1">
        <v>140</v>
      </c>
      <c r="J36" s="7"/>
      <c r="K36" s="7"/>
      <c r="L36" s="7"/>
      <c r="M36" s="7"/>
    </row>
    <row r="37" spans="1:13">
      <c r="A37" s="367" t="s">
        <v>321</v>
      </c>
      <c r="B37" s="368"/>
      <c r="C37" s="368"/>
      <c r="D37" s="368"/>
      <c r="E37" s="368"/>
      <c r="F37" s="368"/>
      <c r="G37" s="368"/>
      <c r="H37" s="369"/>
      <c r="I37" s="1">
        <v>141</v>
      </c>
      <c r="J37" s="7"/>
      <c r="K37" s="7"/>
      <c r="L37" s="7"/>
      <c r="M37" s="7"/>
    </row>
    <row r="38" spans="1:13">
      <c r="A38" s="367" t="s">
        <v>322</v>
      </c>
      <c r="B38" s="368"/>
      <c r="C38" s="368"/>
      <c r="D38" s="368"/>
      <c r="E38" s="368"/>
      <c r="F38" s="368"/>
      <c r="G38" s="368"/>
      <c r="H38" s="369"/>
      <c r="I38" s="1">
        <v>142</v>
      </c>
      <c r="J38" s="7"/>
      <c r="K38" s="7"/>
      <c r="L38" s="7"/>
      <c r="M38" s="7"/>
    </row>
    <row r="39" spans="1:13">
      <c r="A39" s="367" t="s">
        <v>323</v>
      </c>
      <c r="B39" s="368"/>
      <c r="C39" s="368"/>
      <c r="D39" s="368"/>
      <c r="E39" s="368"/>
      <c r="F39" s="368"/>
      <c r="G39" s="368"/>
      <c r="H39" s="369"/>
      <c r="I39" s="1">
        <v>143</v>
      </c>
      <c r="J39" s="7"/>
      <c r="K39" s="7"/>
      <c r="L39" s="7"/>
      <c r="M39" s="7"/>
    </row>
    <row r="40" spans="1:13">
      <c r="A40" s="367" t="s">
        <v>363</v>
      </c>
      <c r="B40" s="368"/>
      <c r="C40" s="368"/>
      <c r="D40" s="368"/>
      <c r="E40" s="368"/>
      <c r="F40" s="368"/>
      <c r="G40" s="368"/>
      <c r="H40" s="369"/>
      <c r="I40" s="1">
        <v>144</v>
      </c>
      <c r="J40" s="7"/>
      <c r="K40" s="7"/>
      <c r="L40" s="7"/>
      <c r="M40" s="7"/>
    </row>
    <row r="41" spans="1:13">
      <c r="A41" s="367" t="s">
        <v>362</v>
      </c>
      <c r="B41" s="368"/>
      <c r="C41" s="368"/>
      <c r="D41" s="368"/>
      <c r="E41" s="368"/>
      <c r="F41" s="368"/>
      <c r="G41" s="368"/>
      <c r="H41" s="369"/>
      <c r="I41" s="1">
        <v>145</v>
      </c>
      <c r="J41" s="7"/>
      <c r="K41" s="7"/>
      <c r="L41" s="7"/>
      <c r="M41" s="7"/>
    </row>
    <row r="42" spans="1:13">
      <c r="A42" s="367" t="s">
        <v>361</v>
      </c>
      <c r="B42" s="368"/>
      <c r="C42" s="368"/>
      <c r="D42" s="368"/>
      <c r="E42" s="368"/>
      <c r="F42" s="368"/>
      <c r="G42" s="368"/>
      <c r="H42" s="369"/>
      <c r="I42" s="1">
        <v>146</v>
      </c>
      <c r="J42" s="46">
        <f>J7+J27+J38+J40</f>
        <v>108888608</v>
      </c>
      <c r="K42" s="46">
        <f>K7+K27+K38+K40</f>
        <v>108888608</v>
      </c>
      <c r="L42" s="46">
        <f>L7+L27+L38+L40</f>
        <v>113243920</v>
      </c>
      <c r="M42" s="46">
        <f>M7+M27+M38+M40</f>
        <v>113243920</v>
      </c>
    </row>
    <row r="43" spans="1:13">
      <c r="A43" s="367" t="s">
        <v>360</v>
      </c>
      <c r="B43" s="368"/>
      <c r="C43" s="368"/>
      <c r="D43" s="368"/>
      <c r="E43" s="368"/>
      <c r="F43" s="368"/>
      <c r="G43" s="368"/>
      <c r="H43" s="369"/>
      <c r="I43" s="1">
        <v>147</v>
      </c>
      <c r="J43" s="46">
        <f>J10+J33+J39+J41</f>
        <v>129180003.07000001</v>
      </c>
      <c r="K43" s="46">
        <f>K10+K33+K39+K41</f>
        <v>129180003.07000001</v>
      </c>
      <c r="L43" s="46">
        <f>L10+L33+L39+L41</f>
        <v>127798710</v>
      </c>
      <c r="M43" s="46">
        <f>M10+M33+M39+M41</f>
        <v>127798710</v>
      </c>
    </row>
    <row r="44" spans="1:13">
      <c r="A44" s="367" t="s">
        <v>357</v>
      </c>
      <c r="B44" s="368"/>
      <c r="C44" s="368"/>
      <c r="D44" s="368"/>
      <c r="E44" s="368"/>
      <c r="F44" s="368"/>
      <c r="G44" s="368"/>
      <c r="H44" s="369"/>
      <c r="I44" s="1">
        <v>148</v>
      </c>
      <c r="J44" s="46">
        <f>J42-J43</f>
        <v>-20291395.070000008</v>
      </c>
      <c r="K44" s="46">
        <f>K42-K43</f>
        <v>-20291395.070000008</v>
      </c>
      <c r="L44" s="46">
        <f>L42-L43</f>
        <v>-14554790</v>
      </c>
      <c r="M44" s="46">
        <f>M42-M43</f>
        <v>-14554790</v>
      </c>
    </row>
    <row r="45" spans="1:13">
      <c r="A45" s="375" t="s">
        <v>359</v>
      </c>
      <c r="B45" s="376"/>
      <c r="C45" s="376"/>
      <c r="D45" s="376"/>
      <c r="E45" s="376"/>
      <c r="F45" s="376"/>
      <c r="G45" s="376"/>
      <c r="H45" s="377"/>
      <c r="I45" s="1">
        <v>149</v>
      </c>
      <c r="J45" s="46">
        <f>IF(J42&gt;J43,J42-J43,0)</f>
        <v>0</v>
      </c>
      <c r="K45" s="46">
        <f>IF(K42&gt;K43,K42-K43,0)</f>
        <v>0</v>
      </c>
      <c r="L45" s="46">
        <f>IF(L42&gt;L43,L42-L43,0)</f>
        <v>0</v>
      </c>
      <c r="M45" s="46">
        <f>IF(M42&gt;M43,M42-M43,0)</f>
        <v>0</v>
      </c>
    </row>
    <row r="46" spans="1:13">
      <c r="A46" s="375" t="s">
        <v>358</v>
      </c>
      <c r="B46" s="376"/>
      <c r="C46" s="376"/>
      <c r="D46" s="376"/>
      <c r="E46" s="376"/>
      <c r="F46" s="376"/>
      <c r="G46" s="376"/>
      <c r="H46" s="377"/>
      <c r="I46" s="1">
        <v>150</v>
      </c>
      <c r="J46" s="46">
        <f>IF(J43&gt;J42,J43-J42,0)</f>
        <v>20291395.070000008</v>
      </c>
      <c r="K46" s="46">
        <f>IF(K43&gt;K42,K43-K42,0)</f>
        <v>20291395.070000008</v>
      </c>
      <c r="L46" s="46">
        <f>IF(L43&gt;L42,L43-L42,0)</f>
        <v>14554790</v>
      </c>
      <c r="M46" s="46">
        <f>IF(M43&gt;M42,M43-M42,0)</f>
        <v>14554790</v>
      </c>
    </row>
    <row r="47" spans="1:13">
      <c r="A47" s="367" t="s">
        <v>356</v>
      </c>
      <c r="B47" s="368"/>
      <c r="C47" s="368"/>
      <c r="D47" s="368"/>
      <c r="E47" s="368"/>
      <c r="F47" s="368"/>
      <c r="G47" s="368"/>
      <c r="H47" s="369"/>
      <c r="I47" s="1">
        <v>151</v>
      </c>
      <c r="J47" s="7"/>
      <c r="K47" s="7"/>
      <c r="L47" s="7"/>
      <c r="M47" s="7"/>
    </row>
    <row r="48" spans="1:13">
      <c r="A48" s="367" t="s">
        <v>329</v>
      </c>
      <c r="B48" s="368"/>
      <c r="C48" s="368"/>
      <c r="D48" s="368"/>
      <c r="E48" s="368"/>
      <c r="F48" s="368"/>
      <c r="G48" s="368"/>
      <c r="H48" s="369"/>
      <c r="I48" s="1">
        <v>152</v>
      </c>
      <c r="J48" s="46">
        <f>J44-J47</f>
        <v>-20291395.070000008</v>
      </c>
      <c r="K48" s="46">
        <f>K44-K47</f>
        <v>-20291395.070000008</v>
      </c>
      <c r="L48" s="46">
        <f>L44-L47</f>
        <v>-14554790</v>
      </c>
      <c r="M48" s="46">
        <f>M44-M47</f>
        <v>-14554790</v>
      </c>
    </row>
    <row r="49" spans="1:13">
      <c r="A49" s="375" t="s">
        <v>330</v>
      </c>
      <c r="B49" s="376"/>
      <c r="C49" s="376"/>
      <c r="D49" s="376"/>
      <c r="E49" s="376"/>
      <c r="F49" s="376"/>
      <c r="G49" s="376"/>
      <c r="H49" s="377"/>
      <c r="I49" s="1">
        <v>153</v>
      </c>
      <c r="J49" s="46">
        <f>IF(J48&gt;0,J48,0)</f>
        <v>0</v>
      </c>
      <c r="K49" s="46">
        <f>IF(K48&gt;0,K48,0)</f>
        <v>0</v>
      </c>
      <c r="L49" s="46">
        <f>IF(L48&gt;0,L48,0)</f>
        <v>0</v>
      </c>
      <c r="M49" s="46">
        <f>IF(M48&gt;0,M48,0)</f>
        <v>0</v>
      </c>
    </row>
    <row r="50" spans="1:13">
      <c r="A50" s="407" t="s">
        <v>331</v>
      </c>
      <c r="B50" s="408"/>
      <c r="C50" s="408"/>
      <c r="D50" s="408"/>
      <c r="E50" s="408"/>
      <c r="F50" s="408"/>
      <c r="G50" s="408"/>
      <c r="H50" s="409"/>
      <c r="I50" s="2">
        <v>154</v>
      </c>
      <c r="J50" s="52">
        <f>IF(J48&lt;0,-J48,0)</f>
        <v>20291395.070000008</v>
      </c>
      <c r="K50" s="52">
        <f>IF(K48&lt;0,-K48,0)</f>
        <v>20291395.070000008</v>
      </c>
      <c r="L50" s="52">
        <f>IF(L48&lt;0,-L48,0)</f>
        <v>14554790</v>
      </c>
      <c r="M50" s="52">
        <f>IF(M48&lt;0,-M48,0)</f>
        <v>14554790</v>
      </c>
    </row>
    <row r="51" spans="1:13" ht="12.75" customHeight="1">
      <c r="A51" s="355" t="s">
        <v>355</v>
      </c>
      <c r="B51" s="356"/>
      <c r="C51" s="356"/>
      <c r="D51" s="356"/>
      <c r="E51" s="356"/>
      <c r="F51" s="356"/>
      <c r="G51" s="356"/>
      <c r="H51" s="356"/>
      <c r="I51" s="356"/>
      <c r="J51" s="356"/>
      <c r="K51" s="356"/>
      <c r="L51" s="356"/>
      <c r="M51" s="356"/>
    </row>
    <row r="52" spans="1:13" ht="12.75" customHeight="1">
      <c r="A52" s="359" t="s">
        <v>332</v>
      </c>
      <c r="B52" s="360"/>
      <c r="C52" s="360"/>
      <c r="D52" s="360"/>
      <c r="E52" s="360"/>
      <c r="F52" s="360"/>
      <c r="G52" s="360"/>
      <c r="H52" s="360"/>
      <c r="I52" s="48"/>
      <c r="J52" s="273"/>
      <c r="K52" s="273"/>
      <c r="L52" s="273"/>
      <c r="M52" s="53"/>
    </row>
    <row r="53" spans="1:13" ht="12.75" customHeight="1">
      <c r="A53" s="404" t="s">
        <v>343</v>
      </c>
      <c r="B53" s="405"/>
      <c r="C53" s="405"/>
      <c r="D53" s="405"/>
      <c r="E53" s="405"/>
      <c r="F53" s="405"/>
      <c r="G53" s="405"/>
      <c r="H53" s="406"/>
      <c r="I53" s="1">
        <v>155</v>
      </c>
      <c r="J53" s="7"/>
      <c r="K53" s="7"/>
      <c r="L53" s="7"/>
      <c r="M53" s="7"/>
    </row>
    <row r="54" spans="1:13" ht="12.75" customHeight="1">
      <c r="A54" s="397" t="s">
        <v>342</v>
      </c>
      <c r="B54" s="398"/>
      <c r="C54" s="398"/>
      <c r="D54" s="398"/>
      <c r="E54" s="398"/>
      <c r="F54" s="398"/>
      <c r="G54" s="398"/>
      <c r="H54" s="399"/>
      <c r="I54" s="1">
        <v>156</v>
      </c>
      <c r="J54" s="8"/>
      <c r="K54" s="8"/>
      <c r="L54" s="8"/>
      <c r="M54" s="8"/>
    </row>
    <row r="55" spans="1:13" ht="12.75" customHeight="1">
      <c r="A55" s="355" t="s">
        <v>324</v>
      </c>
      <c r="B55" s="356"/>
      <c r="C55" s="356"/>
      <c r="D55" s="356"/>
      <c r="E55" s="356"/>
      <c r="F55" s="356"/>
      <c r="G55" s="356"/>
      <c r="H55" s="356"/>
      <c r="I55" s="356"/>
      <c r="J55" s="356"/>
      <c r="K55" s="356"/>
      <c r="L55" s="356"/>
      <c r="M55" s="356"/>
    </row>
    <row r="56" spans="1:13">
      <c r="A56" s="359" t="s">
        <v>333</v>
      </c>
      <c r="B56" s="360"/>
      <c r="C56" s="360"/>
      <c r="D56" s="360"/>
      <c r="E56" s="360"/>
      <c r="F56" s="360"/>
      <c r="G56" s="360"/>
      <c r="H56" s="383"/>
      <c r="I56" s="9">
        <v>157</v>
      </c>
      <c r="J56" s="6">
        <v>-20291395.070000008</v>
      </c>
      <c r="K56" s="6">
        <v>-20291395.070000008</v>
      </c>
      <c r="L56" s="6">
        <v>-14554790</v>
      </c>
      <c r="M56" s="6">
        <v>-14554790</v>
      </c>
    </row>
    <row r="57" spans="1:13">
      <c r="A57" s="367" t="s">
        <v>325</v>
      </c>
      <c r="B57" s="368"/>
      <c r="C57" s="368"/>
      <c r="D57" s="368"/>
      <c r="E57" s="368"/>
      <c r="F57" s="368"/>
      <c r="G57" s="368"/>
      <c r="H57" s="369"/>
      <c r="I57" s="1">
        <v>158</v>
      </c>
      <c r="J57" s="46">
        <f>SUM(J58:J64)</f>
        <v>0</v>
      </c>
      <c r="K57" s="46">
        <f>SUM(K58:K64)</f>
        <v>0</v>
      </c>
      <c r="L57" s="46">
        <f>SUM(L58:L64)</f>
        <v>0</v>
      </c>
      <c r="M57" s="46">
        <f>SUM(M58:M64)</f>
        <v>0</v>
      </c>
    </row>
    <row r="58" spans="1:13">
      <c r="A58" s="367" t="s">
        <v>327</v>
      </c>
      <c r="B58" s="368"/>
      <c r="C58" s="368"/>
      <c r="D58" s="368"/>
      <c r="E58" s="368"/>
      <c r="F58" s="368"/>
      <c r="G58" s="368"/>
      <c r="H58" s="369"/>
      <c r="I58" s="1">
        <v>159</v>
      </c>
      <c r="J58" s="7">
        <v>0</v>
      </c>
      <c r="K58" s="7">
        <v>0</v>
      </c>
      <c r="L58" s="7">
        <v>0</v>
      </c>
      <c r="M58" s="7">
        <v>0</v>
      </c>
    </row>
    <row r="59" spans="1:13">
      <c r="A59" s="367" t="s">
        <v>334</v>
      </c>
      <c r="B59" s="368"/>
      <c r="C59" s="368"/>
      <c r="D59" s="368"/>
      <c r="E59" s="368"/>
      <c r="F59" s="368"/>
      <c r="G59" s="368"/>
      <c r="H59" s="369"/>
      <c r="I59" s="1">
        <v>160</v>
      </c>
      <c r="J59" s="7">
        <v>0</v>
      </c>
      <c r="K59" s="7">
        <v>0</v>
      </c>
      <c r="L59" s="7">
        <v>0</v>
      </c>
      <c r="M59" s="7">
        <v>0</v>
      </c>
    </row>
    <row r="60" spans="1:13">
      <c r="A60" s="367" t="s">
        <v>335</v>
      </c>
      <c r="B60" s="368"/>
      <c r="C60" s="368"/>
      <c r="D60" s="368"/>
      <c r="E60" s="368"/>
      <c r="F60" s="368"/>
      <c r="G60" s="368"/>
      <c r="H60" s="369"/>
      <c r="I60" s="1">
        <v>161</v>
      </c>
      <c r="J60" s="7">
        <v>0</v>
      </c>
      <c r="K60" s="7">
        <v>0</v>
      </c>
      <c r="L60" s="7">
        <v>0</v>
      </c>
      <c r="M60" s="7">
        <v>0</v>
      </c>
    </row>
    <row r="61" spans="1:13">
      <c r="A61" s="367" t="s">
        <v>336</v>
      </c>
      <c r="B61" s="368"/>
      <c r="C61" s="368"/>
      <c r="D61" s="368"/>
      <c r="E61" s="368"/>
      <c r="F61" s="368"/>
      <c r="G61" s="368"/>
      <c r="H61" s="369"/>
      <c r="I61" s="1">
        <v>162</v>
      </c>
      <c r="J61" s="7">
        <v>0</v>
      </c>
      <c r="K61" s="7">
        <v>0</v>
      </c>
      <c r="L61" s="7">
        <v>0</v>
      </c>
      <c r="M61" s="7">
        <v>0</v>
      </c>
    </row>
    <row r="62" spans="1:13">
      <c r="A62" s="367" t="s">
        <v>337</v>
      </c>
      <c r="B62" s="368"/>
      <c r="C62" s="368"/>
      <c r="D62" s="368"/>
      <c r="E62" s="368"/>
      <c r="F62" s="368"/>
      <c r="G62" s="368"/>
      <c r="H62" s="369"/>
      <c r="I62" s="1">
        <v>163</v>
      </c>
      <c r="J62" s="7">
        <v>0</v>
      </c>
      <c r="K62" s="7">
        <v>0</v>
      </c>
      <c r="L62" s="7">
        <v>0</v>
      </c>
      <c r="M62" s="7">
        <v>0</v>
      </c>
    </row>
    <row r="63" spans="1:13">
      <c r="A63" s="367" t="s">
        <v>338</v>
      </c>
      <c r="B63" s="368"/>
      <c r="C63" s="368"/>
      <c r="D63" s="368"/>
      <c r="E63" s="368"/>
      <c r="F63" s="368"/>
      <c r="G63" s="368"/>
      <c r="H63" s="369"/>
      <c r="I63" s="1">
        <v>164</v>
      </c>
      <c r="J63" s="7">
        <v>0</v>
      </c>
      <c r="K63" s="7">
        <v>0</v>
      </c>
      <c r="L63" s="7">
        <v>0</v>
      </c>
      <c r="M63" s="7">
        <v>0</v>
      </c>
    </row>
    <row r="64" spans="1:13">
      <c r="A64" s="367" t="s">
        <v>339</v>
      </c>
      <c r="B64" s="368"/>
      <c r="C64" s="368"/>
      <c r="D64" s="368"/>
      <c r="E64" s="368"/>
      <c r="F64" s="368"/>
      <c r="G64" s="368"/>
      <c r="H64" s="369"/>
      <c r="I64" s="1">
        <v>165</v>
      </c>
      <c r="J64" s="7">
        <v>0</v>
      </c>
      <c r="K64" s="7">
        <v>0</v>
      </c>
      <c r="L64" s="7">
        <v>0</v>
      </c>
      <c r="M64" s="7">
        <v>0</v>
      </c>
    </row>
    <row r="65" spans="1:13">
      <c r="A65" s="367" t="s">
        <v>326</v>
      </c>
      <c r="B65" s="368"/>
      <c r="C65" s="368"/>
      <c r="D65" s="368"/>
      <c r="E65" s="368"/>
      <c r="F65" s="368"/>
      <c r="G65" s="368"/>
      <c r="H65" s="369"/>
      <c r="I65" s="1">
        <v>166</v>
      </c>
      <c r="J65" s="7">
        <v>0</v>
      </c>
      <c r="K65" s="7">
        <v>0</v>
      </c>
      <c r="L65" s="7">
        <v>0</v>
      </c>
      <c r="M65" s="7">
        <v>0</v>
      </c>
    </row>
    <row r="66" spans="1:13">
      <c r="A66" s="367" t="s">
        <v>340</v>
      </c>
      <c r="B66" s="368"/>
      <c r="C66" s="368"/>
      <c r="D66" s="368"/>
      <c r="E66" s="368"/>
      <c r="F66" s="368"/>
      <c r="G66" s="368"/>
      <c r="H66" s="369"/>
      <c r="I66" s="1">
        <v>167</v>
      </c>
      <c r="J66" s="46">
        <f>J57-J65</f>
        <v>0</v>
      </c>
      <c r="K66" s="46">
        <f>K57-K65</f>
        <v>0</v>
      </c>
      <c r="L66" s="46">
        <f>L57-L65</f>
        <v>0</v>
      </c>
      <c r="M66" s="46">
        <f>M57-M65</f>
        <v>0</v>
      </c>
    </row>
    <row r="67" spans="1:13">
      <c r="A67" s="367" t="s">
        <v>341</v>
      </c>
      <c r="B67" s="368"/>
      <c r="C67" s="368"/>
      <c r="D67" s="368"/>
      <c r="E67" s="368"/>
      <c r="F67" s="368"/>
      <c r="G67" s="368"/>
      <c r="H67" s="369"/>
      <c r="I67" s="1">
        <v>168</v>
      </c>
      <c r="J67" s="52">
        <f>J56+J66</f>
        <v>-20291395.070000008</v>
      </c>
      <c r="K67" s="52">
        <f>K56+K66</f>
        <v>-20291395.070000008</v>
      </c>
      <c r="L67" s="52">
        <f>L56+L66</f>
        <v>-14554790</v>
      </c>
      <c r="M67" s="52">
        <f>M56+M66</f>
        <v>-14554790</v>
      </c>
    </row>
    <row r="68" spans="1:13" ht="12.75" customHeight="1">
      <c r="A68" s="400" t="s">
        <v>279</v>
      </c>
      <c r="B68" s="401"/>
      <c r="C68" s="401"/>
      <c r="D68" s="401"/>
      <c r="E68" s="401"/>
      <c r="F68" s="401"/>
      <c r="G68" s="401"/>
      <c r="H68" s="401"/>
      <c r="I68" s="401"/>
      <c r="J68" s="401"/>
      <c r="K68" s="401"/>
      <c r="L68" s="401"/>
      <c r="M68" s="401"/>
    </row>
    <row r="69" spans="1:13" ht="12.75" customHeight="1">
      <c r="A69" s="402" t="s">
        <v>328</v>
      </c>
      <c r="B69" s="403"/>
      <c r="C69" s="403"/>
      <c r="D69" s="403"/>
      <c r="E69" s="403"/>
      <c r="F69" s="403"/>
      <c r="G69" s="403"/>
      <c r="H69" s="403"/>
      <c r="I69" s="403"/>
      <c r="J69" s="403"/>
      <c r="K69" s="403"/>
      <c r="L69" s="403"/>
      <c r="M69" s="403"/>
    </row>
    <row r="70" spans="1:13">
      <c r="A70" s="404" t="s">
        <v>343</v>
      </c>
      <c r="B70" s="405"/>
      <c r="C70" s="405"/>
      <c r="D70" s="405"/>
      <c r="E70" s="405"/>
      <c r="F70" s="405"/>
      <c r="G70" s="405"/>
      <c r="H70" s="406"/>
      <c r="I70" s="1">
        <v>169</v>
      </c>
      <c r="J70" s="7"/>
      <c r="K70" s="7"/>
      <c r="L70" s="7"/>
      <c r="M70" s="7"/>
    </row>
    <row r="71" spans="1:13">
      <c r="A71" s="397" t="s">
        <v>342</v>
      </c>
      <c r="B71" s="398"/>
      <c r="C71" s="398"/>
      <c r="D71" s="398"/>
      <c r="E71" s="398"/>
      <c r="F71" s="398"/>
      <c r="G71" s="398"/>
      <c r="H71" s="399"/>
      <c r="I71" s="4">
        <v>170</v>
      </c>
      <c r="J71" s="8"/>
      <c r="K71" s="8"/>
      <c r="L71" s="8"/>
      <c r="M71" s="8"/>
    </row>
  </sheetData>
  <sheetCalcPr fullCalcOnLoad="1"/>
  <mergeCells count="73">
    <mergeCell ref="A3:M3"/>
    <mergeCell ref="A4:H4"/>
    <mergeCell ref="A6:H6"/>
    <mergeCell ref="A7:H7"/>
    <mergeCell ref="A8:H8"/>
    <mergeCell ref="A9:H9"/>
    <mergeCell ref="J4:K4"/>
    <mergeCell ref="L4:M4"/>
    <mergeCell ref="A5:H5"/>
    <mergeCell ref="A14:H14"/>
    <mergeCell ref="A15:H15"/>
    <mergeCell ref="A16:H16"/>
    <mergeCell ref="A17:H17"/>
    <mergeCell ref="A10:H10"/>
    <mergeCell ref="A11:H11"/>
    <mergeCell ref="A12:H12"/>
    <mergeCell ref="A13:H13"/>
    <mergeCell ref="A22:H22"/>
    <mergeCell ref="A23:H23"/>
    <mergeCell ref="A24:H24"/>
    <mergeCell ref="A25:H25"/>
    <mergeCell ref="A18:H18"/>
    <mergeCell ref="A19:H19"/>
    <mergeCell ref="A20:H20"/>
    <mergeCell ref="A21:H21"/>
    <mergeCell ref="A30:H30"/>
    <mergeCell ref="A31:H31"/>
    <mergeCell ref="A32:H32"/>
    <mergeCell ref="A33:H33"/>
    <mergeCell ref="A26:H26"/>
    <mergeCell ref="A27:H27"/>
    <mergeCell ref="A28:H28"/>
    <mergeCell ref="A29:H29"/>
    <mergeCell ref="A38:H38"/>
    <mergeCell ref="A39:H39"/>
    <mergeCell ref="A40:H40"/>
    <mergeCell ref="A41:H41"/>
    <mergeCell ref="A34:H34"/>
    <mergeCell ref="A35:H35"/>
    <mergeCell ref="A36:H36"/>
    <mergeCell ref="A37:H37"/>
    <mergeCell ref="A46:H46"/>
    <mergeCell ref="A47:H47"/>
    <mergeCell ref="A48:H48"/>
    <mergeCell ref="A49:H49"/>
    <mergeCell ref="A42:H42"/>
    <mergeCell ref="A43:H43"/>
    <mergeCell ref="A44:H44"/>
    <mergeCell ref="A45:H45"/>
    <mergeCell ref="A54:H54"/>
    <mergeCell ref="A56:H56"/>
    <mergeCell ref="A55:M55"/>
    <mergeCell ref="A57:H57"/>
    <mergeCell ref="A50:H50"/>
    <mergeCell ref="A51:M51"/>
    <mergeCell ref="A52:H52"/>
    <mergeCell ref="A53:H53"/>
    <mergeCell ref="A2:M2"/>
    <mergeCell ref="A1:M1"/>
    <mergeCell ref="A71:H71"/>
    <mergeCell ref="A65:H65"/>
    <mergeCell ref="A66:H66"/>
    <mergeCell ref="A67:H67"/>
    <mergeCell ref="A68:M68"/>
    <mergeCell ref="A69:M69"/>
    <mergeCell ref="A62:H62"/>
    <mergeCell ref="A63:H63"/>
    <mergeCell ref="A64:H64"/>
    <mergeCell ref="A70:H70"/>
    <mergeCell ref="A58:H58"/>
    <mergeCell ref="A59:H59"/>
    <mergeCell ref="A60:H60"/>
    <mergeCell ref="A61:H61"/>
  </mergeCells>
  <phoneticPr fontId="6" type="noConversion"/>
  <dataValidations count="3">
    <dataValidation type="whole" operator="notEqual" allowBlank="1" showInputMessage="1" showErrorMessage="1" errorTitle="Pogrešan unos" error="Mogu se unijeti samo cjelobrojne vrijednosti." sqref="J47:L47 J70:L71 J53:L54 J56:J67 K56:L56 K57:M67">
      <formula1>999999999999</formula1>
    </dataValidation>
    <dataValidation type="whole" operator="notEqual" allowBlank="1" showInputMessage="1" showErrorMessage="1" errorTitle="Pogrešan unos" error="Mogu se unijeti samo cjelobrojne pozitivne ili negativne vrijednosti." sqref="J11:L11">
      <formula1>999999999999</formula1>
    </dataValidation>
    <dataValidation type="whole" operator="greaterThanOrEqual" allowBlank="1" showInputMessage="1" showErrorMessage="1" errorTitle="Pogrešan unos" error="Mogu se unijeti samo cjelobrojne pozitivne vrijednosti." sqref="K42:M46 J48:M50 J16:J46 J10:M10 J8:K9 K16:M16 J13:K15 K22:M22 K17:K21 K27:M27 L25:L26 K33:M33 L30:L32 J7:M7 J12:M12 K23:K26 L23 K28:K32 K34:K41 L34 L36:L41">
      <formula1>0</formula1>
    </dataValidation>
  </dataValidations>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codeName="Sheet4" enableFormatConditionsCalculation="0"/>
  <dimension ref="A1:L52"/>
  <sheetViews>
    <sheetView view="pageBreakPreview" zoomScale="110" zoomScaleSheetLayoutView="110" workbookViewId="0">
      <selection activeCell="J45" sqref="J45"/>
    </sheetView>
  </sheetViews>
  <sheetFormatPr baseColWidth="10" defaultColWidth="8.83203125" defaultRowHeight="12"/>
  <cols>
    <col min="1" max="9" width="8.83203125" style="45"/>
    <col min="10" max="10" width="14.33203125" style="45" customWidth="1"/>
    <col min="11" max="11" width="13.5" style="45" customWidth="1"/>
    <col min="12" max="16384" width="8.83203125" style="45"/>
  </cols>
  <sheetData>
    <row r="1" spans="1:11" ht="15.75">
      <c r="A1" s="424" t="s">
        <v>280</v>
      </c>
      <c r="B1" s="424"/>
      <c r="C1" s="424"/>
      <c r="D1" s="424"/>
      <c r="E1" s="424"/>
      <c r="F1" s="424"/>
      <c r="G1" s="424"/>
      <c r="H1" s="424"/>
      <c r="I1" s="424"/>
      <c r="J1" s="424"/>
      <c r="K1" s="424"/>
    </row>
    <row r="2" spans="1:11" ht="12.75" customHeight="1">
      <c r="A2" s="425" t="s">
        <v>281</v>
      </c>
      <c r="B2" s="425"/>
      <c r="C2" s="425"/>
      <c r="D2" s="425"/>
      <c r="E2" s="425"/>
      <c r="F2" s="425"/>
      <c r="G2" s="425"/>
      <c r="H2" s="425"/>
      <c r="I2" s="425"/>
      <c r="J2" s="425"/>
      <c r="K2" s="425"/>
    </row>
    <row r="3" spans="1:11">
      <c r="A3" s="421" t="s">
        <v>526</v>
      </c>
      <c r="B3" s="422"/>
      <c r="C3" s="422"/>
      <c r="D3" s="422"/>
      <c r="E3" s="422"/>
      <c r="F3" s="422"/>
      <c r="G3" s="422"/>
      <c r="H3" s="422"/>
      <c r="I3" s="422"/>
      <c r="J3" s="422"/>
      <c r="K3" s="423"/>
    </row>
    <row r="4" spans="1:11">
      <c r="A4" s="426" t="s">
        <v>527</v>
      </c>
      <c r="B4" s="426"/>
      <c r="C4" s="426"/>
      <c r="D4" s="426"/>
      <c r="E4" s="426"/>
      <c r="F4" s="426"/>
      <c r="G4" s="426"/>
      <c r="H4" s="426"/>
      <c r="I4" s="238" t="s">
        <v>348</v>
      </c>
      <c r="J4" s="239" t="s">
        <v>529</v>
      </c>
      <c r="K4" s="239" t="s">
        <v>530</v>
      </c>
    </row>
    <row r="5" spans="1:11">
      <c r="A5" s="420">
        <v>1</v>
      </c>
      <c r="B5" s="420"/>
      <c r="C5" s="420"/>
      <c r="D5" s="420"/>
      <c r="E5" s="420"/>
      <c r="F5" s="420"/>
      <c r="G5" s="420"/>
      <c r="H5" s="420"/>
      <c r="I5" s="59">
        <v>2</v>
      </c>
      <c r="J5" s="60" t="s">
        <v>560</v>
      </c>
      <c r="K5" s="60" t="s">
        <v>561</v>
      </c>
    </row>
    <row r="6" spans="1:11">
      <c r="A6" s="355" t="s">
        <v>282</v>
      </c>
      <c r="B6" s="356"/>
      <c r="C6" s="356"/>
      <c r="D6" s="356"/>
      <c r="E6" s="356"/>
      <c r="F6" s="356"/>
      <c r="G6" s="356"/>
      <c r="H6" s="356"/>
      <c r="I6" s="418"/>
      <c r="J6" s="418"/>
      <c r="K6" s="419"/>
    </row>
    <row r="7" spans="1:11" ht="12.75" customHeight="1">
      <c r="A7" s="414" t="s">
        <v>283</v>
      </c>
      <c r="B7" s="414"/>
      <c r="C7" s="414"/>
      <c r="D7" s="414"/>
      <c r="E7" s="414"/>
      <c r="F7" s="414"/>
      <c r="G7" s="414"/>
      <c r="H7" s="414"/>
      <c r="I7" s="1">
        <v>1</v>
      </c>
      <c r="J7" s="5">
        <v>-20291395</v>
      </c>
      <c r="K7" s="7">
        <v>-14554790</v>
      </c>
    </row>
    <row r="8" spans="1:11" ht="12.75" customHeight="1">
      <c r="A8" s="414" t="s">
        <v>284</v>
      </c>
      <c r="B8" s="414"/>
      <c r="C8" s="414"/>
      <c r="D8" s="414"/>
      <c r="E8" s="414"/>
      <c r="F8" s="414"/>
      <c r="G8" s="414"/>
      <c r="H8" s="414"/>
      <c r="I8" s="1">
        <v>2</v>
      </c>
      <c r="J8" s="5">
        <v>12518710</v>
      </c>
      <c r="K8" s="7">
        <v>13139376</v>
      </c>
    </row>
    <row r="9" spans="1:11" ht="12.75" customHeight="1">
      <c r="A9" s="414" t="s">
        <v>285</v>
      </c>
      <c r="B9" s="414"/>
      <c r="C9" s="414"/>
      <c r="D9" s="414"/>
      <c r="E9" s="414"/>
      <c r="F9" s="414"/>
      <c r="G9" s="414"/>
      <c r="H9" s="414"/>
      <c r="I9" s="1">
        <v>3</v>
      </c>
      <c r="J9" s="5">
        <v>56597751</v>
      </c>
      <c r="K9" s="7">
        <v>16494433</v>
      </c>
    </row>
    <row r="10" spans="1:11" ht="12.75" customHeight="1">
      <c r="A10" s="414" t="s">
        <v>286</v>
      </c>
      <c r="B10" s="414"/>
      <c r="C10" s="414"/>
      <c r="D10" s="414"/>
      <c r="E10" s="414"/>
      <c r="F10" s="414"/>
      <c r="G10" s="414"/>
      <c r="H10" s="414"/>
      <c r="I10" s="1">
        <v>4</v>
      </c>
      <c r="J10" s="5">
        <v>10658715</v>
      </c>
      <c r="K10" s="7">
        <v>708273</v>
      </c>
    </row>
    <row r="11" spans="1:11" ht="12.75" customHeight="1">
      <c r="A11" s="414" t="s">
        <v>292</v>
      </c>
      <c r="B11" s="414"/>
      <c r="C11" s="414"/>
      <c r="D11" s="414"/>
      <c r="E11" s="414"/>
      <c r="F11" s="414"/>
      <c r="G11" s="414"/>
      <c r="H11" s="414"/>
      <c r="I11" s="1">
        <v>5</v>
      </c>
      <c r="J11" s="5">
        <v>4471738</v>
      </c>
      <c r="K11" s="7">
        <v>633288</v>
      </c>
    </row>
    <row r="12" spans="1:11" ht="12.75" customHeight="1">
      <c r="A12" s="414" t="s">
        <v>287</v>
      </c>
      <c r="B12" s="414"/>
      <c r="C12" s="414"/>
      <c r="D12" s="414"/>
      <c r="E12" s="414"/>
      <c r="F12" s="414"/>
      <c r="G12" s="414"/>
      <c r="H12" s="414"/>
      <c r="I12" s="1">
        <v>6</v>
      </c>
      <c r="J12" s="5"/>
      <c r="K12" s="7">
        <f>8044</f>
        <v>8044</v>
      </c>
    </row>
    <row r="13" spans="1:11" ht="12.75" customHeight="1">
      <c r="A13" s="413" t="s">
        <v>288</v>
      </c>
      <c r="B13" s="413"/>
      <c r="C13" s="413"/>
      <c r="D13" s="413"/>
      <c r="E13" s="413"/>
      <c r="F13" s="413"/>
      <c r="G13" s="413"/>
      <c r="H13" s="413"/>
      <c r="I13" s="1">
        <v>7</v>
      </c>
      <c r="J13" s="55">
        <f>SUM(J7:J12)</f>
        <v>63955519</v>
      </c>
      <c r="K13" s="46">
        <f>SUM(K7:K12)</f>
        <v>16428624</v>
      </c>
    </row>
    <row r="14" spans="1:11" ht="12.75" customHeight="1">
      <c r="A14" s="414" t="s">
        <v>289</v>
      </c>
      <c r="B14" s="414"/>
      <c r="C14" s="414"/>
      <c r="D14" s="414"/>
      <c r="E14" s="414"/>
      <c r="F14" s="414"/>
      <c r="G14" s="414"/>
      <c r="H14" s="414"/>
      <c r="I14" s="1">
        <v>8</v>
      </c>
      <c r="J14" s="5"/>
      <c r="K14" s="7"/>
    </row>
    <row r="15" spans="1:11" ht="12.75" customHeight="1">
      <c r="A15" s="414" t="s">
        <v>290</v>
      </c>
      <c r="B15" s="414"/>
      <c r="C15" s="414"/>
      <c r="D15" s="414"/>
      <c r="E15" s="414"/>
      <c r="F15" s="414"/>
      <c r="G15" s="414"/>
      <c r="H15" s="414"/>
      <c r="I15" s="1">
        <v>9</v>
      </c>
      <c r="J15" s="5"/>
      <c r="K15" s="7"/>
    </row>
    <row r="16" spans="1:11" ht="12.75" customHeight="1">
      <c r="A16" s="414" t="s">
        <v>293</v>
      </c>
      <c r="B16" s="414"/>
      <c r="C16" s="414"/>
      <c r="D16" s="414"/>
      <c r="E16" s="414"/>
      <c r="F16" s="414"/>
      <c r="G16" s="414"/>
      <c r="H16" s="414"/>
      <c r="I16" s="1">
        <v>10</v>
      </c>
      <c r="J16" s="5"/>
      <c r="K16" s="7"/>
    </row>
    <row r="17" spans="1:11" ht="12.75" customHeight="1">
      <c r="A17" s="414" t="s">
        <v>291</v>
      </c>
      <c r="B17" s="414"/>
      <c r="C17" s="414"/>
      <c r="D17" s="414"/>
      <c r="E17" s="414"/>
      <c r="F17" s="414"/>
      <c r="G17" s="414"/>
      <c r="H17" s="414"/>
      <c r="I17" s="1">
        <v>11</v>
      </c>
      <c r="J17" s="5">
        <v>7358516</v>
      </c>
      <c r="K17" s="7">
        <v>7407458</v>
      </c>
    </row>
    <row r="18" spans="1:11" ht="12.75" customHeight="1">
      <c r="A18" s="413" t="s">
        <v>294</v>
      </c>
      <c r="B18" s="413"/>
      <c r="C18" s="413"/>
      <c r="D18" s="413"/>
      <c r="E18" s="413"/>
      <c r="F18" s="413"/>
      <c r="G18" s="413"/>
      <c r="H18" s="413"/>
      <c r="I18" s="1">
        <v>12</v>
      </c>
      <c r="J18" s="55">
        <f>SUM(J14:J17)</f>
        <v>7358516</v>
      </c>
      <c r="K18" s="46">
        <f>SUM(K14:K17)</f>
        <v>7407458</v>
      </c>
    </row>
    <row r="19" spans="1:11" ht="12.75" customHeight="1">
      <c r="A19" s="413" t="s">
        <v>295</v>
      </c>
      <c r="B19" s="413"/>
      <c r="C19" s="413"/>
      <c r="D19" s="413"/>
      <c r="E19" s="413"/>
      <c r="F19" s="413"/>
      <c r="G19" s="413"/>
      <c r="H19" s="413"/>
      <c r="I19" s="1">
        <v>13</v>
      </c>
      <c r="J19" s="55">
        <f>IF(J13&gt;J18,J13-J18,0)</f>
        <v>56597003</v>
      </c>
      <c r="K19" s="46">
        <f>IF(K13&gt;K18,K13-K18,0)</f>
        <v>9021166</v>
      </c>
    </row>
    <row r="20" spans="1:11" ht="12.75" customHeight="1">
      <c r="A20" s="413" t="s">
        <v>296</v>
      </c>
      <c r="B20" s="413"/>
      <c r="C20" s="413"/>
      <c r="D20" s="413"/>
      <c r="E20" s="413"/>
      <c r="F20" s="413"/>
      <c r="G20" s="413"/>
      <c r="H20" s="413"/>
      <c r="I20" s="1">
        <v>14</v>
      </c>
      <c r="J20" s="55">
        <f>IF(J18&gt;J13,J18-J13,0)</f>
        <v>0</v>
      </c>
      <c r="K20" s="46">
        <f>IF(K18&gt;K13,K18-K13,0)</f>
        <v>0</v>
      </c>
    </row>
    <row r="21" spans="1:11">
      <c r="A21" s="355" t="s">
        <v>297</v>
      </c>
      <c r="B21" s="356"/>
      <c r="C21" s="356"/>
      <c r="D21" s="356"/>
      <c r="E21" s="356"/>
      <c r="F21" s="356"/>
      <c r="G21" s="356"/>
      <c r="H21" s="356"/>
      <c r="I21" s="418"/>
      <c r="J21" s="418"/>
      <c r="K21" s="419"/>
    </row>
    <row r="22" spans="1:11" ht="12.75" customHeight="1">
      <c r="A22" s="414" t="s">
        <v>298</v>
      </c>
      <c r="B22" s="414"/>
      <c r="C22" s="414"/>
      <c r="D22" s="414"/>
      <c r="E22" s="414"/>
      <c r="F22" s="414"/>
      <c r="G22" s="414"/>
      <c r="H22" s="414"/>
      <c r="I22" s="1">
        <v>15</v>
      </c>
      <c r="J22" s="5"/>
      <c r="K22" s="7"/>
    </row>
    <row r="23" spans="1:11" ht="12.75" customHeight="1">
      <c r="A23" s="414" t="s">
        <v>299</v>
      </c>
      <c r="B23" s="414"/>
      <c r="C23" s="414"/>
      <c r="D23" s="414"/>
      <c r="E23" s="414"/>
      <c r="F23" s="414"/>
      <c r="G23" s="414"/>
      <c r="H23" s="414"/>
      <c r="I23" s="1">
        <v>16</v>
      </c>
      <c r="J23" s="5"/>
      <c r="K23" s="7"/>
    </row>
    <row r="24" spans="1:11" ht="12.75" customHeight="1">
      <c r="A24" s="414" t="s">
        <v>300</v>
      </c>
      <c r="B24" s="414"/>
      <c r="C24" s="414"/>
      <c r="D24" s="414"/>
      <c r="E24" s="414"/>
      <c r="F24" s="414"/>
      <c r="G24" s="414"/>
      <c r="H24" s="414"/>
      <c r="I24" s="1">
        <v>17</v>
      </c>
      <c r="J24" s="5"/>
      <c r="K24" s="7"/>
    </row>
    <row r="25" spans="1:11" ht="12.75" customHeight="1">
      <c r="A25" s="414" t="s">
        <v>301</v>
      </c>
      <c r="B25" s="414"/>
      <c r="C25" s="414"/>
      <c r="D25" s="414"/>
      <c r="E25" s="414"/>
      <c r="F25" s="414"/>
      <c r="G25" s="414"/>
      <c r="H25" s="414"/>
      <c r="I25" s="1">
        <v>18</v>
      </c>
      <c r="J25" s="5"/>
      <c r="K25" s="7"/>
    </row>
    <row r="26" spans="1:11" ht="12.75" customHeight="1">
      <c r="A26" s="414" t="s">
        <v>302</v>
      </c>
      <c r="B26" s="414"/>
      <c r="C26" s="414"/>
      <c r="D26" s="414"/>
      <c r="E26" s="414"/>
      <c r="F26" s="414"/>
      <c r="G26" s="414"/>
      <c r="H26" s="414"/>
      <c r="I26" s="1">
        <v>19</v>
      </c>
      <c r="J26" s="5"/>
      <c r="K26" s="7"/>
    </row>
    <row r="27" spans="1:11" ht="12.75" customHeight="1">
      <c r="A27" s="413" t="s">
        <v>303</v>
      </c>
      <c r="B27" s="413"/>
      <c r="C27" s="413"/>
      <c r="D27" s="413"/>
      <c r="E27" s="413"/>
      <c r="F27" s="413"/>
      <c r="G27" s="413"/>
      <c r="H27" s="413"/>
      <c r="I27" s="1">
        <v>20</v>
      </c>
      <c r="J27" s="55">
        <f>SUM(J22:J26)</f>
        <v>0</v>
      </c>
      <c r="K27" s="46">
        <f>SUM(K22:K26)</f>
        <v>0</v>
      </c>
    </row>
    <row r="28" spans="1:11" ht="12.75" customHeight="1">
      <c r="A28" s="414" t="s">
        <v>304</v>
      </c>
      <c r="B28" s="414"/>
      <c r="C28" s="414"/>
      <c r="D28" s="414"/>
      <c r="E28" s="414"/>
      <c r="F28" s="414"/>
      <c r="G28" s="414"/>
      <c r="H28" s="414"/>
      <c r="I28" s="1">
        <v>21</v>
      </c>
      <c r="J28" s="5">
        <v>12518710</v>
      </c>
      <c r="K28" s="7">
        <v>4576146</v>
      </c>
    </row>
    <row r="29" spans="1:11" ht="12.75" customHeight="1">
      <c r="A29" s="414" t="s">
        <v>305</v>
      </c>
      <c r="B29" s="414"/>
      <c r="C29" s="414"/>
      <c r="D29" s="414"/>
      <c r="E29" s="414"/>
      <c r="F29" s="414"/>
      <c r="G29" s="414"/>
      <c r="H29" s="414"/>
      <c r="I29" s="1">
        <v>22</v>
      </c>
      <c r="J29" s="5"/>
      <c r="K29" s="7"/>
    </row>
    <row r="30" spans="1:11" ht="12.75" customHeight="1">
      <c r="A30" s="414" t="s">
        <v>306</v>
      </c>
      <c r="B30" s="414"/>
      <c r="C30" s="414"/>
      <c r="D30" s="414"/>
      <c r="E30" s="414"/>
      <c r="F30" s="414"/>
      <c r="G30" s="414"/>
      <c r="H30" s="414"/>
      <c r="I30" s="1">
        <v>23</v>
      </c>
      <c r="J30" s="5">
        <v>6554295</v>
      </c>
      <c r="K30" s="7"/>
    </row>
    <row r="31" spans="1:11" ht="12.75" customHeight="1">
      <c r="A31" s="413" t="s">
        <v>307</v>
      </c>
      <c r="B31" s="413"/>
      <c r="C31" s="413"/>
      <c r="D31" s="413"/>
      <c r="E31" s="413"/>
      <c r="F31" s="413"/>
      <c r="G31" s="413"/>
      <c r="H31" s="413"/>
      <c r="I31" s="1">
        <v>24</v>
      </c>
      <c r="J31" s="55">
        <f>SUM(J28:J30)</f>
        <v>19073005</v>
      </c>
      <c r="K31" s="46">
        <f>SUM(K28:K30)</f>
        <v>4576146</v>
      </c>
    </row>
    <row r="32" spans="1:11" ht="12.75" customHeight="1">
      <c r="A32" s="413" t="s">
        <v>308</v>
      </c>
      <c r="B32" s="413"/>
      <c r="C32" s="413"/>
      <c r="D32" s="413"/>
      <c r="E32" s="413"/>
      <c r="F32" s="413"/>
      <c r="G32" s="413"/>
      <c r="H32" s="413"/>
      <c r="I32" s="1">
        <v>25</v>
      </c>
      <c r="J32" s="55">
        <f>IF(J27&gt;J31,J27-J31,0)</f>
        <v>0</v>
      </c>
      <c r="K32" s="46">
        <f>IF(K27&gt;K31,K27-K31,0)</f>
        <v>0</v>
      </c>
    </row>
    <row r="33" spans="1:11" ht="12.75" customHeight="1">
      <c r="A33" s="413" t="s">
        <v>309</v>
      </c>
      <c r="B33" s="413"/>
      <c r="C33" s="413"/>
      <c r="D33" s="413"/>
      <c r="E33" s="413"/>
      <c r="F33" s="413"/>
      <c r="G33" s="413"/>
      <c r="H33" s="413"/>
      <c r="I33" s="1">
        <v>26</v>
      </c>
      <c r="J33" s="55">
        <f>IF(J31&gt;J27,J31-J27,0)</f>
        <v>19073005</v>
      </c>
      <c r="K33" s="46">
        <f>IF(K31&gt;K27,K31-K27,0)</f>
        <v>4576146</v>
      </c>
    </row>
    <row r="34" spans="1:11">
      <c r="A34" s="355" t="s">
        <v>310</v>
      </c>
      <c r="B34" s="356"/>
      <c r="C34" s="356"/>
      <c r="D34" s="356"/>
      <c r="E34" s="356"/>
      <c r="F34" s="356"/>
      <c r="G34" s="356"/>
      <c r="H34" s="356"/>
      <c r="I34" s="418"/>
      <c r="J34" s="418"/>
      <c r="K34" s="419"/>
    </row>
    <row r="35" spans="1:11" ht="12.75" customHeight="1">
      <c r="A35" s="414" t="s">
        <v>311</v>
      </c>
      <c r="B35" s="414"/>
      <c r="C35" s="414"/>
      <c r="D35" s="414"/>
      <c r="E35" s="414"/>
      <c r="F35" s="414"/>
      <c r="G35" s="414"/>
      <c r="H35" s="414"/>
      <c r="I35" s="1">
        <v>27</v>
      </c>
      <c r="J35" s="5"/>
      <c r="K35" s="7"/>
    </row>
    <row r="36" spans="1:11" ht="12.75" customHeight="1">
      <c r="A36" s="414" t="s">
        <v>312</v>
      </c>
      <c r="B36" s="414"/>
      <c r="C36" s="414"/>
      <c r="D36" s="414"/>
      <c r="E36" s="414"/>
      <c r="F36" s="414"/>
      <c r="G36" s="414"/>
      <c r="H36" s="414"/>
      <c r="I36" s="1">
        <v>28</v>
      </c>
      <c r="J36" s="5"/>
      <c r="K36" s="7">
        <v>5746910</v>
      </c>
    </row>
    <row r="37" spans="1:11" ht="12.75" customHeight="1">
      <c r="A37" s="414" t="s">
        <v>242</v>
      </c>
      <c r="B37" s="414"/>
      <c r="C37" s="414"/>
      <c r="D37" s="414"/>
      <c r="E37" s="414"/>
      <c r="F37" s="414"/>
      <c r="G37" s="414"/>
      <c r="H37" s="414"/>
      <c r="I37" s="1">
        <v>29</v>
      </c>
      <c r="J37" s="5"/>
      <c r="K37" s="7">
        <v>158333</v>
      </c>
    </row>
    <row r="38" spans="1:11" ht="12.75" customHeight="1">
      <c r="A38" s="413" t="s">
        <v>243</v>
      </c>
      <c r="B38" s="413"/>
      <c r="C38" s="413"/>
      <c r="D38" s="413"/>
      <c r="E38" s="413"/>
      <c r="F38" s="413"/>
      <c r="G38" s="413"/>
      <c r="H38" s="413"/>
      <c r="I38" s="1">
        <v>30</v>
      </c>
      <c r="J38" s="55">
        <f>SUM(J35:J37)</f>
        <v>0</v>
      </c>
      <c r="K38" s="46">
        <f>SUM(K35:K37)</f>
        <v>5905243</v>
      </c>
    </row>
    <row r="39" spans="1:11" ht="12.75" customHeight="1">
      <c r="A39" s="414" t="s">
        <v>244</v>
      </c>
      <c r="B39" s="414"/>
      <c r="C39" s="414"/>
      <c r="D39" s="414"/>
      <c r="E39" s="414"/>
      <c r="F39" s="414"/>
      <c r="G39" s="414"/>
      <c r="H39" s="414"/>
      <c r="I39" s="1">
        <v>31</v>
      </c>
      <c r="J39" s="5">
        <v>15963565</v>
      </c>
      <c r="K39" s="7">
        <v>7524807</v>
      </c>
    </row>
    <row r="40" spans="1:11" ht="12.75" customHeight="1">
      <c r="A40" s="414" t="s">
        <v>245</v>
      </c>
      <c r="B40" s="414"/>
      <c r="C40" s="414"/>
      <c r="D40" s="414"/>
      <c r="E40" s="414"/>
      <c r="F40" s="414"/>
      <c r="G40" s="414"/>
      <c r="H40" s="414"/>
      <c r="I40" s="1">
        <v>32</v>
      </c>
      <c r="J40" s="5"/>
      <c r="K40" s="7"/>
    </row>
    <row r="41" spans="1:11" ht="12.75" customHeight="1">
      <c r="A41" s="414" t="s">
        <v>246</v>
      </c>
      <c r="B41" s="414"/>
      <c r="C41" s="414"/>
      <c r="D41" s="414"/>
      <c r="E41" s="414"/>
      <c r="F41" s="414"/>
      <c r="G41" s="414"/>
      <c r="H41" s="414"/>
      <c r="I41" s="1">
        <v>33</v>
      </c>
      <c r="J41" s="5"/>
      <c r="K41" s="7"/>
    </row>
    <row r="42" spans="1:11" ht="12.75" customHeight="1">
      <c r="A42" s="414" t="s">
        <v>247</v>
      </c>
      <c r="B42" s="414"/>
      <c r="C42" s="414"/>
      <c r="D42" s="414"/>
      <c r="E42" s="414"/>
      <c r="F42" s="414"/>
      <c r="G42" s="414"/>
      <c r="H42" s="414"/>
      <c r="I42" s="1">
        <v>34</v>
      </c>
      <c r="J42" s="5"/>
      <c r="K42" s="7"/>
    </row>
    <row r="43" spans="1:11" ht="12.75" customHeight="1">
      <c r="A43" s="414" t="s">
        <v>248</v>
      </c>
      <c r="B43" s="414"/>
      <c r="C43" s="414"/>
      <c r="D43" s="414"/>
      <c r="E43" s="414"/>
      <c r="F43" s="414"/>
      <c r="G43" s="414"/>
      <c r="H43" s="414"/>
      <c r="I43" s="1">
        <v>35</v>
      </c>
      <c r="J43" s="5">
        <v>22812500</v>
      </c>
      <c r="K43" s="7">
        <v>2081925</v>
      </c>
    </row>
    <row r="44" spans="1:11" ht="12.75" customHeight="1">
      <c r="A44" s="413" t="s">
        <v>249</v>
      </c>
      <c r="B44" s="413"/>
      <c r="C44" s="413"/>
      <c r="D44" s="413"/>
      <c r="E44" s="413"/>
      <c r="F44" s="413"/>
      <c r="G44" s="413"/>
      <c r="H44" s="413"/>
      <c r="I44" s="1">
        <v>36</v>
      </c>
      <c r="J44" s="55">
        <f>SUM(J39:J43)</f>
        <v>38776065</v>
      </c>
      <c r="K44" s="46">
        <f>SUM(K39:K43)</f>
        <v>9606732</v>
      </c>
    </row>
    <row r="45" spans="1:11" ht="12.75" customHeight="1">
      <c r="A45" s="413" t="s">
        <v>250</v>
      </c>
      <c r="B45" s="413"/>
      <c r="C45" s="413"/>
      <c r="D45" s="413"/>
      <c r="E45" s="413"/>
      <c r="F45" s="413"/>
      <c r="G45" s="413"/>
      <c r="H45" s="413"/>
      <c r="I45" s="1">
        <v>37</v>
      </c>
      <c r="J45" s="55">
        <f>IF(J38&gt;J44,J38-J44,0)</f>
        <v>0</v>
      </c>
      <c r="K45" s="46">
        <f>IF(K38&gt;K44,K38-K44,0)</f>
        <v>0</v>
      </c>
    </row>
    <row r="46" spans="1:11" ht="12.75" customHeight="1">
      <c r="A46" s="413" t="s">
        <v>251</v>
      </c>
      <c r="B46" s="413"/>
      <c r="C46" s="413"/>
      <c r="D46" s="413"/>
      <c r="E46" s="413"/>
      <c r="F46" s="413"/>
      <c r="G46" s="413"/>
      <c r="H46" s="413"/>
      <c r="I46" s="1">
        <v>38</v>
      </c>
      <c r="J46" s="55">
        <f>IF(J44&gt;J38,J44-J38,0)</f>
        <v>38776065</v>
      </c>
      <c r="K46" s="46">
        <f>IF(K44&gt;K38,K44-K38,0)</f>
        <v>3701489</v>
      </c>
    </row>
    <row r="47" spans="1:11" ht="12.75" customHeight="1">
      <c r="A47" s="414" t="s">
        <v>252</v>
      </c>
      <c r="B47" s="415"/>
      <c r="C47" s="415"/>
      <c r="D47" s="415"/>
      <c r="E47" s="415"/>
      <c r="F47" s="415"/>
      <c r="G47" s="415"/>
      <c r="H47" s="416"/>
      <c r="I47" s="1">
        <v>39</v>
      </c>
      <c r="J47" s="55">
        <f>IF(J19-J20+J32-J33+J45-J46&gt;0,J19-J20+J32-J33+J45-J46,0)</f>
        <v>0</v>
      </c>
      <c r="K47" s="46">
        <f>IF(K19-K20+K32-K33+K45-K46&gt;0,K19-K20+K32-K33+K45-K46,0)</f>
        <v>743531</v>
      </c>
    </row>
    <row r="48" spans="1:11" ht="12.75" customHeight="1">
      <c r="A48" s="414" t="s">
        <v>253</v>
      </c>
      <c r="B48" s="415"/>
      <c r="C48" s="415"/>
      <c r="D48" s="415"/>
      <c r="E48" s="415"/>
      <c r="F48" s="415"/>
      <c r="G48" s="415"/>
      <c r="H48" s="416"/>
      <c r="I48" s="1">
        <v>40</v>
      </c>
      <c r="J48" s="55">
        <f>IF(J20-J19+J33-J32+J46-J45&gt;0,J20-J19+J33-J32+J46-J45,0)</f>
        <v>1252067</v>
      </c>
      <c r="K48" s="46">
        <f>IF(K20-K19+K33-K32+K46-K45&gt;0,K20-K19+K33-K32+K46-K45,0)</f>
        <v>0</v>
      </c>
    </row>
    <row r="49" spans="1:12" ht="12.75" customHeight="1">
      <c r="A49" s="414" t="s">
        <v>254</v>
      </c>
      <c r="B49" s="415"/>
      <c r="C49" s="415"/>
      <c r="D49" s="415"/>
      <c r="E49" s="415"/>
      <c r="F49" s="415"/>
      <c r="G49" s="415"/>
      <c r="H49" s="416"/>
      <c r="I49" s="1">
        <v>41</v>
      </c>
      <c r="J49" s="5">
        <v>2515425</v>
      </c>
      <c r="K49" s="7">
        <v>1148042</v>
      </c>
    </row>
    <row r="50" spans="1:12" ht="12.75" customHeight="1">
      <c r="A50" s="414" t="s">
        <v>255</v>
      </c>
      <c r="B50" s="415"/>
      <c r="C50" s="415"/>
      <c r="D50" s="415"/>
      <c r="E50" s="415"/>
      <c r="F50" s="415"/>
      <c r="G50" s="415"/>
      <c r="H50" s="416"/>
      <c r="I50" s="1">
        <v>42</v>
      </c>
      <c r="J50" s="5">
        <f>IF(J47=0,0,J47)</f>
        <v>0</v>
      </c>
      <c r="K50" s="5">
        <f>IF(K47=0,0,K47)</f>
        <v>743531</v>
      </c>
    </row>
    <row r="51" spans="1:12" ht="12.75" customHeight="1">
      <c r="A51" s="414" t="s">
        <v>256</v>
      </c>
      <c r="B51" s="415"/>
      <c r="C51" s="415"/>
      <c r="D51" s="415"/>
      <c r="E51" s="415"/>
      <c r="F51" s="415"/>
      <c r="G51" s="415"/>
      <c r="H51" s="416"/>
      <c r="I51" s="1">
        <v>43</v>
      </c>
      <c r="J51" s="5">
        <f>IF(J48=0,0,J48)</f>
        <v>1252067</v>
      </c>
      <c r="K51" s="5">
        <f>IF(K48=0,0,K48)</f>
        <v>0</v>
      </c>
    </row>
    <row r="52" spans="1:12" ht="12.75" customHeight="1">
      <c r="A52" s="370" t="s">
        <v>257</v>
      </c>
      <c r="B52" s="371"/>
      <c r="C52" s="371"/>
      <c r="D52" s="371"/>
      <c r="E52" s="371"/>
      <c r="F52" s="371"/>
      <c r="G52" s="371"/>
      <c r="H52" s="417"/>
      <c r="I52" s="4">
        <v>44</v>
      </c>
      <c r="J52" s="56">
        <f>J49+J50-J51</f>
        <v>1263358</v>
      </c>
      <c r="K52" s="52">
        <f>K49+K50-K51</f>
        <v>1891573</v>
      </c>
      <c r="L52" s="111">
        <f>K52-'Balance sheet'!K64</f>
        <v>0</v>
      </c>
    </row>
  </sheetData>
  <sheetCalcPr fullCalcOnLoad="1"/>
  <mergeCells count="52">
    <mergeCell ref="A3:K3"/>
    <mergeCell ref="A1:K1"/>
    <mergeCell ref="A2:K2"/>
    <mergeCell ref="A4:H4"/>
    <mergeCell ref="A9:H9"/>
    <mergeCell ref="A10:H10"/>
    <mergeCell ref="A11:H11"/>
    <mergeCell ref="A12:H12"/>
    <mergeCell ref="A5:H5"/>
    <mergeCell ref="A6:K6"/>
    <mergeCell ref="A7:H7"/>
    <mergeCell ref="A8:H8"/>
    <mergeCell ref="A17:H17"/>
    <mergeCell ref="A18:H18"/>
    <mergeCell ref="A19:H19"/>
    <mergeCell ref="A20:H20"/>
    <mergeCell ref="A13:H13"/>
    <mergeCell ref="A14:H14"/>
    <mergeCell ref="A15:H15"/>
    <mergeCell ref="A16:H16"/>
    <mergeCell ref="A25:H25"/>
    <mergeCell ref="A26:H26"/>
    <mergeCell ref="A27:H27"/>
    <mergeCell ref="A28:H28"/>
    <mergeCell ref="A21:K21"/>
    <mergeCell ref="A22:H22"/>
    <mergeCell ref="A23:H23"/>
    <mergeCell ref="A24:H24"/>
    <mergeCell ref="A33:H33"/>
    <mergeCell ref="A34:K34"/>
    <mergeCell ref="A35:H35"/>
    <mergeCell ref="A36:H36"/>
    <mergeCell ref="A29:H29"/>
    <mergeCell ref="A30:H30"/>
    <mergeCell ref="A31:H31"/>
    <mergeCell ref="A32:H32"/>
    <mergeCell ref="A41:H41"/>
    <mergeCell ref="A42:H42"/>
    <mergeCell ref="A43:H43"/>
    <mergeCell ref="A44:H44"/>
    <mergeCell ref="A37:H37"/>
    <mergeCell ref="A38:H38"/>
    <mergeCell ref="A39:H39"/>
    <mergeCell ref="A40:H40"/>
    <mergeCell ref="A45:H45"/>
    <mergeCell ref="A46:H46"/>
    <mergeCell ref="A47:H47"/>
    <mergeCell ref="A52:H52"/>
    <mergeCell ref="A48:H48"/>
    <mergeCell ref="A49:H49"/>
    <mergeCell ref="A50:H50"/>
    <mergeCell ref="A51:H51"/>
  </mergeCells>
  <phoneticPr fontId="6" type="noConversion"/>
  <conditionalFormatting sqref="L52">
    <cfRule type="cellIs" dxfId="1" priority="1" operator="notEqual">
      <formula>0</formula>
    </cfRule>
  </conditionalFormatting>
  <dataValidations count="3">
    <dataValidation type="whole" operator="notEqual" allowBlank="1" showInputMessage="1" showErrorMessage="1" errorTitle="Pogrešan unos" error="Mogu se unijeti samo cjelobrojne vrijednosti." sqref="J7:K12 J39:K43 J35:K37 J28:K30 J22:K26 J14:K17 J49:K51">
      <formula1>9999999998</formula1>
    </dataValidation>
    <dataValidation type="whole" operator="greaterThanOrEqual" allowBlank="1" showInputMessage="1" showErrorMessage="1" errorTitle="Pogrešan unos" error="Mogu se unijeti samo cjelobrojne pozitivne vrijednosti." sqref="J31:K33 J52:K52 J44:K48 J38:K38 J27:K27 J13:K13 J18:K20">
      <formula1>0</formula1>
    </dataValidation>
    <dataValidation operator="greaterThan" allowBlank="1" showErrorMessage="1" sqref="A7:H17 A22:H26 A28:H30 A35:H37 A39:H43 A49:H52"/>
  </dataValidations>
  <pageMargins left="0.75" right="0.75" top="1" bottom="1" header="0.5" footer="0.5"/>
  <headerFooter alignWithMargins="0"/>
  <ignoredErrors>
    <ignoredError sqref="J50:J51" unlockedFormula="1"/>
  </ignoredErrors>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codeName="Sheet5" enableFormatConditionsCalculation="0"/>
  <dimension ref="A1:K54"/>
  <sheetViews>
    <sheetView view="pageBreakPreview" topLeftCell="A25" zoomScale="110" workbookViewId="0">
      <selection activeCell="A2" sqref="A2:K2"/>
    </sheetView>
  </sheetViews>
  <sheetFormatPr baseColWidth="10" defaultColWidth="8.83203125" defaultRowHeight="12"/>
  <cols>
    <col min="1" max="16384" width="8.83203125" style="45"/>
  </cols>
  <sheetData>
    <row r="1" spans="1:11" ht="12.75" customHeight="1">
      <c r="A1" s="424" t="s">
        <v>551</v>
      </c>
      <c r="B1" s="424"/>
      <c r="C1" s="424"/>
      <c r="D1" s="424"/>
      <c r="E1" s="424"/>
      <c r="F1" s="424"/>
      <c r="G1" s="424"/>
      <c r="H1" s="424"/>
      <c r="I1" s="424"/>
      <c r="J1" s="424"/>
      <c r="K1" s="424"/>
    </row>
    <row r="2" spans="1:11" ht="12.75" customHeight="1">
      <c r="A2" s="433" t="s">
        <v>589</v>
      </c>
      <c r="B2" s="433"/>
      <c r="C2" s="433"/>
      <c r="D2" s="433"/>
      <c r="E2" s="433"/>
      <c r="F2" s="433"/>
      <c r="G2" s="433"/>
      <c r="H2" s="433"/>
      <c r="I2" s="433"/>
      <c r="J2" s="433"/>
      <c r="K2" s="433"/>
    </row>
    <row r="3" spans="1:11">
      <c r="A3" s="432" t="s">
        <v>590</v>
      </c>
      <c r="B3" s="432"/>
      <c r="C3" s="432"/>
      <c r="D3" s="432"/>
      <c r="E3" s="432"/>
      <c r="F3" s="432"/>
      <c r="G3" s="432"/>
      <c r="H3" s="432"/>
      <c r="I3" s="432"/>
      <c r="J3" s="432"/>
      <c r="K3" s="432"/>
    </row>
    <row r="4" spans="1:11" ht="21">
      <c r="A4" s="426" t="s">
        <v>603</v>
      </c>
      <c r="B4" s="426"/>
      <c r="C4" s="426"/>
      <c r="D4" s="426"/>
      <c r="E4" s="426"/>
      <c r="F4" s="426"/>
      <c r="G4" s="426"/>
      <c r="H4" s="426"/>
      <c r="I4" s="57" t="s">
        <v>559</v>
      </c>
      <c r="J4" s="58" t="s">
        <v>562</v>
      </c>
      <c r="K4" s="58" t="s">
        <v>563</v>
      </c>
    </row>
    <row r="5" spans="1:11">
      <c r="A5" s="431">
        <v>1</v>
      </c>
      <c r="B5" s="431"/>
      <c r="C5" s="431"/>
      <c r="D5" s="431"/>
      <c r="E5" s="431"/>
      <c r="F5" s="431"/>
      <c r="G5" s="431"/>
      <c r="H5" s="431"/>
      <c r="I5" s="63">
        <v>2</v>
      </c>
      <c r="J5" s="64" t="s">
        <v>560</v>
      </c>
      <c r="K5" s="64" t="s">
        <v>561</v>
      </c>
    </row>
    <row r="6" spans="1:11">
      <c r="A6" s="355" t="s">
        <v>538</v>
      </c>
      <c r="B6" s="356"/>
      <c r="C6" s="356"/>
      <c r="D6" s="356"/>
      <c r="E6" s="356"/>
      <c r="F6" s="356"/>
      <c r="G6" s="356"/>
      <c r="H6" s="356"/>
      <c r="I6" s="418"/>
      <c r="J6" s="418"/>
      <c r="K6" s="419"/>
    </row>
    <row r="7" spans="1:11">
      <c r="A7" s="349" t="s">
        <v>553</v>
      </c>
      <c r="B7" s="350"/>
      <c r="C7" s="350"/>
      <c r="D7" s="350"/>
      <c r="E7" s="350"/>
      <c r="F7" s="350"/>
      <c r="G7" s="350"/>
      <c r="H7" s="350"/>
      <c r="I7" s="1">
        <v>1</v>
      </c>
      <c r="J7" s="5"/>
      <c r="K7" s="7"/>
    </row>
    <row r="8" spans="1:11">
      <c r="A8" s="349" t="s">
        <v>610</v>
      </c>
      <c r="B8" s="350"/>
      <c r="C8" s="350"/>
      <c r="D8" s="350"/>
      <c r="E8" s="350"/>
      <c r="F8" s="350"/>
      <c r="G8" s="350"/>
      <c r="H8" s="350"/>
      <c r="I8" s="1">
        <v>2</v>
      </c>
      <c r="J8" s="5"/>
      <c r="K8" s="7"/>
    </row>
    <row r="9" spans="1:11">
      <c r="A9" s="349" t="s">
        <v>611</v>
      </c>
      <c r="B9" s="350"/>
      <c r="C9" s="350"/>
      <c r="D9" s="350"/>
      <c r="E9" s="350"/>
      <c r="F9" s="350"/>
      <c r="G9" s="350"/>
      <c r="H9" s="350"/>
      <c r="I9" s="1">
        <v>3</v>
      </c>
      <c r="J9" s="5"/>
      <c r="K9" s="7"/>
    </row>
    <row r="10" spans="1:11">
      <c r="A10" s="349" t="s">
        <v>612</v>
      </c>
      <c r="B10" s="350"/>
      <c r="C10" s="350"/>
      <c r="D10" s="350"/>
      <c r="E10" s="350"/>
      <c r="F10" s="350"/>
      <c r="G10" s="350"/>
      <c r="H10" s="350"/>
      <c r="I10" s="1">
        <v>4</v>
      </c>
      <c r="J10" s="5"/>
      <c r="K10" s="7"/>
    </row>
    <row r="11" spans="1:11">
      <c r="A11" s="349" t="s">
        <v>613</v>
      </c>
      <c r="B11" s="350"/>
      <c r="C11" s="350"/>
      <c r="D11" s="350"/>
      <c r="E11" s="350"/>
      <c r="F11" s="350"/>
      <c r="G11" s="350"/>
      <c r="H11" s="350"/>
      <c r="I11" s="1">
        <v>5</v>
      </c>
      <c r="J11" s="5"/>
      <c r="K11" s="7"/>
    </row>
    <row r="12" spans="1:11">
      <c r="A12" s="367" t="s">
        <v>552</v>
      </c>
      <c r="B12" s="368"/>
      <c r="C12" s="368"/>
      <c r="D12" s="368"/>
      <c r="E12" s="368"/>
      <c r="F12" s="368"/>
      <c r="G12" s="368"/>
      <c r="H12" s="368"/>
      <c r="I12" s="1">
        <v>6</v>
      </c>
      <c r="J12" s="55">
        <f>SUM(J7:J11)</f>
        <v>0</v>
      </c>
      <c r="K12" s="46">
        <f>SUM(K7:K11)</f>
        <v>0</v>
      </c>
    </row>
    <row r="13" spans="1:11">
      <c r="A13" s="349" t="s">
        <v>614</v>
      </c>
      <c r="B13" s="350"/>
      <c r="C13" s="350"/>
      <c r="D13" s="350"/>
      <c r="E13" s="350"/>
      <c r="F13" s="350"/>
      <c r="G13" s="350"/>
      <c r="H13" s="350"/>
      <c r="I13" s="1">
        <v>7</v>
      </c>
      <c r="J13" s="5"/>
      <c r="K13" s="7"/>
    </row>
    <row r="14" spans="1:11">
      <c r="A14" s="349" t="s">
        <v>615</v>
      </c>
      <c r="B14" s="350"/>
      <c r="C14" s="350"/>
      <c r="D14" s="350"/>
      <c r="E14" s="350"/>
      <c r="F14" s="350"/>
      <c r="G14" s="350"/>
      <c r="H14" s="350"/>
      <c r="I14" s="1">
        <v>8</v>
      </c>
      <c r="J14" s="5"/>
      <c r="K14" s="7"/>
    </row>
    <row r="15" spans="1:11">
      <c r="A15" s="349" t="s">
        <v>616</v>
      </c>
      <c r="B15" s="350"/>
      <c r="C15" s="350"/>
      <c r="D15" s="350"/>
      <c r="E15" s="350"/>
      <c r="F15" s="350"/>
      <c r="G15" s="350"/>
      <c r="H15" s="350"/>
      <c r="I15" s="1">
        <v>9</v>
      </c>
      <c r="J15" s="5"/>
      <c r="K15" s="7"/>
    </row>
    <row r="16" spans="1:11">
      <c r="A16" s="349" t="s">
        <v>617</v>
      </c>
      <c r="B16" s="350"/>
      <c r="C16" s="350"/>
      <c r="D16" s="350"/>
      <c r="E16" s="350"/>
      <c r="F16" s="350"/>
      <c r="G16" s="350"/>
      <c r="H16" s="350"/>
      <c r="I16" s="1">
        <v>10</v>
      </c>
      <c r="J16" s="5"/>
      <c r="K16" s="7"/>
    </row>
    <row r="17" spans="1:11">
      <c r="A17" s="349" t="s">
        <v>618</v>
      </c>
      <c r="B17" s="350"/>
      <c r="C17" s="350"/>
      <c r="D17" s="350"/>
      <c r="E17" s="350"/>
      <c r="F17" s="350"/>
      <c r="G17" s="350"/>
      <c r="H17" s="350"/>
      <c r="I17" s="1">
        <v>11</v>
      </c>
      <c r="J17" s="5"/>
      <c r="K17" s="7"/>
    </row>
    <row r="18" spans="1:11">
      <c r="A18" s="349" t="s">
        <v>619</v>
      </c>
      <c r="B18" s="350"/>
      <c r="C18" s="350"/>
      <c r="D18" s="350"/>
      <c r="E18" s="350"/>
      <c r="F18" s="350"/>
      <c r="G18" s="350"/>
      <c r="H18" s="350"/>
      <c r="I18" s="1">
        <v>12</v>
      </c>
      <c r="J18" s="5"/>
      <c r="K18" s="7"/>
    </row>
    <row r="19" spans="1:11">
      <c r="A19" s="367" t="s">
        <v>599</v>
      </c>
      <c r="B19" s="368"/>
      <c r="C19" s="368"/>
      <c r="D19" s="368"/>
      <c r="E19" s="368"/>
      <c r="F19" s="368"/>
      <c r="G19" s="368"/>
      <c r="H19" s="368"/>
      <c r="I19" s="1">
        <v>13</v>
      </c>
      <c r="J19" s="55">
        <f>SUM(J13:J18)</f>
        <v>0</v>
      </c>
      <c r="K19" s="46">
        <f>SUM(K13:K18)</f>
        <v>0</v>
      </c>
    </row>
    <row r="20" spans="1:11">
      <c r="A20" s="367" t="s">
        <v>604</v>
      </c>
      <c r="B20" s="429"/>
      <c r="C20" s="429"/>
      <c r="D20" s="429"/>
      <c r="E20" s="429"/>
      <c r="F20" s="429"/>
      <c r="G20" s="429"/>
      <c r="H20" s="430"/>
      <c r="I20" s="1">
        <v>14</v>
      </c>
      <c r="J20" s="55">
        <f>IF(J12&gt;J19,J12-J19,0)</f>
        <v>0</v>
      </c>
      <c r="K20" s="46">
        <f>IF(K12&gt;K19,K12-K19,0)</f>
        <v>0</v>
      </c>
    </row>
    <row r="21" spans="1:11">
      <c r="A21" s="378" t="s">
        <v>605</v>
      </c>
      <c r="B21" s="427"/>
      <c r="C21" s="427"/>
      <c r="D21" s="427"/>
      <c r="E21" s="427"/>
      <c r="F21" s="427"/>
      <c r="G21" s="427"/>
      <c r="H21" s="428"/>
      <c r="I21" s="1">
        <v>15</v>
      </c>
      <c r="J21" s="55">
        <f>IF(J19&gt;J12,J19-J12,0)</f>
        <v>0</v>
      </c>
      <c r="K21" s="46">
        <f>IF(K19&gt;K12,K19-K12,0)</f>
        <v>0</v>
      </c>
    </row>
    <row r="22" spans="1:11">
      <c r="A22" s="355" t="s">
        <v>539</v>
      </c>
      <c r="B22" s="356"/>
      <c r="C22" s="356"/>
      <c r="D22" s="356"/>
      <c r="E22" s="356"/>
      <c r="F22" s="356"/>
      <c r="G22" s="356"/>
      <c r="H22" s="356"/>
      <c r="I22" s="418"/>
      <c r="J22" s="418"/>
      <c r="K22" s="419"/>
    </row>
    <row r="23" spans="1:11">
      <c r="A23" s="349" t="s">
        <v>544</v>
      </c>
      <c r="B23" s="350"/>
      <c r="C23" s="350"/>
      <c r="D23" s="350"/>
      <c r="E23" s="350"/>
      <c r="F23" s="350"/>
      <c r="G23" s="350"/>
      <c r="H23" s="350"/>
      <c r="I23" s="1">
        <v>16</v>
      </c>
      <c r="J23" s="5"/>
      <c r="K23" s="7"/>
    </row>
    <row r="24" spans="1:11">
      <c r="A24" s="349" t="s">
        <v>545</v>
      </c>
      <c r="B24" s="350"/>
      <c r="C24" s="350"/>
      <c r="D24" s="350"/>
      <c r="E24" s="350"/>
      <c r="F24" s="350"/>
      <c r="G24" s="350"/>
      <c r="H24" s="350"/>
      <c r="I24" s="1">
        <v>17</v>
      </c>
      <c r="J24" s="5"/>
      <c r="K24" s="7"/>
    </row>
    <row r="25" spans="1:11">
      <c r="A25" s="349" t="s">
        <v>564</v>
      </c>
      <c r="B25" s="350"/>
      <c r="C25" s="350"/>
      <c r="D25" s="350"/>
      <c r="E25" s="350"/>
      <c r="F25" s="350"/>
      <c r="G25" s="350"/>
      <c r="H25" s="350"/>
      <c r="I25" s="1">
        <v>18</v>
      </c>
      <c r="J25" s="5"/>
      <c r="K25" s="7"/>
    </row>
    <row r="26" spans="1:11">
      <c r="A26" s="349" t="s">
        <v>565</v>
      </c>
      <c r="B26" s="350"/>
      <c r="C26" s="350"/>
      <c r="D26" s="350"/>
      <c r="E26" s="350"/>
      <c r="F26" s="350"/>
      <c r="G26" s="350"/>
      <c r="H26" s="350"/>
      <c r="I26" s="1">
        <v>19</v>
      </c>
      <c r="J26" s="5"/>
      <c r="K26" s="7"/>
    </row>
    <row r="27" spans="1:11">
      <c r="A27" s="349" t="s">
        <v>546</v>
      </c>
      <c r="B27" s="350"/>
      <c r="C27" s="350"/>
      <c r="D27" s="350"/>
      <c r="E27" s="350"/>
      <c r="F27" s="350"/>
      <c r="G27" s="350"/>
      <c r="H27" s="350"/>
      <c r="I27" s="1">
        <v>20</v>
      </c>
      <c r="J27" s="5"/>
      <c r="K27" s="7"/>
    </row>
    <row r="28" spans="1:11">
      <c r="A28" s="367" t="s">
        <v>609</v>
      </c>
      <c r="B28" s="368"/>
      <c r="C28" s="368"/>
      <c r="D28" s="368"/>
      <c r="E28" s="368"/>
      <c r="F28" s="368"/>
      <c r="G28" s="368"/>
      <c r="H28" s="368"/>
      <c r="I28" s="1">
        <v>21</v>
      </c>
      <c r="J28" s="55">
        <f>SUM(J23:J27)</f>
        <v>0</v>
      </c>
      <c r="K28" s="46">
        <f>SUM(K23:K27)</f>
        <v>0</v>
      </c>
    </row>
    <row r="29" spans="1:11">
      <c r="A29" s="349" t="s">
        <v>586</v>
      </c>
      <c r="B29" s="350"/>
      <c r="C29" s="350"/>
      <c r="D29" s="350"/>
      <c r="E29" s="350"/>
      <c r="F29" s="350"/>
      <c r="G29" s="350"/>
      <c r="H29" s="350"/>
      <c r="I29" s="1">
        <v>22</v>
      </c>
      <c r="J29" s="5"/>
      <c r="K29" s="7"/>
    </row>
    <row r="30" spans="1:11">
      <c r="A30" s="349" t="s">
        <v>587</v>
      </c>
      <c r="B30" s="350"/>
      <c r="C30" s="350"/>
      <c r="D30" s="350"/>
      <c r="E30" s="350"/>
      <c r="F30" s="350"/>
      <c r="G30" s="350"/>
      <c r="H30" s="350"/>
      <c r="I30" s="1">
        <v>23</v>
      </c>
      <c r="J30" s="5"/>
      <c r="K30" s="7"/>
    </row>
    <row r="31" spans="1:11">
      <c r="A31" s="349" t="s">
        <v>588</v>
      </c>
      <c r="B31" s="350"/>
      <c r="C31" s="350"/>
      <c r="D31" s="350"/>
      <c r="E31" s="350"/>
      <c r="F31" s="350"/>
      <c r="G31" s="350"/>
      <c r="H31" s="350"/>
      <c r="I31" s="1">
        <v>24</v>
      </c>
      <c r="J31" s="5"/>
      <c r="K31" s="7"/>
    </row>
    <row r="32" spans="1:11">
      <c r="A32" s="367" t="s">
        <v>600</v>
      </c>
      <c r="B32" s="368"/>
      <c r="C32" s="368"/>
      <c r="D32" s="368"/>
      <c r="E32" s="368"/>
      <c r="F32" s="368"/>
      <c r="G32" s="368"/>
      <c r="H32" s="368"/>
      <c r="I32" s="1">
        <v>25</v>
      </c>
      <c r="J32" s="55">
        <f>SUM(J29:J31)</f>
        <v>0</v>
      </c>
      <c r="K32" s="46">
        <f>SUM(K29:K31)</f>
        <v>0</v>
      </c>
    </row>
    <row r="33" spans="1:11">
      <c r="A33" s="367" t="s">
        <v>606</v>
      </c>
      <c r="B33" s="368"/>
      <c r="C33" s="368"/>
      <c r="D33" s="368"/>
      <c r="E33" s="368"/>
      <c r="F33" s="368"/>
      <c r="G33" s="368"/>
      <c r="H33" s="368"/>
      <c r="I33" s="1">
        <v>26</v>
      </c>
      <c r="J33" s="55">
        <f>IF(J28&gt;J32,J28-J32,0)</f>
        <v>0</v>
      </c>
      <c r="K33" s="46">
        <f>IF(K28&gt;K32,K28-K32,0)</f>
        <v>0</v>
      </c>
    </row>
    <row r="34" spans="1:11">
      <c r="A34" s="367" t="s">
        <v>607</v>
      </c>
      <c r="B34" s="368"/>
      <c r="C34" s="368"/>
      <c r="D34" s="368"/>
      <c r="E34" s="368"/>
      <c r="F34" s="368"/>
      <c r="G34" s="368"/>
      <c r="H34" s="368"/>
      <c r="I34" s="1">
        <v>27</v>
      </c>
      <c r="J34" s="55">
        <f>IF(J32&gt;J28,J32-J28,0)</f>
        <v>0</v>
      </c>
      <c r="K34" s="46">
        <f>IF(K32&gt;K28,K32-K28,0)</f>
        <v>0</v>
      </c>
    </row>
    <row r="35" spans="1:11">
      <c r="A35" s="355" t="s">
        <v>540</v>
      </c>
      <c r="B35" s="356"/>
      <c r="C35" s="356"/>
      <c r="D35" s="356"/>
      <c r="E35" s="356"/>
      <c r="F35" s="356"/>
      <c r="G35" s="356"/>
      <c r="H35" s="356"/>
      <c r="I35" s="418">
        <v>0</v>
      </c>
      <c r="J35" s="418"/>
      <c r="K35" s="419"/>
    </row>
    <row r="36" spans="1:11">
      <c r="A36" s="349" t="s">
        <v>547</v>
      </c>
      <c r="B36" s="350"/>
      <c r="C36" s="350"/>
      <c r="D36" s="350"/>
      <c r="E36" s="350"/>
      <c r="F36" s="350"/>
      <c r="G36" s="350"/>
      <c r="H36" s="350"/>
      <c r="I36" s="1">
        <v>28</v>
      </c>
      <c r="J36" s="5"/>
      <c r="K36" s="7"/>
    </row>
    <row r="37" spans="1:11">
      <c r="A37" s="349" t="s">
        <v>592</v>
      </c>
      <c r="B37" s="350"/>
      <c r="C37" s="350"/>
      <c r="D37" s="350"/>
      <c r="E37" s="350"/>
      <c r="F37" s="350"/>
      <c r="G37" s="350"/>
      <c r="H37" s="350"/>
      <c r="I37" s="1">
        <v>29</v>
      </c>
      <c r="J37" s="5"/>
      <c r="K37" s="7"/>
    </row>
    <row r="38" spans="1:11">
      <c r="A38" s="349" t="s">
        <v>593</v>
      </c>
      <c r="B38" s="350"/>
      <c r="C38" s="350"/>
      <c r="D38" s="350"/>
      <c r="E38" s="350"/>
      <c r="F38" s="350"/>
      <c r="G38" s="350"/>
      <c r="H38" s="350"/>
      <c r="I38" s="1">
        <v>30</v>
      </c>
      <c r="J38" s="5"/>
      <c r="K38" s="7"/>
    </row>
    <row r="39" spans="1:11">
      <c r="A39" s="367" t="s">
        <v>601</v>
      </c>
      <c r="B39" s="368"/>
      <c r="C39" s="368"/>
      <c r="D39" s="368"/>
      <c r="E39" s="368"/>
      <c r="F39" s="368"/>
      <c r="G39" s="368"/>
      <c r="H39" s="368"/>
      <c r="I39" s="1">
        <v>31</v>
      </c>
      <c r="J39" s="55">
        <f>SUM(J36:J38)</f>
        <v>0</v>
      </c>
      <c r="K39" s="46">
        <f>SUM(K36:K38)</f>
        <v>0</v>
      </c>
    </row>
    <row r="40" spans="1:11">
      <c r="A40" s="349" t="s">
        <v>594</v>
      </c>
      <c r="B40" s="350"/>
      <c r="C40" s="350"/>
      <c r="D40" s="350"/>
      <c r="E40" s="350"/>
      <c r="F40" s="350"/>
      <c r="G40" s="350"/>
      <c r="H40" s="350"/>
      <c r="I40" s="1">
        <v>32</v>
      </c>
      <c r="J40" s="5"/>
      <c r="K40" s="7"/>
    </row>
    <row r="41" spans="1:11">
      <c r="A41" s="349" t="s">
        <v>595</v>
      </c>
      <c r="B41" s="350"/>
      <c r="C41" s="350"/>
      <c r="D41" s="350"/>
      <c r="E41" s="350"/>
      <c r="F41" s="350"/>
      <c r="G41" s="350"/>
      <c r="H41" s="350"/>
      <c r="I41" s="1">
        <v>33</v>
      </c>
      <c r="J41" s="5"/>
      <c r="K41" s="7"/>
    </row>
    <row r="42" spans="1:11">
      <c r="A42" s="349" t="s">
        <v>596</v>
      </c>
      <c r="B42" s="350"/>
      <c r="C42" s="350"/>
      <c r="D42" s="350"/>
      <c r="E42" s="350"/>
      <c r="F42" s="350"/>
      <c r="G42" s="350"/>
      <c r="H42" s="350"/>
      <c r="I42" s="1">
        <v>34</v>
      </c>
      <c r="J42" s="5"/>
      <c r="K42" s="7"/>
    </row>
    <row r="43" spans="1:11">
      <c r="A43" s="349" t="s">
        <v>597</v>
      </c>
      <c r="B43" s="350"/>
      <c r="C43" s="350"/>
      <c r="D43" s="350"/>
      <c r="E43" s="350"/>
      <c r="F43" s="350"/>
      <c r="G43" s="350"/>
      <c r="H43" s="350"/>
      <c r="I43" s="1">
        <v>35</v>
      </c>
      <c r="J43" s="5"/>
      <c r="K43" s="7"/>
    </row>
    <row r="44" spans="1:11">
      <c r="A44" s="349" t="s">
        <v>598</v>
      </c>
      <c r="B44" s="350"/>
      <c r="C44" s="350"/>
      <c r="D44" s="350"/>
      <c r="E44" s="350"/>
      <c r="F44" s="350"/>
      <c r="G44" s="350"/>
      <c r="H44" s="350"/>
      <c r="I44" s="1">
        <v>36</v>
      </c>
      <c r="J44" s="5"/>
      <c r="K44" s="7"/>
    </row>
    <row r="45" spans="1:11">
      <c r="A45" s="367" t="s">
        <v>536</v>
      </c>
      <c r="B45" s="368"/>
      <c r="C45" s="368"/>
      <c r="D45" s="368"/>
      <c r="E45" s="368"/>
      <c r="F45" s="368"/>
      <c r="G45" s="368"/>
      <c r="H45" s="368"/>
      <c r="I45" s="1">
        <v>37</v>
      </c>
      <c r="J45" s="55">
        <f>SUM(J40:J44)</f>
        <v>0</v>
      </c>
      <c r="K45" s="46">
        <f>SUM(K40:K44)</f>
        <v>0</v>
      </c>
    </row>
    <row r="46" spans="1:11">
      <c r="A46" s="367" t="s">
        <v>542</v>
      </c>
      <c r="B46" s="368"/>
      <c r="C46" s="368"/>
      <c r="D46" s="368"/>
      <c r="E46" s="368"/>
      <c r="F46" s="368"/>
      <c r="G46" s="368"/>
      <c r="H46" s="368"/>
      <c r="I46" s="1">
        <v>38</v>
      </c>
      <c r="J46" s="55">
        <f>IF(J39&gt;J45,J39-J45,0)</f>
        <v>0</v>
      </c>
      <c r="K46" s="46">
        <f>IF(K39&gt;K45,K39-K45,0)</f>
        <v>0</v>
      </c>
    </row>
    <row r="47" spans="1:11">
      <c r="A47" s="367" t="s">
        <v>543</v>
      </c>
      <c r="B47" s="368"/>
      <c r="C47" s="368"/>
      <c r="D47" s="368"/>
      <c r="E47" s="368"/>
      <c r="F47" s="368"/>
      <c r="G47" s="368"/>
      <c r="H47" s="368"/>
      <c r="I47" s="1">
        <v>39</v>
      </c>
      <c r="J47" s="55">
        <f>IF(J45&gt;J39,J45-J39,0)</f>
        <v>0</v>
      </c>
      <c r="K47" s="46">
        <f>IF(K45&gt;K39,K45-K39,0)</f>
        <v>0</v>
      </c>
    </row>
    <row r="48" spans="1:11">
      <c r="A48" s="367" t="s">
        <v>537</v>
      </c>
      <c r="B48" s="368"/>
      <c r="C48" s="368"/>
      <c r="D48" s="368"/>
      <c r="E48" s="368"/>
      <c r="F48" s="368"/>
      <c r="G48" s="368"/>
      <c r="H48" s="368"/>
      <c r="I48" s="1">
        <v>40</v>
      </c>
      <c r="J48" s="55">
        <f>IF(J20-J21+J33-J34+J46-J47&gt;0,J20-J21+J33-J34+J46-J47,0)</f>
        <v>0</v>
      </c>
      <c r="K48" s="46">
        <f>IF(K20-K21+K33-K34+K46-K47&gt;0,K20-K21+K33-K34+K46-K47,0)</f>
        <v>0</v>
      </c>
    </row>
    <row r="49" spans="1:11">
      <c r="A49" s="367" t="s">
        <v>591</v>
      </c>
      <c r="B49" s="368"/>
      <c r="C49" s="368"/>
      <c r="D49" s="368"/>
      <c r="E49" s="368"/>
      <c r="F49" s="368"/>
      <c r="G49" s="368"/>
      <c r="H49" s="368"/>
      <c r="I49" s="1">
        <v>41</v>
      </c>
      <c r="J49" s="55">
        <f>IF(J21-J20+J34-J33+J47-J46&gt;0,J21-J20+J34-J33+J47-J46,0)</f>
        <v>0</v>
      </c>
      <c r="K49" s="46">
        <f>IF(K21-K20+K34-K33+K47-K46&gt;0,K21-K20+K34-K33+K47-K46,0)</f>
        <v>0</v>
      </c>
    </row>
    <row r="50" spans="1:11">
      <c r="A50" s="367" t="s">
        <v>541</v>
      </c>
      <c r="B50" s="368"/>
      <c r="C50" s="368"/>
      <c r="D50" s="368"/>
      <c r="E50" s="368"/>
      <c r="F50" s="368"/>
      <c r="G50" s="368"/>
      <c r="H50" s="368"/>
      <c r="I50" s="1">
        <v>42</v>
      </c>
      <c r="J50" s="5"/>
      <c r="K50" s="7"/>
    </row>
    <row r="51" spans="1:11">
      <c r="A51" s="367" t="s">
        <v>548</v>
      </c>
      <c r="B51" s="368"/>
      <c r="C51" s="368"/>
      <c r="D51" s="368"/>
      <c r="E51" s="368"/>
      <c r="F51" s="368"/>
      <c r="G51" s="368"/>
      <c r="H51" s="368"/>
      <c r="I51" s="1">
        <v>43</v>
      </c>
      <c r="J51" s="5"/>
      <c r="K51" s="7"/>
    </row>
    <row r="52" spans="1:11">
      <c r="A52" s="367" t="s">
        <v>549</v>
      </c>
      <c r="B52" s="368"/>
      <c r="C52" s="368"/>
      <c r="D52" s="368"/>
      <c r="E52" s="368"/>
      <c r="F52" s="368"/>
      <c r="G52" s="368"/>
      <c r="H52" s="368"/>
      <c r="I52" s="1">
        <v>44</v>
      </c>
      <c r="J52" s="5"/>
      <c r="K52" s="7"/>
    </row>
    <row r="53" spans="1:11">
      <c r="A53" s="378" t="s">
        <v>550</v>
      </c>
      <c r="B53" s="379"/>
      <c r="C53" s="379"/>
      <c r="D53" s="379"/>
      <c r="E53" s="379"/>
      <c r="F53" s="379"/>
      <c r="G53" s="379"/>
      <c r="H53" s="379"/>
      <c r="I53" s="4">
        <v>45</v>
      </c>
      <c r="J53" s="56">
        <f>J50+J51-J52</f>
        <v>0</v>
      </c>
      <c r="K53" s="52">
        <f>K50+K51-K52</f>
        <v>0</v>
      </c>
    </row>
    <row r="54" spans="1:11">
      <c r="A54" s="61"/>
      <c r="B54" s="62"/>
      <c r="C54" s="62"/>
      <c r="D54" s="62"/>
      <c r="E54" s="62"/>
      <c r="F54" s="62"/>
      <c r="G54" s="62"/>
      <c r="H54" s="62"/>
      <c r="I54" s="62"/>
      <c r="J54" s="62"/>
      <c r="K54" s="62"/>
    </row>
  </sheetData>
  <sheetCalcPr fullCalcOnLoad="1"/>
  <mergeCells count="53">
    <mergeCell ref="A3:K3"/>
    <mergeCell ref="A1:K1"/>
    <mergeCell ref="A2:K2"/>
    <mergeCell ref="A4:H4"/>
    <mergeCell ref="A9:H9"/>
    <mergeCell ref="A10:H10"/>
    <mergeCell ref="A11:H11"/>
    <mergeCell ref="A12:H12"/>
    <mergeCell ref="A5:H5"/>
    <mergeCell ref="A6:K6"/>
    <mergeCell ref="A7:H7"/>
    <mergeCell ref="A8:H8"/>
    <mergeCell ref="A17:H17"/>
    <mergeCell ref="A18:H18"/>
    <mergeCell ref="A19:H19"/>
    <mergeCell ref="A20:H20"/>
    <mergeCell ref="A13:H13"/>
    <mergeCell ref="A14:H14"/>
    <mergeCell ref="A15:H15"/>
    <mergeCell ref="A16:H16"/>
    <mergeCell ref="A25:H25"/>
    <mergeCell ref="A26:H26"/>
    <mergeCell ref="A27:H27"/>
    <mergeCell ref="A28:H28"/>
    <mergeCell ref="A21:H21"/>
    <mergeCell ref="A22:K22"/>
    <mergeCell ref="A23:H23"/>
    <mergeCell ref="A24:H24"/>
    <mergeCell ref="A33:H33"/>
    <mergeCell ref="A34:H34"/>
    <mergeCell ref="A35:K35"/>
    <mergeCell ref="A36:H36"/>
    <mergeCell ref="A29:H29"/>
    <mergeCell ref="A30:H30"/>
    <mergeCell ref="A31:H31"/>
    <mergeCell ref="A32:H32"/>
    <mergeCell ref="A41:H41"/>
    <mergeCell ref="A42:H42"/>
    <mergeCell ref="A43:H43"/>
    <mergeCell ref="A44:H44"/>
    <mergeCell ref="A37:H37"/>
    <mergeCell ref="A38:H38"/>
    <mergeCell ref="A39:H39"/>
    <mergeCell ref="A40:H40"/>
    <mergeCell ref="A45:H45"/>
    <mergeCell ref="A46:H46"/>
    <mergeCell ref="A47:H47"/>
    <mergeCell ref="A52:H52"/>
    <mergeCell ref="A53:H53"/>
    <mergeCell ref="A48:H48"/>
    <mergeCell ref="A49:H49"/>
    <mergeCell ref="A50:H50"/>
    <mergeCell ref="A51:H51"/>
  </mergeCells>
  <phoneticPr fontId="6" type="noConversion"/>
  <dataValidations disablePrompts="1" count="3">
    <dataValidation type="whole" operator="notEqual" allowBlank="1" showInputMessage="1" showErrorMessage="1" errorTitle="Pogrešan unos" error="Mogu se unijeti samo cjelobrojne pozitivne vrijednosti." sqref="J53:K53">
      <formula1>9999999999</formula1>
    </dataValidation>
    <dataValidation type="whole" operator="notEqual" allowBlank="1" showInputMessage="1" showErrorMessage="1" errorTitle="Pogrešan unos" error="Mogu se unijeti samo cjelobrojne vrijednosti." sqref="J50:K52 J7:K11 J13:K18 J23:K27 J29:K31 J36:K38 J40:K44">
      <formula1>9999999998</formula1>
    </dataValidation>
    <dataValidation type="whole" operator="greaterThanOrEqual" allowBlank="1" showInputMessage="1" showErrorMessage="1" errorTitle="Pogrešan unos" error="Mogu se unijeti samo cjelobrojne pozitivne vrijednosti." sqref="J12:K12 J19:K22 J28:K28 J32:K35 J39:K39 J45:K49">
      <formula1>0</formula1>
    </dataValidation>
  </dataValidations>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codeName="Sheet6" enableFormatConditionsCalculation="0"/>
  <dimension ref="A1:L25"/>
  <sheetViews>
    <sheetView view="pageBreakPreview" zoomScale="125" zoomScaleSheetLayoutView="125" workbookViewId="0">
      <selection activeCell="J23" sqref="J23"/>
    </sheetView>
  </sheetViews>
  <sheetFormatPr baseColWidth="10" defaultColWidth="8.83203125" defaultRowHeight="12"/>
  <cols>
    <col min="1" max="4" width="8.83203125" style="67"/>
    <col min="5" max="5" width="10.1640625" style="67" bestFit="1" customWidth="1"/>
    <col min="6" max="9" width="8.83203125" style="67"/>
    <col min="10" max="10" width="15.6640625" style="67" customWidth="1"/>
    <col min="11" max="11" width="17.5" style="67" customWidth="1"/>
    <col min="12" max="16384" width="8.83203125" style="67"/>
  </cols>
  <sheetData>
    <row r="1" spans="1:12" ht="16.5" customHeight="1">
      <c r="A1" s="448" t="s">
        <v>258</v>
      </c>
      <c r="B1" s="449"/>
      <c r="C1" s="449"/>
      <c r="D1" s="449"/>
      <c r="E1" s="449"/>
      <c r="F1" s="449"/>
      <c r="G1" s="449"/>
      <c r="H1" s="449"/>
      <c r="I1" s="449"/>
      <c r="J1" s="449"/>
      <c r="K1" s="449"/>
      <c r="L1" s="66"/>
    </row>
    <row r="2" spans="1:12" ht="15.75">
      <c r="A2" s="38"/>
      <c r="B2" s="65"/>
      <c r="C2" s="436" t="s">
        <v>259</v>
      </c>
      <c r="D2" s="437"/>
      <c r="E2" s="68">
        <v>40544</v>
      </c>
      <c r="F2" s="240" t="s">
        <v>491</v>
      </c>
      <c r="G2" s="438">
        <v>40633</v>
      </c>
      <c r="H2" s="439"/>
      <c r="I2" s="65"/>
      <c r="J2" s="65"/>
      <c r="K2" s="65"/>
      <c r="L2" s="69"/>
    </row>
    <row r="3" spans="1:12">
      <c r="A3" s="426" t="s">
        <v>527</v>
      </c>
      <c r="B3" s="440"/>
      <c r="C3" s="440"/>
      <c r="D3" s="440"/>
      <c r="E3" s="440"/>
      <c r="F3" s="440"/>
      <c r="G3" s="440"/>
      <c r="H3" s="440"/>
      <c r="I3" s="238" t="s">
        <v>348</v>
      </c>
      <c r="J3" s="239" t="s">
        <v>529</v>
      </c>
      <c r="K3" s="239" t="s">
        <v>530</v>
      </c>
    </row>
    <row r="4" spans="1:12">
      <c r="A4" s="441">
        <v>1</v>
      </c>
      <c r="B4" s="441"/>
      <c r="C4" s="441"/>
      <c r="D4" s="441"/>
      <c r="E4" s="441"/>
      <c r="F4" s="441"/>
      <c r="G4" s="441"/>
      <c r="H4" s="441"/>
      <c r="I4" s="73">
        <v>2</v>
      </c>
      <c r="J4" s="72" t="s">
        <v>560</v>
      </c>
      <c r="K4" s="72" t="s">
        <v>561</v>
      </c>
    </row>
    <row r="5" spans="1:12" ht="12.75" customHeight="1">
      <c r="A5" s="414" t="s">
        <v>260</v>
      </c>
      <c r="B5" s="414"/>
      <c r="C5" s="414"/>
      <c r="D5" s="414"/>
      <c r="E5" s="414"/>
      <c r="F5" s="414"/>
      <c r="G5" s="414"/>
      <c r="H5" s="414"/>
      <c r="I5" s="39">
        <v>1</v>
      </c>
      <c r="J5" s="6">
        <v>28200700</v>
      </c>
      <c r="K5" s="6">
        <v>28200700</v>
      </c>
    </row>
    <row r="6" spans="1:12" ht="12.75" customHeight="1">
      <c r="A6" s="414" t="s">
        <v>261</v>
      </c>
      <c r="B6" s="414"/>
      <c r="C6" s="414"/>
      <c r="D6" s="414"/>
      <c r="E6" s="414"/>
      <c r="F6" s="414"/>
      <c r="G6" s="414"/>
      <c r="H6" s="414"/>
      <c r="I6" s="39">
        <v>2</v>
      </c>
      <c r="J6" s="7">
        <v>194354000</v>
      </c>
      <c r="K6" s="7">
        <v>194354000</v>
      </c>
    </row>
    <row r="7" spans="1:12" ht="12.75" customHeight="1">
      <c r="A7" s="414" t="s">
        <v>262</v>
      </c>
      <c r="B7" s="414"/>
      <c r="C7" s="414"/>
      <c r="D7" s="414"/>
      <c r="E7" s="414"/>
      <c r="F7" s="414"/>
      <c r="G7" s="414"/>
      <c r="H7" s="414"/>
      <c r="I7" s="39">
        <v>3</v>
      </c>
      <c r="J7" s="7"/>
      <c r="K7" s="7"/>
    </row>
    <row r="8" spans="1:12" ht="12.75" customHeight="1">
      <c r="A8" s="414" t="s">
        <v>263</v>
      </c>
      <c r="B8" s="414"/>
      <c r="C8" s="414"/>
      <c r="D8" s="414"/>
      <c r="E8" s="414"/>
      <c r="F8" s="414"/>
      <c r="G8" s="414"/>
      <c r="H8" s="414"/>
      <c r="I8" s="39">
        <v>4</v>
      </c>
      <c r="J8" s="7">
        <v>-553595946</v>
      </c>
      <c r="K8" s="7">
        <v>-619250046</v>
      </c>
    </row>
    <row r="9" spans="1:12" ht="12.75" customHeight="1">
      <c r="A9" s="414" t="s">
        <v>264</v>
      </c>
      <c r="B9" s="414"/>
      <c r="C9" s="414"/>
      <c r="D9" s="414"/>
      <c r="E9" s="414"/>
      <c r="F9" s="414"/>
      <c r="G9" s="414"/>
      <c r="H9" s="414"/>
      <c r="I9" s="39">
        <v>5</v>
      </c>
      <c r="J9" s="7">
        <v>-65654100</v>
      </c>
      <c r="K9" s="7">
        <v>-14554790</v>
      </c>
    </row>
    <row r="10" spans="1:12" ht="12.75" customHeight="1">
      <c r="A10" s="414" t="s">
        <v>265</v>
      </c>
      <c r="B10" s="414"/>
      <c r="C10" s="414"/>
      <c r="D10" s="414"/>
      <c r="E10" s="414"/>
      <c r="F10" s="414"/>
      <c r="G10" s="414"/>
      <c r="H10" s="414"/>
      <c r="I10" s="39">
        <v>6</v>
      </c>
      <c r="J10" s="7"/>
      <c r="K10" s="7"/>
    </row>
    <row r="11" spans="1:12" ht="12.75" customHeight="1">
      <c r="A11" s="414" t="s">
        <v>266</v>
      </c>
      <c r="B11" s="414"/>
      <c r="C11" s="414"/>
      <c r="D11" s="414"/>
      <c r="E11" s="414"/>
      <c r="F11" s="414"/>
      <c r="G11" s="414"/>
      <c r="H11" s="414"/>
      <c r="I11" s="39">
        <v>7</v>
      </c>
      <c r="J11" s="7"/>
      <c r="K11" s="7"/>
    </row>
    <row r="12" spans="1:12" ht="12.75" customHeight="1">
      <c r="A12" s="414" t="s">
        <v>267</v>
      </c>
      <c r="B12" s="414"/>
      <c r="C12" s="414"/>
      <c r="D12" s="414"/>
      <c r="E12" s="414"/>
      <c r="F12" s="414"/>
      <c r="G12" s="414"/>
      <c r="H12" s="414"/>
      <c r="I12" s="39">
        <v>8</v>
      </c>
      <c r="J12" s="7"/>
      <c r="K12" s="7"/>
    </row>
    <row r="13" spans="1:12" ht="12.75" customHeight="1">
      <c r="A13" s="414" t="s">
        <v>268</v>
      </c>
      <c r="B13" s="414"/>
      <c r="C13" s="414"/>
      <c r="D13" s="414"/>
      <c r="E13" s="414"/>
      <c r="F13" s="414"/>
      <c r="G13" s="414"/>
      <c r="H13" s="414"/>
      <c r="I13" s="39">
        <v>9</v>
      </c>
      <c r="J13" s="7"/>
      <c r="K13" s="7"/>
    </row>
    <row r="14" spans="1:12" ht="12.75" customHeight="1">
      <c r="A14" s="413" t="s">
        <v>269</v>
      </c>
      <c r="B14" s="434"/>
      <c r="C14" s="434"/>
      <c r="D14" s="434"/>
      <c r="E14" s="434"/>
      <c r="F14" s="434"/>
      <c r="G14" s="434"/>
      <c r="H14" s="435"/>
      <c r="I14" s="39">
        <v>10</v>
      </c>
      <c r="J14" s="46">
        <f>SUM(J5:J13)</f>
        <v>-396695346</v>
      </c>
      <c r="K14" s="46">
        <f>SUM(K5:K13)</f>
        <v>-411250136</v>
      </c>
    </row>
    <row r="15" spans="1:12" ht="12.75" customHeight="1">
      <c r="A15" s="414" t="s">
        <v>270</v>
      </c>
      <c r="B15" s="415"/>
      <c r="C15" s="415"/>
      <c r="D15" s="415"/>
      <c r="E15" s="415"/>
      <c r="F15" s="415"/>
      <c r="G15" s="415"/>
      <c r="H15" s="450"/>
      <c r="I15" s="39">
        <v>11</v>
      </c>
      <c r="J15" s="7"/>
      <c r="K15" s="7"/>
    </row>
    <row r="16" spans="1:12" ht="12.75" customHeight="1">
      <c r="A16" s="414" t="s">
        <v>271</v>
      </c>
      <c r="B16" s="415"/>
      <c r="C16" s="415"/>
      <c r="D16" s="415"/>
      <c r="E16" s="415"/>
      <c r="F16" s="415"/>
      <c r="G16" s="415"/>
      <c r="H16" s="450"/>
      <c r="I16" s="39">
        <v>12</v>
      </c>
      <c r="J16" s="7"/>
      <c r="K16" s="7"/>
    </row>
    <row r="17" spans="1:11" ht="12.75" customHeight="1">
      <c r="A17" s="414" t="s">
        <v>272</v>
      </c>
      <c r="B17" s="415"/>
      <c r="C17" s="415"/>
      <c r="D17" s="415"/>
      <c r="E17" s="415"/>
      <c r="F17" s="415"/>
      <c r="G17" s="415"/>
      <c r="H17" s="450"/>
      <c r="I17" s="39">
        <v>13</v>
      </c>
      <c r="J17" s="7"/>
      <c r="K17" s="7"/>
    </row>
    <row r="18" spans="1:11" ht="12.75" customHeight="1">
      <c r="A18" s="414" t="s">
        <v>273</v>
      </c>
      <c r="B18" s="415"/>
      <c r="C18" s="415"/>
      <c r="D18" s="415"/>
      <c r="E18" s="415"/>
      <c r="F18" s="415"/>
      <c r="G18" s="415"/>
      <c r="H18" s="450"/>
      <c r="I18" s="39">
        <v>14</v>
      </c>
      <c r="J18" s="7"/>
      <c r="K18" s="7"/>
    </row>
    <row r="19" spans="1:11" ht="12.75" customHeight="1">
      <c r="A19" s="414" t="s">
        <v>274</v>
      </c>
      <c r="B19" s="415"/>
      <c r="C19" s="415"/>
      <c r="D19" s="415"/>
      <c r="E19" s="415"/>
      <c r="F19" s="415"/>
      <c r="G19" s="415"/>
      <c r="H19" s="450"/>
      <c r="I19" s="39">
        <v>15</v>
      </c>
      <c r="J19" s="7"/>
      <c r="K19" s="7"/>
    </row>
    <row r="20" spans="1:11" ht="12.75" customHeight="1">
      <c r="A20" s="414" t="s">
        <v>275</v>
      </c>
      <c r="B20" s="415"/>
      <c r="C20" s="415"/>
      <c r="D20" s="415"/>
      <c r="E20" s="415"/>
      <c r="F20" s="415"/>
      <c r="G20" s="415"/>
      <c r="H20" s="450"/>
      <c r="I20" s="39">
        <v>16</v>
      </c>
      <c r="J20" s="7"/>
      <c r="K20" s="7"/>
    </row>
    <row r="21" spans="1:11" ht="12.75" customHeight="1">
      <c r="A21" s="451" t="s">
        <v>276</v>
      </c>
      <c r="B21" s="452"/>
      <c r="C21" s="452"/>
      <c r="D21" s="452"/>
      <c r="E21" s="452"/>
      <c r="F21" s="452"/>
      <c r="G21" s="452"/>
      <c r="H21" s="453"/>
      <c r="I21" s="39">
        <v>17</v>
      </c>
      <c r="J21" s="52">
        <f>SUM(J15:J20)</f>
        <v>0</v>
      </c>
      <c r="K21" s="52">
        <f>SUM(K15:K20)</f>
        <v>0</v>
      </c>
    </row>
    <row r="22" spans="1:11">
      <c r="A22" s="454"/>
      <c r="B22" s="455"/>
      <c r="C22" s="455"/>
      <c r="D22" s="455"/>
      <c r="E22" s="455"/>
      <c r="F22" s="455"/>
      <c r="G22" s="455"/>
      <c r="H22" s="455"/>
      <c r="I22" s="456"/>
      <c r="J22" s="456"/>
      <c r="K22" s="457"/>
    </row>
    <row r="23" spans="1:11">
      <c r="A23" s="442" t="s">
        <v>277</v>
      </c>
      <c r="B23" s="443"/>
      <c r="C23" s="443"/>
      <c r="D23" s="443"/>
      <c r="E23" s="443"/>
      <c r="F23" s="443"/>
      <c r="G23" s="443"/>
      <c r="H23" s="443"/>
      <c r="I23" s="41">
        <v>18</v>
      </c>
      <c r="J23" s="40"/>
      <c r="K23" s="70"/>
    </row>
    <row r="24" spans="1:11" ht="17.25" customHeight="1">
      <c r="A24" s="444" t="s">
        <v>278</v>
      </c>
      <c r="B24" s="445"/>
      <c r="C24" s="445"/>
      <c r="D24" s="445"/>
      <c r="E24" s="445"/>
      <c r="F24" s="445"/>
      <c r="G24" s="445"/>
      <c r="H24" s="445"/>
      <c r="I24" s="42">
        <v>19</v>
      </c>
      <c r="J24" s="71"/>
      <c r="K24" s="71"/>
    </row>
    <row r="25" spans="1:11" ht="30" customHeight="1">
      <c r="A25" s="446" t="s">
        <v>231</v>
      </c>
      <c r="B25" s="447"/>
      <c r="C25" s="447"/>
      <c r="D25" s="447"/>
      <c r="E25" s="447"/>
      <c r="F25" s="447"/>
      <c r="G25" s="447"/>
      <c r="H25" s="447"/>
      <c r="I25" s="447"/>
      <c r="J25" s="447"/>
      <c r="K25" s="447"/>
    </row>
  </sheetData>
  <sheetCalcPr fullCalcOnLoad="1"/>
  <protectedRanges>
    <protectedRange sqref="E2" name="Range1_1"/>
    <protectedRange sqref="G2:H2" name="Range1"/>
  </protectedRanges>
  <mergeCells count="26">
    <mergeCell ref="A23:H23"/>
    <mergeCell ref="A24:H24"/>
    <mergeCell ref="A25:K25"/>
    <mergeCell ref="A1:K1"/>
    <mergeCell ref="A19:H19"/>
    <mergeCell ref="A20:H20"/>
    <mergeCell ref="A21:H21"/>
    <mergeCell ref="A22:K22"/>
    <mergeCell ref="A15:H15"/>
    <mergeCell ref="A16:H16"/>
    <mergeCell ref="A7:H7"/>
    <mergeCell ref="A8:H8"/>
    <mergeCell ref="A9:H9"/>
    <mergeCell ref="A10:H10"/>
    <mergeCell ref="A17:H17"/>
    <mergeCell ref="A18:H18"/>
    <mergeCell ref="A11:H11"/>
    <mergeCell ref="A12:H12"/>
    <mergeCell ref="A13:H13"/>
    <mergeCell ref="A14:H14"/>
    <mergeCell ref="C2:D2"/>
    <mergeCell ref="G2:H2"/>
    <mergeCell ref="A3:H3"/>
    <mergeCell ref="A4:H4"/>
    <mergeCell ref="A5:H5"/>
    <mergeCell ref="A6:H6"/>
  </mergeCells>
  <phoneticPr fontId="6" type="noConversion"/>
  <conditionalFormatting sqref="G2">
    <cfRule type="cellIs" dxfId="0" priority="1" stopIfTrue="1" operator="lessThan">
      <formula>#REF!</formula>
    </cfRule>
  </conditionalFormatting>
  <dataValidations count="4">
    <dataValidation type="whole" operator="notEqual" allowBlank="1" showInputMessage="1" showErrorMessage="1" errorTitle="Pogrešan unos" error="Mogu se unijeti samo cjelobrojne vrijednosti." sqref="J23:J24 K24">
      <formula1>9999999999</formula1>
    </dataValidation>
    <dataValidation type="whole" operator="notEqual" allowBlank="1" showInputMessage="1" showErrorMessage="1" errorTitle="Pogrešan unos" error="Mogu se unijeti samo cjelobrojne vrijednosti." sqref="J15:K20 J5:K13">
      <formula1>999999999999</formula1>
    </dataValidation>
    <dataValidation type="whole" operator="greaterThanOrEqual" allowBlank="1" showInputMessage="1" showErrorMessage="1" errorTitle="Pogrešan unos" error="Mogu se unijeti samo cjelobrojne pozitivne vrijednosti." sqref="J21:K22 K23 J14:K14">
      <formula1>0</formula1>
    </dataValidation>
    <dataValidation type="date" operator="greaterThanOrEqual" allowBlank="1" showInputMessage="1" showErrorMessage="1" errorTitle="Pogrešan datum" error="Datum mora biti upisan kao datumska vrijednost u 2008. godini ili kasnije. Ako upisujete ispravno datum, a javlja se ova pogreška, provjerite stavljajte li točku nakon godine, ne upisujte je" sqref="E2 G2">
      <formula1>39448</formula1>
    </dataValidation>
  </dataValidations>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codeName="Sheet7" enableFormatConditionsCalculation="0"/>
  <dimension ref="A1:L492"/>
  <sheetViews>
    <sheetView tabSelected="1" view="pageBreakPreview" topLeftCell="A341" zoomScale="110" zoomScaleSheetLayoutView="110" workbookViewId="0">
      <selection activeCell="H361" sqref="H361"/>
    </sheetView>
  </sheetViews>
  <sheetFormatPr baseColWidth="10" defaultColWidth="8.83203125" defaultRowHeight="12"/>
  <cols>
    <col min="1" max="1" width="29.1640625" style="116" customWidth="1"/>
    <col min="2" max="9" width="13.6640625" style="116" customWidth="1"/>
    <col min="10" max="10" width="8.83203125" style="116"/>
    <col min="11" max="11" width="8.83203125" style="222"/>
    <col min="12" max="16384" width="8.83203125" style="112"/>
  </cols>
  <sheetData>
    <row r="1" spans="1:11" ht="15.75">
      <c r="A1" s="115"/>
    </row>
    <row r="2" spans="1:11" ht="18">
      <c r="A2" s="459" t="s">
        <v>232</v>
      </c>
      <c r="B2" s="459"/>
      <c r="C2" s="459"/>
      <c r="D2" s="459"/>
      <c r="E2" s="459"/>
      <c r="F2" s="459"/>
      <c r="G2" s="459"/>
      <c r="H2" s="459"/>
      <c r="I2" s="459"/>
    </row>
    <row r="3" spans="1:11" ht="16">
      <c r="A3" s="117"/>
    </row>
    <row r="4" spans="1:11" ht="12.75" customHeight="1">
      <c r="A4" s="115"/>
    </row>
    <row r="5" spans="1:11" ht="12.75" customHeight="1">
      <c r="A5" s="460" t="s">
        <v>233</v>
      </c>
      <c r="B5" s="460"/>
      <c r="C5" s="460"/>
      <c r="D5" s="460"/>
      <c r="E5" s="460"/>
      <c r="F5" s="460"/>
      <c r="G5" s="460"/>
      <c r="H5" s="460"/>
      <c r="I5" s="460"/>
      <c r="J5" s="460"/>
    </row>
    <row r="6" spans="1:11" ht="12.75" customHeight="1">
      <c r="A6" s="118"/>
      <c r="B6" s="118"/>
      <c r="C6" s="118"/>
      <c r="D6" s="118"/>
      <c r="E6" s="118"/>
      <c r="F6" s="118"/>
      <c r="G6" s="118"/>
      <c r="H6" s="118"/>
      <c r="I6" s="118"/>
      <c r="J6" s="118"/>
    </row>
    <row r="7" spans="1:11" ht="12.75" customHeight="1">
      <c r="A7" s="460" t="s">
        <v>234</v>
      </c>
      <c r="B7" s="460"/>
      <c r="C7" s="460"/>
      <c r="D7" s="460"/>
      <c r="E7" s="460"/>
      <c r="F7" s="460"/>
      <c r="G7" s="460"/>
      <c r="H7" s="460"/>
      <c r="I7" s="460"/>
      <c r="J7" s="460"/>
    </row>
    <row r="8" spans="1:11" ht="29.25" customHeight="1">
      <c r="A8" s="458" t="s">
        <v>235</v>
      </c>
      <c r="B8" s="458"/>
      <c r="C8" s="458"/>
      <c r="D8" s="458"/>
      <c r="E8" s="458"/>
      <c r="F8" s="458"/>
      <c r="G8" s="458"/>
      <c r="H8" s="458"/>
      <c r="I8" s="458"/>
      <c r="J8" s="281"/>
    </row>
    <row r="9" spans="1:11" ht="29.25" customHeight="1">
      <c r="A9" s="458" t="s">
        <v>236</v>
      </c>
      <c r="B9" s="458"/>
      <c r="C9" s="458"/>
      <c r="D9" s="458"/>
      <c r="E9" s="458"/>
      <c r="F9" s="458"/>
      <c r="G9" s="458"/>
      <c r="H9" s="458"/>
      <c r="I9" s="458"/>
      <c r="J9" s="282"/>
    </row>
    <row r="10" spans="1:11" ht="12.75" customHeight="1">
      <c r="A10" s="119"/>
    </row>
    <row r="11" spans="1:11" ht="12.75" customHeight="1">
      <c r="A11" s="461" t="s">
        <v>237</v>
      </c>
      <c r="B11" s="461"/>
      <c r="C11" s="461"/>
      <c r="D11" s="461"/>
      <c r="E11" s="461"/>
      <c r="F11" s="461"/>
      <c r="G11" s="461"/>
      <c r="H11" s="461"/>
      <c r="I11" s="461"/>
      <c r="J11" s="461"/>
    </row>
    <row r="12" spans="1:11" ht="12.75" customHeight="1">
      <c r="A12" s="119"/>
    </row>
    <row r="13" spans="1:11" ht="24.75" customHeight="1">
      <c r="A13" s="458" t="s">
        <v>238</v>
      </c>
      <c r="B13" s="458"/>
      <c r="C13" s="458"/>
      <c r="D13" s="458"/>
      <c r="E13" s="458"/>
      <c r="F13" s="458"/>
      <c r="G13" s="458"/>
      <c r="H13" s="458"/>
      <c r="I13" s="458"/>
      <c r="J13" s="282"/>
    </row>
    <row r="14" spans="1:11" ht="12.75" customHeight="1">
      <c r="A14" s="458" t="s">
        <v>579</v>
      </c>
      <c r="B14" s="458"/>
      <c r="C14" s="458"/>
      <c r="D14" s="458"/>
      <c r="E14" s="458"/>
      <c r="F14" s="458"/>
      <c r="G14" s="458"/>
      <c r="H14" s="458"/>
      <c r="I14" s="458"/>
      <c r="J14" s="282"/>
    </row>
    <row r="15" spans="1:11" ht="18" customHeight="1">
      <c r="A15" s="458" t="s">
        <v>239</v>
      </c>
      <c r="B15" s="458"/>
      <c r="C15" s="458"/>
      <c r="D15" s="458"/>
      <c r="E15" s="458"/>
      <c r="F15" s="458"/>
      <c r="G15" s="458"/>
      <c r="H15" s="458"/>
      <c r="I15" s="458"/>
      <c r="J15" s="282"/>
      <c r="K15" s="223"/>
    </row>
    <row r="16" spans="1:11" ht="12.75" customHeight="1">
      <c r="A16" s="458"/>
      <c r="B16" s="458"/>
      <c r="C16" s="458"/>
      <c r="D16" s="458"/>
      <c r="E16" s="458"/>
      <c r="F16" s="458"/>
      <c r="G16" s="458"/>
      <c r="H16" s="458"/>
      <c r="I16" s="458"/>
      <c r="J16" s="282"/>
    </row>
    <row r="17" spans="1:10" ht="57" customHeight="1">
      <c r="A17" s="458" t="s">
        <v>240</v>
      </c>
      <c r="B17" s="458"/>
      <c r="C17" s="458"/>
      <c r="D17" s="458"/>
      <c r="E17" s="458"/>
      <c r="F17" s="458"/>
      <c r="G17" s="458"/>
      <c r="H17" s="458"/>
      <c r="I17" s="458"/>
      <c r="J17" s="282"/>
    </row>
    <row r="18" spans="1:10" ht="12.75" customHeight="1">
      <c r="A18" s="120"/>
      <c r="B18" s="120"/>
      <c r="C18" s="120"/>
      <c r="D18" s="120"/>
      <c r="E18" s="120"/>
      <c r="F18" s="120"/>
      <c r="G18" s="120"/>
      <c r="H18" s="120"/>
      <c r="I18" s="120"/>
      <c r="J18" s="120"/>
    </row>
    <row r="19" spans="1:10">
      <c r="A19" s="120"/>
      <c r="B19" s="120"/>
      <c r="C19" s="120"/>
      <c r="D19" s="120"/>
      <c r="E19" s="120"/>
      <c r="F19" s="120"/>
      <c r="G19" s="120"/>
      <c r="H19" s="120"/>
      <c r="I19" s="120"/>
      <c r="J19" s="120"/>
    </row>
    <row r="20" spans="1:10">
      <c r="A20" s="119"/>
    </row>
    <row r="21" spans="1:10">
      <c r="A21" s="461" t="s">
        <v>209</v>
      </c>
      <c r="B21" s="461"/>
      <c r="C21" s="461"/>
      <c r="D21" s="461"/>
      <c r="E21" s="461"/>
      <c r="F21" s="461"/>
      <c r="G21" s="461"/>
      <c r="H21" s="461"/>
      <c r="I21" s="461"/>
      <c r="J21" s="461"/>
    </row>
    <row r="22" spans="1:10">
      <c r="A22" s="119"/>
    </row>
    <row r="23" spans="1:10">
      <c r="A23" s="463" t="s">
        <v>11</v>
      </c>
      <c r="B23" s="463"/>
      <c r="C23" s="463"/>
      <c r="D23" s="463"/>
      <c r="E23" s="463"/>
      <c r="F23" s="463"/>
      <c r="G23" s="463"/>
      <c r="H23" s="463"/>
      <c r="I23" s="463"/>
      <c r="J23" s="463"/>
    </row>
    <row r="24" spans="1:10">
      <c r="A24" s="121"/>
    </row>
    <row r="25" spans="1:10">
      <c r="A25" s="121"/>
    </row>
    <row r="26" spans="1:10">
      <c r="A26" s="464" t="s">
        <v>210</v>
      </c>
      <c r="B26" s="464"/>
      <c r="C26" s="464"/>
      <c r="D26" s="464"/>
      <c r="E26" s="464"/>
      <c r="F26" s="464"/>
      <c r="G26" s="464"/>
      <c r="H26" s="464"/>
      <c r="I26" s="464"/>
      <c r="J26" s="464"/>
    </row>
    <row r="27" spans="1:10">
      <c r="A27" s="119"/>
    </row>
    <row r="28" spans="1:10">
      <c r="A28" s="464" t="s">
        <v>211</v>
      </c>
      <c r="B28" s="464"/>
      <c r="C28" s="464"/>
      <c r="D28" s="464"/>
      <c r="E28" s="464"/>
      <c r="F28" s="464"/>
      <c r="G28" s="464"/>
      <c r="H28" s="464"/>
      <c r="I28" s="464"/>
      <c r="J28" s="464"/>
    </row>
    <row r="29" spans="1:10" ht="12.75" customHeight="1">
      <c r="A29" s="119" t="s">
        <v>583</v>
      </c>
      <c r="B29" s="465" t="s">
        <v>212</v>
      </c>
      <c r="C29" s="465"/>
      <c r="D29" s="465"/>
      <c r="E29" s="465"/>
      <c r="F29" s="465"/>
      <c r="G29" s="465"/>
      <c r="H29" s="465"/>
      <c r="I29" s="465"/>
      <c r="J29" s="465"/>
    </row>
    <row r="30" spans="1:10" ht="12.75" customHeight="1">
      <c r="A30" s="119" t="s">
        <v>581</v>
      </c>
      <c r="B30" s="465" t="s">
        <v>213</v>
      </c>
      <c r="C30" s="465"/>
      <c r="D30" s="465"/>
      <c r="E30" s="465"/>
      <c r="F30" s="465"/>
      <c r="G30" s="465"/>
      <c r="H30" s="465"/>
      <c r="I30" s="465"/>
      <c r="J30" s="465"/>
    </row>
    <row r="31" spans="1:10">
      <c r="A31" s="119" t="s">
        <v>582</v>
      </c>
      <c r="B31" s="465" t="s">
        <v>213</v>
      </c>
      <c r="C31" s="465"/>
      <c r="D31" s="465"/>
      <c r="E31" s="465"/>
      <c r="F31" s="465"/>
      <c r="G31" s="465"/>
      <c r="H31" s="465"/>
      <c r="I31" s="465"/>
      <c r="J31" s="465"/>
    </row>
    <row r="32" spans="1:10">
      <c r="A32" s="123"/>
      <c r="B32" s="123"/>
    </row>
    <row r="33" spans="1:11">
      <c r="A33" s="123"/>
      <c r="B33" s="123"/>
    </row>
    <row r="34" spans="1:11">
      <c r="A34" s="462" t="s">
        <v>214</v>
      </c>
      <c r="B34" s="462"/>
      <c r="C34" s="462"/>
      <c r="D34" s="462"/>
      <c r="E34" s="462"/>
      <c r="F34" s="462"/>
      <c r="G34" s="462"/>
      <c r="H34" s="462"/>
      <c r="I34" s="462"/>
      <c r="J34" s="462"/>
    </row>
    <row r="35" spans="1:11">
      <c r="A35" s="119" t="s">
        <v>584</v>
      </c>
      <c r="B35" s="465" t="s">
        <v>215</v>
      </c>
      <c r="C35" s="465"/>
      <c r="D35" s="465"/>
      <c r="E35" s="465"/>
      <c r="F35" s="465"/>
      <c r="G35" s="465"/>
      <c r="H35" s="465"/>
      <c r="I35" s="465"/>
      <c r="J35" s="465"/>
    </row>
    <row r="36" spans="1:11">
      <c r="A36" s="119" t="s">
        <v>485</v>
      </c>
      <c r="B36" s="465" t="s">
        <v>216</v>
      </c>
      <c r="C36" s="465"/>
      <c r="D36" s="465"/>
      <c r="E36" s="465"/>
      <c r="F36" s="465"/>
      <c r="G36" s="465"/>
      <c r="H36" s="465"/>
      <c r="I36" s="465"/>
      <c r="J36" s="465"/>
    </row>
    <row r="37" spans="1:11">
      <c r="A37" s="119" t="s">
        <v>486</v>
      </c>
      <c r="B37" s="465" t="s">
        <v>217</v>
      </c>
      <c r="C37" s="465"/>
      <c r="D37" s="465"/>
      <c r="E37" s="465"/>
      <c r="F37" s="465"/>
      <c r="G37" s="465"/>
      <c r="H37" s="465"/>
      <c r="I37" s="465"/>
      <c r="J37" s="465"/>
    </row>
    <row r="38" spans="1:11">
      <c r="A38" s="119"/>
      <c r="B38" s="124"/>
      <c r="C38" s="124"/>
      <c r="D38" s="124"/>
      <c r="E38" s="124"/>
      <c r="F38" s="124"/>
      <c r="G38" s="124"/>
      <c r="H38" s="124"/>
      <c r="I38" s="124"/>
      <c r="J38" s="124"/>
    </row>
    <row r="39" spans="1:11">
      <c r="A39" s="119"/>
    </row>
    <row r="40" spans="1:11">
      <c r="A40" s="462" t="s">
        <v>218</v>
      </c>
      <c r="B40" s="462"/>
      <c r="C40" s="462"/>
      <c r="D40" s="462"/>
      <c r="E40" s="462"/>
      <c r="F40" s="462"/>
      <c r="G40" s="462"/>
      <c r="H40" s="462"/>
      <c r="I40" s="462"/>
    </row>
    <row r="41" spans="1:11">
      <c r="A41" s="125"/>
      <c r="B41" s="125"/>
      <c r="C41" s="125"/>
      <c r="D41" s="125"/>
      <c r="E41" s="125"/>
      <c r="F41" s="125"/>
      <c r="G41" s="125"/>
      <c r="H41" s="125"/>
      <c r="I41" s="125"/>
    </row>
    <row r="42" spans="1:11">
      <c r="A42" s="462" t="s">
        <v>219</v>
      </c>
      <c r="B42" s="462"/>
      <c r="C42" s="462"/>
      <c r="D42" s="462"/>
      <c r="E42" s="462"/>
      <c r="F42" s="462"/>
      <c r="G42" s="462"/>
      <c r="H42" s="462"/>
      <c r="I42" s="462"/>
    </row>
    <row r="43" spans="1:11">
      <c r="A43" s="119"/>
    </row>
    <row r="44" spans="1:11" ht="28.5" customHeight="1">
      <c r="A44" s="458" t="s">
        <v>220</v>
      </c>
      <c r="B44" s="458"/>
      <c r="C44" s="458"/>
      <c r="D44" s="458"/>
      <c r="E44" s="458"/>
      <c r="F44" s="458"/>
      <c r="G44" s="458"/>
      <c r="H44" s="458"/>
      <c r="I44" s="458"/>
      <c r="J44" s="283"/>
      <c r="K44" s="224"/>
    </row>
    <row r="45" spans="1:11" ht="28.5" customHeight="1">
      <c r="A45" s="458" t="s">
        <v>221</v>
      </c>
      <c r="B45" s="458"/>
      <c r="C45" s="458"/>
      <c r="D45" s="458"/>
      <c r="E45" s="458"/>
      <c r="F45" s="458"/>
      <c r="G45" s="458"/>
      <c r="H45" s="458"/>
      <c r="I45" s="458"/>
      <c r="J45" s="283"/>
      <c r="K45" s="224"/>
    </row>
    <row r="46" spans="1:11" ht="27.75" customHeight="1">
      <c r="A46" s="458" t="s">
        <v>222</v>
      </c>
      <c r="B46" s="458"/>
      <c r="C46" s="458"/>
      <c r="D46" s="458"/>
      <c r="E46" s="458"/>
      <c r="F46" s="458"/>
      <c r="G46" s="458"/>
      <c r="H46" s="458"/>
      <c r="I46" s="458"/>
      <c r="J46" s="283"/>
      <c r="K46" s="224"/>
    </row>
    <row r="47" spans="1:11">
      <c r="A47" s="124"/>
      <c r="B47" s="126"/>
      <c r="C47" s="126"/>
      <c r="D47" s="126"/>
      <c r="E47" s="126"/>
      <c r="F47" s="126"/>
      <c r="G47" s="126"/>
      <c r="H47" s="126"/>
      <c r="I47" s="126"/>
    </row>
    <row r="48" spans="1:11">
      <c r="A48" s="462" t="s">
        <v>223</v>
      </c>
      <c r="B48" s="462"/>
      <c r="C48" s="462"/>
      <c r="D48" s="462"/>
      <c r="E48" s="462"/>
      <c r="F48" s="462"/>
      <c r="G48" s="462"/>
      <c r="H48" s="462"/>
      <c r="I48" s="462"/>
    </row>
    <row r="49" spans="1:11" ht="27.75" customHeight="1">
      <c r="A49" s="458" t="s">
        <v>224</v>
      </c>
      <c r="B49" s="458"/>
      <c r="C49" s="458"/>
      <c r="D49" s="458"/>
      <c r="E49" s="458"/>
      <c r="F49" s="458"/>
      <c r="G49" s="458"/>
      <c r="H49" s="458"/>
      <c r="I49" s="458"/>
    </row>
    <row r="50" spans="1:11">
      <c r="A50" s="120"/>
      <c r="B50" s="120"/>
      <c r="C50" s="120"/>
      <c r="D50" s="120"/>
      <c r="E50" s="120"/>
      <c r="F50" s="120"/>
      <c r="G50" s="120"/>
      <c r="H50" s="120"/>
      <c r="I50" s="120"/>
    </row>
    <row r="51" spans="1:11">
      <c r="A51" s="120"/>
      <c r="B51" s="120"/>
      <c r="C51" s="120"/>
      <c r="D51" s="120"/>
      <c r="E51" s="120"/>
      <c r="F51" s="120"/>
      <c r="G51" s="120"/>
      <c r="H51" s="120"/>
      <c r="I51" s="120"/>
    </row>
    <row r="52" spans="1:11">
      <c r="A52" s="244" t="s">
        <v>225</v>
      </c>
    </row>
    <row r="53" spans="1:11">
      <c r="A53" s="128"/>
      <c r="B53" s="129" t="s">
        <v>522</v>
      </c>
      <c r="C53" s="129" t="s">
        <v>226</v>
      </c>
      <c r="D53" s="130"/>
      <c r="E53" s="130"/>
      <c r="K53" s="225"/>
    </row>
    <row r="54" spans="1:11">
      <c r="A54" s="128" t="s">
        <v>227</v>
      </c>
      <c r="B54" s="131">
        <v>64738940</v>
      </c>
      <c r="C54" s="131">
        <v>68510094</v>
      </c>
      <c r="D54" s="130"/>
      <c r="E54" s="130"/>
    </row>
    <row r="55" spans="1:11">
      <c r="A55" s="128" t="s">
        <v>228</v>
      </c>
      <c r="B55" s="131">
        <v>19948236</v>
      </c>
      <c r="C55" s="131">
        <v>17097620</v>
      </c>
      <c r="D55" s="130"/>
      <c r="E55" s="130"/>
      <c r="K55" s="225"/>
    </row>
    <row r="56" spans="1:11">
      <c r="A56" s="128" t="s">
        <v>229</v>
      </c>
      <c r="B56" s="131">
        <v>16236880</v>
      </c>
      <c r="C56" s="131">
        <v>12955388</v>
      </c>
      <c r="D56" s="130"/>
      <c r="E56" s="130"/>
      <c r="K56" s="225"/>
    </row>
    <row r="57" spans="1:11">
      <c r="A57" s="128" t="s">
        <v>230</v>
      </c>
      <c r="B57" s="131">
        <v>5080930</v>
      </c>
      <c r="C57" s="131">
        <v>4928402</v>
      </c>
      <c r="D57" s="130"/>
      <c r="E57" s="130"/>
    </row>
    <row r="58" spans="1:11">
      <c r="A58" s="128" t="s">
        <v>150</v>
      </c>
      <c r="B58" s="131">
        <v>2071164</v>
      </c>
      <c r="C58" s="131">
        <v>270899</v>
      </c>
      <c r="D58" s="130"/>
      <c r="E58" s="130"/>
    </row>
    <row r="59" spans="1:11">
      <c r="A59" s="128" t="s">
        <v>151</v>
      </c>
      <c r="B59" s="131">
        <v>561400</v>
      </c>
      <c r="C59" s="131">
        <v>520177</v>
      </c>
      <c r="D59" s="130"/>
      <c r="E59" s="130"/>
    </row>
    <row r="60" spans="1:11" ht="13" thickBot="1">
      <c r="A60" s="128" t="s">
        <v>152</v>
      </c>
      <c r="B60" s="134">
        <v>1174099</v>
      </c>
      <c r="C60" s="134">
        <v>972254</v>
      </c>
      <c r="D60" s="130"/>
      <c r="E60" s="130"/>
    </row>
    <row r="61" spans="1:11" ht="13" thickBot="1">
      <c r="A61" s="135"/>
      <c r="B61" s="136">
        <f>SUM(B54:B60)</f>
        <v>109811649</v>
      </c>
      <c r="C61" s="136">
        <f>SUM(C54:C60)</f>
        <v>105254834</v>
      </c>
      <c r="D61" s="130"/>
      <c r="E61" s="130"/>
    </row>
    <row r="62" spans="1:11" ht="15">
      <c r="A62" s="137"/>
      <c r="B62" s="123"/>
      <c r="C62" s="123"/>
      <c r="D62" s="123"/>
      <c r="E62" s="123"/>
      <c r="F62" s="123"/>
      <c r="G62" s="123"/>
      <c r="H62" s="123"/>
      <c r="I62" s="123"/>
      <c r="J62" s="123"/>
      <c r="K62" s="226"/>
    </row>
    <row r="63" spans="1:11" ht="15">
      <c r="A63" s="137"/>
      <c r="B63" s="123"/>
      <c r="C63" s="123"/>
      <c r="D63" s="123"/>
      <c r="E63" s="123"/>
      <c r="F63" s="123"/>
      <c r="G63" s="123"/>
      <c r="H63" s="123"/>
      <c r="I63" s="123"/>
      <c r="J63" s="123"/>
      <c r="K63" s="226"/>
    </row>
    <row r="64" spans="1:11">
      <c r="A64" s="247" t="s">
        <v>153</v>
      </c>
    </row>
    <row r="65" spans="1:5">
      <c r="A65" s="135"/>
      <c r="B65" s="129" t="s">
        <v>522</v>
      </c>
      <c r="C65" s="129" t="s">
        <v>226</v>
      </c>
      <c r="D65" s="138"/>
      <c r="E65" s="138"/>
    </row>
    <row r="66" spans="1:5">
      <c r="A66" s="210" t="s">
        <v>154</v>
      </c>
      <c r="B66" s="131">
        <v>810294</v>
      </c>
      <c r="C66" s="131">
        <v>578176</v>
      </c>
      <c r="D66" s="138"/>
      <c r="E66" s="138"/>
    </row>
    <row r="67" spans="1:5">
      <c r="A67" s="210" t="s">
        <v>155</v>
      </c>
      <c r="B67" s="131">
        <v>444661</v>
      </c>
      <c r="C67" s="131">
        <v>328363</v>
      </c>
      <c r="D67" s="138"/>
      <c r="E67" s="138"/>
    </row>
    <row r="68" spans="1:5">
      <c r="A68" s="210" t="s">
        <v>156</v>
      </c>
      <c r="B68" s="200">
        <v>0</v>
      </c>
      <c r="C68" s="200">
        <v>76630</v>
      </c>
      <c r="D68" s="138"/>
      <c r="E68" s="138"/>
    </row>
    <row r="69" spans="1:5">
      <c r="A69" s="210" t="s">
        <v>157</v>
      </c>
      <c r="B69" s="131">
        <v>65346</v>
      </c>
      <c r="C69" s="131">
        <v>0</v>
      </c>
      <c r="D69" s="138"/>
      <c r="E69" s="138"/>
    </row>
    <row r="70" spans="1:5" ht="13" thickBot="1">
      <c r="A70" s="210" t="s">
        <v>158</v>
      </c>
      <c r="B70" s="134">
        <v>164637</v>
      </c>
      <c r="C70" s="134">
        <v>548790</v>
      </c>
      <c r="D70" s="138"/>
      <c r="E70" s="138"/>
    </row>
    <row r="71" spans="1:5" ht="13" thickBot="1">
      <c r="A71" s="135"/>
      <c r="B71" s="136">
        <f>SUM(B66:B70)</f>
        <v>1484938</v>
      </c>
      <c r="C71" s="136">
        <f>SUM(C66:C70)</f>
        <v>1531959</v>
      </c>
      <c r="D71" s="138"/>
      <c r="E71" s="138"/>
    </row>
    <row r="72" spans="1:5">
      <c r="A72" s="466"/>
      <c r="B72" s="466"/>
      <c r="C72" s="466"/>
      <c r="D72" s="139"/>
      <c r="E72" s="139"/>
    </row>
    <row r="73" spans="1:5">
      <c r="A73" s="466"/>
      <c r="B73" s="466"/>
      <c r="C73" s="466"/>
      <c r="D73" s="139"/>
      <c r="E73" s="139"/>
    </row>
    <row r="74" spans="1:5">
      <c r="A74" s="466" t="s">
        <v>159</v>
      </c>
      <c r="B74" s="466"/>
      <c r="C74" s="466"/>
      <c r="D74" s="139"/>
      <c r="E74" s="139"/>
    </row>
    <row r="75" spans="1:5">
      <c r="A75" s="123"/>
      <c r="B75" s="129" t="s">
        <v>522</v>
      </c>
      <c r="C75" s="129" t="s">
        <v>226</v>
      </c>
      <c r="D75" s="139"/>
      <c r="E75" s="139"/>
    </row>
    <row r="76" spans="1:5">
      <c r="A76" s="128" t="s">
        <v>172</v>
      </c>
      <c r="B76" s="141">
        <v>434379</v>
      </c>
      <c r="C76" s="141">
        <v>361054</v>
      </c>
      <c r="D76" s="139"/>
      <c r="E76" s="139"/>
    </row>
    <row r="77" spans="1:5">
      <c r="A77" s="246" t="s">
        <v>173</v>
      </c>
      <c r="B77" s="141">
        <v>1174639</v>
      </c>
      <c r="C77" s="141">
        <v>1645074</v>
      </c>
      <c r="D77" s="139"/>
      <c r="E77" s="139"/>
    </row>
    <row r="78" spans="1:5">
      <c r="A78" s="139" t="s">
        <v>160</v>
      </c>
      <c r="B78" s="274">
        <v>0</v>
      </c>
      <c r="C78" s="141">
        <v>897997</v>
      </c>
      <c r="D78" s="139"/>
      <c r="E78" s="139"/>
    </row>
    <row r="79" spans="1:5">
      <c r="A79" s="139" t="s">
        <v>161</v>
      </c>
      <c r="B79" s="141">
        <v>3427562</v>
      </c>
      <c r="C79" s="141">
        <v>3835522</v>
      </c>
      <c r="D79" s="139"/>
      <c r="E79" s="139"/>
    </row>
    <row r="80" spans="1:5">
      <c r="A80" s="139" t="s">
        <v>162</v>
      </c>
      <c r="B80" s="141">
        <v>2071351</v>
      </c>
      <c r="C80" s="141">
        <v>538923</v>
      </c>
      <c r="D80" s="139"/>
      <c r="E80" s="139"/>
    </row>
    <row r="81" spans="1:8">
      <c r="A81" s="139" t="s">
        <v>163</v>
      </c>
      <c r="B81" s="141">
        <v>1729018</v>
      </c>
      <c r="C81" s="141">
        <v>2695725</v>
      </c>
      <c r="D81" s="139"/>
      <c r="E81" s="139"/>
      <c r="H81" s="142"/>
    </row>
    <row r="82" spans="1:8">
      <c r="A82" s="139" t="s">
        <v>164</v>
      </c>
      <c r="B82" s="141">
        <v>10747272</v>
      </c>
      <c r="C82" s="141">
        <v>11233734</v>
      </c>
      <c r="D82" s="139"/>
      <c r="E82" s="139"/>
    </row>
    <row r="83" spans="1:8">
      <c r="A83" s="139" t="s">
        <v>165</v>
      </c>
      <c r="B83" s="141">
        <v>519470</v>
      </c>
      <c r="C83" s="141">
        <v>475143</v>
      </c>
      <c r="D83" s="139"/>
      <c r="E83" s="139"/>
    </row>
    <row r="84" spans="1:8">
      <c r="A84" s="139" t="s">
        <v>166</v>
      </c>
      <c r="B84" s="141">
        <v>2211047</v>
      </c>
      <c r="C84" s="141">
        <v>779151</v>
      </c>
      <c r="D84" s="139"/>
      <c r="E84" s="139"/>
    </row>
    <row r="85" spans="1:8">
      <c r="A85" s="139" t="s">
        <v>167</v>
      </c>
      <c r="B85" s="141">
        <v>3702042</v>
      </c>
      <c r="C85" s="141">
        <v>5147255</v>
      </c>
      <c r="D85" s="139"/>
      <c r="E85" s="139"/>
    </row>
    <row r="86" spans="1:8">
      <c r="A86" s="139" t="s">
        <v>168</v>
      </c>
      <c r="B86" s="141">
        <v>16436211</v>
      </c>
      <c r="C86" s="141">
        <v>14870932</v>
      </c>
      <c r="D86" s="139"/>
      <c r="E86" s="139"/>
    </row>
    <row r="87" spans="1:8">
      <c r="A87" s="139" t="s">
        <v>169</v>
      </c>
      <c r="B87" s="141">
        <v>33095941</v>
      </c>
      <c r="C87" s="141">
        <v>33104922</v>
      </c>
      <c r="D87" s="139"/>
      <c r="E87" s="139"/>
    </row>
    <row r="88" spans="1:8">
      <c r="A88" s="139" t="s">
        <v>170</v>
      </c>
      <c r="B88" s="141">
        <v>5904465</v>
      </c>
      <c r="C88" s="141">
        <v>3767100</v>
      </c>
      <c r="D88" s="139"/>
      <c r="E88" s="139"/>
    </row>
    <row r="89" spans="1:8" ht="13" thickBot="1">
      <c r="A89" s="139" t="s">
        <v>171</v>
      </c>
      <c r="B89" s="143">
        <v>325087</v>
      </c>
      <c r="C89" s="143">
        <v>756915</v>
      </c>
      <c r="D89" s="139"/>
      <c r="E89" s="139"/>
    </row>
    <row r="90" spans="1:8" ht="13" thickBot="1">
      <c r="A90" s="123"/>
      <c r="B90" s="144">
        <f>SUM(B76:B89)</f>
        <v>81778484</v>
      </c>
      <c r="C90" s="144">
        <f>SUM(C76:C89)</f>
        <v>80109447</v>
      </c>
      <c r="D90" s="139"/>
      <c r="E90" s="139"/>
    </row>
    <row r="91" spans="1:8">
      <c r="A91" s="468"/>
      <c r="B91" s="468"/>
      <c r="C91" s="468"/>
      <c r="D91" s="139"/>
      <c r="E91" s="139"/>
    </row>
    <row r="92" spans="1:8">
      <c r="A92" s="468"/>
      <c r="B92" s="468"/>
      <c r="C92" s="468"/>
      <c r="D92" s="139"/>
      <c r="E92" s="139"/>
    </row>
    <row r="93" spans="1:8">
      <c r="A93" s="469" t="s">
        <v>174</v>
      </c>
      <c r="B93" s="469"/>
      <c r="C93" s="469"/>
      <c r="D93" s="469"/>
      <c r="E93" s="469"/>
      <c r="F93" s="469"/>
    </row>
    <row r="94" spans="1:8">
      <c r="A94" s="128"/>
      <c r="B94" s="129" t="s">
        <v>522</v>
      </c>
      <c r="C94" s="129" t="s">
        <v>226</v>
      </c>
    </row>
    <row r="95" spans="1:8">
      <c r="A95" s="128" t="s">
        <v>175</v>
      </c>
      <c r="B95" s="200">
        <v>4853338</v>
      </c>
      <c r="C95" s="200">
        <v>4713410</v>
      </c>
    </row>
    <row r="96" spans="1:8">
      <c r="A96" s="128" t="s">
        <v>176</v>
      </c>
      <c r="B96" s="200">
        <v>2824812</v>
      </c>
      <c r="C96" s="200">
        <v>2864832</v>
      </c>
    </row>
    <row r="97" spans="1:8" ht="13" thickBot="1">
      <c r="A97" s="128" t="s">
        <v>177</v>
      </c>
      <c r="B97" s="201">
        <v>1304468</v>
      </c>
      <c r="C97" s="194">
        <v>1259326</v>
      </c>
    </row>
    <row r="98" spans="1:8" ht="13" thickBot="1">
      <c r="A98" s="135"/>
      <c r="B98" s="136">
        <f>SUM(B95:B97)</f>
        <v>8982618</v>
      </c>
      <c r="C98" s="136">
        <f>SUM(C95:C97)</f>
        <v>8837568</v>
      </c>
      <c r="H98" s="145"/>
    </row>
    <row r="99" spans="1:8" ht="15.75">
      <c r="A99" s="470"/>
      <c r="B99" s="470"/>
      <c r="C99" s="470"/>
      <c r="D99" s="470"/>
      <c r="E99" s="470"/>
      <c r="F99" s="470"/>
    </row>
    <row r="100" spans="1:8">
      <c r="A100" s="146" t="s">
        <v>178</v>
      </c>
      <c r="B100" s="146">
        <v>193</v>
      </c>
      <c r="C100" s="147">
        <v>182</v>
      </c>
    </row>
    <row r="101" spans="1:8">
      <c r="A101" s="467"/>
      <c r="B101" s="467"/>
      <c r="C101" s="467"/>
      <c r="D101" s="467"/>
      <c r="E101" s="467"/>
      <c r="F101" s="467"/>
    </row>
    <row r="102" spans="1:8">
      <c r="A102" s="467"/>
      <c r="B102" s="467"/>
      <c r="C102" s="467"/>
      <c r="D102" s="467"/>
      <c r="E102" s="467"/>
      <c r="F102" s="467"/>
    </row>
    <row r="103" spans="1:8">
      <c r="A103" s="471" t="s">
        <v>179</v>
      </c>
      <c r="B103" s="471"/>
      <c r="C103" s="471"/>
      <c r="D103" s="471"/>
      <c r="E103" s="471"/>
      <c r="F103" s="471"/>
    </row>
    <row r="104" spans="1:8">
      <c r="A104" s="127"/>
      <c r="B104" s="127"/>
      <c r="C104" s="127"/>
      <c r="D104" s="127"/>
      <c r="E104" s="127"/>
      <c r="F104" s="127"/>
    </row>
    <row r="105" spans="1:8">
      <c r="A105" s="148" t="s">
        <v>579</v>
      </c>
      <c r="B105" s="129" t="s">
        <v>522</v>
      </c>
      <c r="C105" s="129" t="s">
        <v>226</v>
      </c>
    </row>
    <row r="106" spans="1:8">
      <c r="A106" s="210" t="s">
        <v>181</v>
      </c>
      <c r="B106" s="131">
        <v>2429463</v>
      </c>
      <c r="C106" s="131">
        <v>2595073</v>
      </c>
    </row>
    <row r="107" spans="1:8" ht="13" thickBot="1">
      <c r="A107" s="210" t="s">
        <v>180</v>
      </c>
      <c r="B107" s="201">
        <v>10709913</v>
      </c>
      <c r="C107" s="201">
        <v>9923637</v>
      </c>
      <c r="E107" s="145"/>
    </row>
    <row r="108" spans="1:8" ht="13" thickBot="1">
      <c r="A108" s="135"/>
      <c r="B108" s="136">
        <f>SUM(B106:B107)</f>
        <v>13139376</v>
      </c>
      <c r="C108" s="136">
        <f>SUM(C106:C107)</f>
        <v>12518710</v>
      </c>
    </row>
    <row r="109" spans="1:8" ht="15.75">
      <c r="A109" s="470"/>
      <c r="B109" s="470"/>
      <c r="C109" s="470"/>
      <c r="D109" s="470"/>
      <c r="E109" s="470"/>
      <c r="F109" s="470"/>
    </row>
    <row r="110" spans="1:8" ht="15.75">
      <c r="A110" s="115"/>
    </row>
    <row r="111" spans="1:8">
      <c r="A111" s="244" t="s">
        <v>182</v>
      </c>
    </row>
    <row r="112" spans="1:8">
      <c r="A112" s="127"/>
      <c r="B112" s="129" t="s">
        <v>522</v>
      </c>
      <c r="C112" s="129" t="s">
        <v>226</v>
      </c>
    </row>
    <row r="113" spans="1:10">
      <c r="A113" s="196" t="s">
        <v>183</v>
      </c>
      <c r="B113" s="200">
        <v>306076</v>
      </c>
      <c r="C113" s="200">
        <v>259258</v>
      </c>
    </row>
    <row r="114" spans="1:10">
      <c r="A114" s="196" t="s">
        <v>184</v>
      </c>
      <c r="B114" s="192">
        <v>138552</v>
      </c>
      <c r="C114" s="200">
        <v>98689</v>
      </c>
    </row>
    <row r="115" spans="1:10">
      <c r="A115" s="196" t="s">
        <v>185</v>
      </c>
      <c r="B115" s="192">
        <v>428434</v>
      </c>
      <c r="C115" s="200">
        <v>500300</v>
      </c>
    </row>
    <row r="116" spans="1:10">
      <c r="A116" s="196" t="s">
        <v>186</v>
      </c>
      <c r="B116" s="192">
        <v>931822</v>
      </c>
      <c r="C116" s="200">
        <v>593488</v>
      </c>
    </row>
    <row r="117" spans="1:10" ht="24">
      <c r="A117" s="196" t="s">
        <v>187</v>
      </c>
      <c r="B117" s="192">
        <v>264296</v>
      </c>
      <c r="C117" s="200">
        <v>436357</v>
      </c>
    </row>
    <row r="118" spans="1:10">
      <c r="A118" s="196" t="s">
        <v>188</v>
      </c>
      <c r="B118" s="192">
        <v>0</v>
      </c>
      <c r="C118" s="200">
        <v>412178</v>
      </c>
    </row>
    <row r="119" spans="1:10">
      <c r="A119" s="196" t="s">
        <v>189</v>
      </c>
      <c r="B119" s="192">
        <v>73280</v>
      </c>
      <c r="C119" s="200">
        <v>38000</v>
      </c>
    </row>
    <row r="120" spans="1:10" ht="24">
      <c r="A120" s="196" t="s">
        <v>190</v>
      </c>
      <c r="B120" s="192">
        <v>0</v>
      </c>
      <c r="C120" s="200">
        <v>0</v>
      </c>
    </row>
    <row r="121" spans="1:10" ht="13" thickBot="1">
      <c r="A121" s="196" t="s">
        <v>191</v>
      </c>
      <c r="B121" s="194">
        <v>375354</v>
      </c>
      <c r="C121" s="201">
        <v>200675</v>
      </c>
    </row>
    <row r="122" spans="1:10" ht="13" thickBot="1">
      <c r="A122" s="123"/>
      <c r="B122" s="144">
        <f>SUM(B113:B121)</f>
        <v>2517814</v>
      </c>
      <c r="C122" s="144">
        <f>SUM(C113:C121)</f>
        <v>2538945</v>
      </c>
    </row>
    <row r="123" spans="1:10" ht="15.75">
      <c r="A123" s="115"/>
    </row>
    <row r="124" spans="1:10" ht="29.25" customHeight="1">
      <c r="A124" s="458" t="s">
        <v>193</v>
      </c>
      <c r="B124" s="458"/>
      <c r="C124" s="458"/>
      <c r="D124" s="458"/>
      <c r="E124" s="458"/>
      <c r="F124" s="458"/>
      <c r="G124" s="458"/>
      <c r="H124" s="458"/>
      <c r="I124" s="458"/>
      <c r="J124" s="282"/>
    </row>
    <row r="125" spans="1:10">
      <c r="A125" s="127"/>
    </row>
    <row r="126" spans="1:10">
      <c r="A126" s="127"/>
    </row>
    <row r="127" spans="1:10">
      <c r="A127" s="462" t="s">
        <v>194</v>
      </c>
      <c r="B127" s="462"/>
      <c r="C127" s="462"/>
      <c r="D127" s="462"/>
      <c r="E127" s="462"/>
      <c r="F127" s="462"/>
      <c r="G127" s="462"/>
      <c r="H127" s="462"/>
      <c r="I127" s="462"/>
      <c r="J127" s="462"/>
    </row>
    <row r="128" spans="1:10" ht="28.5" customHeight="1">
      <c r="A128" s="458" t="s">
        <v>192</v>
      </c>
      <c r="B128" s="458"/>
      <c r="C128" s="458"/>
      <c r="D128" s="458"/>
      <c r="E128" s="458"/>
      <c r="F128" s="458"/>
      <c r="G128" s="458"/>
      <c r="H128" s="458"/>
      <c r="I128" s="458"/>
      <c r="J128" s="282"/>
    </row>
    <row r="129" spans="1:7" ht="15.75">
      <c r="A129" s="115"/>
    </row>
    <row r="130" spans="1:7">
      <c r="A130" s="244" t="s">
        <v>195</v>
      </c>
    </row>
    <row r="131" spans="1:7">
      <c r="A131" s="149"/>
      <c r="B131" s="129" t="s">
        <v>522</v>
      </c>
      <c r="C131" s="129" t="s">
        <v>226</v>
      </c>
    </row>
    <row r="132" spans="1:7" ht="24">
      <c r="A132" s="210" t="s">
        <v>12</v>
      </c>
      <c r="B132" s="200">
        <v>284383</v>
      </c>
      <c r="C132" s="200">
        <v>500590</v>
      </c>
    </row>
    <row r="133" spans="1:7">
      <c r="A133" s="139" t="s">
        <v>196</v>
      </c>
      <c r="B133" s="131">
        <v>1377910</v>
      </c>
      <c r="C133" s="131">
        <v>1297077</v>
      </c>
      <c r="G133" s="145"/>
    </row>
    <row r="134" spans="1:7" ht="13" thickBot="1">
      <c r="A134" s="128" t="s">
        <v>197</v>
      </c>
      <c r="B134" s="134">
        <v>285040</v>
      </c>
      <c r="C134" s="134">
        <v>304148</v>
      </c>
    </row>
    <row r="135" spans="1:7" ht="13" thickBot="1">
      <c r="A135" s="135"/>
      <c r="B135" s="136">
        <f>SUM(B133:B134)</f>
        <v>1662950</v>
      </c>
      <c r="C135" s="136">
        <f>SUM(C133:C134)</f>
        <v>1601225</v>
      </c>
    </row>
    <row r="136" spans="1:7">
      <c r="A136" s="127"/>
    </row>
    <row r="137" spans="1:7">
      <c r="A137" s="127"/>
    </row>
    <row r="138" spans="1:7">
      <c r="A138" s="244" t="s">
        <v>198</v>
      </c>
    </row>
    <row r="139" spans="1:7">
      <c r="A139" s="139"/>
      <c r="B139" s="129" t="s">
        <v>522</v>
      </c>
      <c r="C139" s="129" t="s">
        <v>226</v>
      </c>
    </row>
    <row r="140" spans="1:7">
      <c r="A140" s="246" t="s">
        <v>199</v>
      </c>
      <c r="B140" s="131">
        <v>17912880</v>
      </c>
      <c r="C140" s="131">
        <v>22226806</v>
      </c>
    </row>
    <row r="141" spans="1:7">
      <c r="A141" s="246" t="s">
        <v>200</v>
      </c>
      <c r="B141" s="131">
        <v>172063</v>
      </c>
      <c r="C141" s="131">
        <v>179834</v>
      </c>
    </row>
    <row r="142" spans="1:7" ht="13" thickBot="1">
      <c r="A142" s="128" t="s">
        <v>105</v>
      </c>
      <c r="B142" s="134">
        <v>199132</v>
      </c>
      <c r="C142" s="134">
        <v>729420</v>
      </c>
    </row>
    <row r="143" spans="1:7" ht="13" thickBot="1">
      <c r="A143" s="135"/>
      <c r="B143" s="136">
        <f>SUM(B140:B142)</f>
        <v>18284075</v>
      </c>
      <c r="C143" s="136">
        <f>SUM(C140:C142)</f>
        <v>23136060</v>
      </c>
    </row>
    <row r="144" spans="1:7" ht="15.75">
      <c r="A144" s="115"/>
    </row>
    <row r="145" spans="1:11">
      <c r="A145" s="123"/>
    </row>
    <row r="146" spans="1:11" ht="12.75" customHeight="1">
      <c r="A146" s="458" t="s">
        <v>106</v>
      </c>
      <c r="B146" s="458"/>
      <c r="C146" s="458"/>
      <c r="D146" s="458"/>
      <c r="E146" s="458"/>
      <c r="F146" s="458"/>
      <c r="G146" s="458"/>
      <c r="H146" s="458"/>
      <c r="I146" s="458"/>
      <c r="J146" s="282"/>
    </row>
    <row r="147" spans="1:11" ht="12.75" customHeight="1">
      <c r="A147" s="458" t="s">
        <v>107</v>
      </c>
      <c r="B147" s="458"/>
      <c r="C147" s="458"/>
      <c r="D147" s="458"/>
      <c r="E147" s="458"/>
      <c r="F147" s="458"/>
      <c r="G147" s="458"/>
      <c r="H147" s="458"/>
      <c r="I147" s="458"/>
      <c r="J147" s="282"/>
    </row>
    <row r="148" spans="1:11">
      <c r="A148" s="127"/>
    </row>
    <row r="149" spans="1:11">
      <c r="A149" s="244" t="s">
        <v>108</v>
      </c>
    </row>
    <row r="150" spans="1:11" ht="24">
      <c r="A150" s="150"/>
      <c r="B150" s="152" t="s">
        <v>109</v>
      </c>
      <c r="C150" s="151" t="s">
        <v>110</v>
      </c>
      <c r="D150" s="152" t="s">
        <v>111</v>
      </c>
      <c r="E150" s="151" t="s">
        <v>112</v>
      </c>
      <c r="J150" s="222"/>
      <c r="K150" s="112"/>
    </row>
    <row r="151" spans="1:11" ht="13" thickBot="1">
      <c r="A151" s="244" t="s">
        <v>113</v>
      </c>
      <c r="B151" s="219"/>
      <c r="C151" s="219"/>
      <c r="D151" s="219"/>
      <c r="E151" s="219"/>
      <c r="J151" s="222"/>
      <c r="K151" s="112"/>
    </row>
    <row r="152" spans="1:11" ht="13" thickBot="1">
      <c r="A152" s="244" t="s">
        <v>118</v>
      </c>
      <c r="B152" s="153">
        <v>8187690</v>
      </c>
      <c r="C152" s="153">
        <v>75756560</v>
      </c>
      <c r="D152" s="154"/>
      <c r="E152" s="153">
        <f>SUM(B152:D152)</f>
        <v>83944250</v>
      </c>
      <c r="J152" s="222"/>
      <c r="K152" s="112"/>
    </row>
    <row r="153" spans="1:11">
      <c r="A153" s="243" t="s">
        <v>114</v>
      </c>
      <c r="B153" s="220"/>
      <c r="C153" s="141"/>
      <c r="D153" s="220"/>
      <c r="E153" s="141">
        <f>SUM(B153:D153)</f>
        <v>0</v>
      </c>
      <c r="J153" s="222"/>
      <c r="K153" s="112"/>
    </row>
    <row r="154" spans="1:11">
      <c r="A154" s="243" t="s">
        <v>115</v>
      </c>
      <c r="B154" s="220"/>
      <c r="C154" s="220"/>
      <c r="D154" s="155"/>
      <c r="E154" s="220">
        <f>SUM(B154:D154)</f>
        <v>0</v>
      </c>
      <c r="J154" s="222"/>
      <c r="K154" s="112"/>
    </row>
    <row r="155" spans="1:11" ht="13" thickBot="1">
      <c r="A155" s="243" t="s">
        <v>116</v>
      </c>
      <c r="B155" s="220"/>
      <c r="C155" s="220"/>
      <c r="D155" s="155"/>
      <c r="E155" s="220">
        <f>SUM(B155:D155)</f>
        <v>0</v>
      </c>
      <c r="J155" s="222"/>
      <c r="K155" s="112"/>
    </row>
    <row r="156" spans="1:11" ht="13" thickBot="1">
      <c r="A156" s="244" t="s">
        <v>119</v>
      </c>
      <c r="B156" s="153">
        <f>SUM(B152:B155)</f>
        <v>8187690</v>
      </c>
      <c r="C156" s="153">
        <f t="shared" ref="C156:D156" si="0">SUM(C152:C155)</f>
        <v>75756560</v>
      </c>
      <c r="D156" s="153">
        <f t="shared" si="0"/>
        <v>0</v>
      </c>
      <c r="E156" s="153">
        <f>SUM(B156:D156)</f>
        <v>83944250</v>
      </c>
      <c r="I156" s="145"/>
      <c r="J156" s="222"/>
      <c r="K156" s="112"/>
    </row>
    <row r="157" spans="1:11">
      <c r="A157" s="157"/>
      <c r="B157" s="219"/>
      <c r="C157" s="219"/>
      <c r="D157" s="219"/>
      <c r="E157" s="220"/>
      <c r="J157" s="222"/>
      <c r="K157" s="112"/>
    </row>
    <row r="158" spans="1:11" ht="13" thickBot="1">
      <c r="A158" s="244" t="s">
        <v>117</v>
      </c>
      <c r="B158" s="219"/>
      <c r="C158" s="219"/>
      <c r="D158" s="219"/>
      <c r="E158" s="219"/>
      <c r="J158" s="222"/>
      <c r="K158" s="112"/>
    </row>
    <row r="159" spans="1:11" ht="13" thickBot="1">
      <c r="A159" s="244" t="s">
        <v>118</v>
      </c>
      <c r="B159" s="153">
        <v>1385174</v>
      </c>
      <c r="C159" s="153">
        <v>50947625</v>
      </c>
      <c r="D159" s="154"/>
      <c r="E159" s="153">
        <f>SUM(B159:D159)</f>
        <v>52332799</v>
      </c>
      <c r="J159" s="222"/>
      <c r="K159" s="112"/>
    </row>
    <row r="160" spans="1:11">
      <c r="A160" s="220" t="s">
        <v>121</v>
      </c>
      <c r="B160" s="141">
        <v>68162</v>
      </c>
      <c r="C160" s="141">
        <v>2361301</v>
      </c>
      <c r="D160" s="220"/>
      <c r="E160" s="141">
        <f>SUM(B160:D160)</f>
        <v>2429463</v>
      </c>
      <c r="J160" s="222"/>
      <c r="K160" s="112"/>
    </row>
    <row r="161" spans="1:12" ht="13" thickBot="1">
      <c r="A161" s="220" t="s">
        <v>116</v>
      </c>
      <c r="B161" s="158"/>
      <c r="C161" s="158"/>
      <c r="D161" s="158"/>
      <c r="E161" s="158">
        <f>SUM(B161:D161)</f>
        <v>0</v>
      </c>
      <c r="J161" s="222"/>
      <c r="K161" s="112"/>
    </row>
    <row r="162" spans="1:12" ht="13" thickBot="1">
      <c r="A162" s="244" t="s">
        <v>120</v>
      </c>
      <c r="B162" s="153">
        <f>SUM(B159:B161)</f>
        <v>1453336</v>
      </c>
      <c r="C162" s="153">
        <f t="shared" ref="C162:D162" si="1">SUM(C159:C161)</f>
        <v>53308926</v>
      </c>
      <c r="D162" s="156">
        <f t="shared" si="1"/>
        <v>0</v>
      </c>
      <c r="E162" s="153">
        <f>SUM(B162:D162)</f>
        <v>54762262</v>
      </c>
      <c r="J162" s="222"/>
      <c r="K162" s="112"/>
    </row>
    <row r="163" spans="1:12">
      <c r="A163" s="220"/>
      <c r="B163" s="220"/>
      <c r="C163" s="220"/>
      <c r="D163" s="220"/>
      <c r="E163" s="220"/>
      <c r="J163" s="222"/>
      <c r="K163" s="112"/>
    </row>
    <row r="164" spans="1:12" ht="13" thickBot="1">
      <c r="A164" s="159" t="s">
        <v>122</v>
      </c>
      <c r="B164" s="220"/>
      <c r="C164" s="220"/>
      <c r="D164" s="220"/>
      <c r="E164" s="220"/>
      <c r="J164" s="222"/>
      <c r="K164" s="112"/>
    </row>
    <row r="165" spans="1:12" ht="13" thickBot="1">
      <c r="A165" s="244" t="s">
        <v>119</v>
      </c>
      <c r="B165" s="160">
        <f>B156-B162</f>
        <v>6734354</v>
      </c>
      <c r="C165" s="160">
        <f t="shared" ref="C165:D165" si="2">C156-C162</f>
        <v>22447634</v>
      </c>
      <c r="D165" s="156">
        <f t="shared" si="2"/>
        <v>0</v>
      </c>
      <c r="E165" s="153">
        <f>SUM(B165:D165)</f>
        <v>29181988</v>
      </c>
      <c r="J165" s="222"/>
      <c r="K165" s="112"/>
    </row>
    <row r="166" spans="1:12" ht="15.75">
      <c r="A166" s="115"/>
    </row>
    <row r="167" spans="1:12">
      <c r="A167" s="127"/>
    </row>
    <row r="168" spans="1:12">
      <c r="A168" s="244" t="s">
        <v>123</v>
      </c>
    </row>
    <row r="169" spans="1:12" ht="60">
      <c r="A169" s="162"/>
      <c r="B169" s="152" t="s">
        <v>124</v>
      </c>
      <c r="C169" s="152" t="s">
        <v>125</v>
      </c>
      <c r="D169" s="152" t="s">
        <v>126</v>
      </c>
      <c r="E169" s="152" t="s">
        <v>127</v>
      </c>
      <c r="F169" s="152" t="s">
        <v>128</v>
      </c>
      <c r="G169" s="152" t="s">
        <v>111</v>
      </c>
      <c r="H169" s="152" t="s">
        <v>129</v>
      </c>
      <c r="I169" s="152" t="s">
        <v>112</v>
      </c>
      <c r="J169" s="161"/>
      <c r="K169" s="227"/>
      <c r="L169" s="113"/>
    </row>
    <row r="170" spans="1:12">
      <c r="A170" s="244" t="s">
        <v>113</v>
      </c>
      <c r="B170" s="162"/>
      <c r="C170" s="162"/>
      <c r="D170" s="162"/>
      <c r="E170" s="162"/>
      <c r="F170" s="162"/>
      <c r="G170" s="162"/>
      <c r="H170" s="162"/>
      <c r="I170" s="162"/>
      <c r="J170" s="161"/>
      <c r="K170" s="227"/>
      <c r="L170" s="113"/>
    </row>
    <row r="171" spans="1:12" ht="13" thickBot="1">
      <c r="A171" s="244" t="s">
        <v>118</v>
      </c>
      <c r="B171" s="164">
        <v>23269</v>
      </c>
      <c r="C171" s="164">
        <v>16514322</v>
      </c>
      <c r="D171" s="164">
        <v>474276111</v>
      </c>
      <c r="E171" s="164">
        <v>126055</v>
      </c>
      <c r="F171" s="164">
        <v>46822</v>
      </c>
      <c r="G171" s="164">
        <v>41904067</v>
      </c>
      <c r="H171" s="164">
        <v>3767834</v>
      </c>
      <c r="I171" s="164">
        <f>SUM(B171:H171)</f>
        <v>536658480</v>
      </c>
      <c r="J171" s="161"/>
      <c r="K171" s="227"/>
      <c r="L171" s="113"/>
    </row>
    <row r="172" spans="1:12">
      <c r="A172" s="243" t="s">
        <v>114</v>
      </c>
      <c r="B172" s="166"/>
      <c r="C172" s="166"/>
      <c r="D172" s="167">
        <v>805342</v>
      </c>
      <c r="E172" s="166"/>
      <c r="F172" s="166"/>
      <c r="G172" s="166">
        <v>3755304</v>
      </c>
      <c r="H172" s="166">
        <v>15500</v>
      </c>
      <c r="I172" s="166">
        <f t="shared" ref="I172:I175" si="3">SUM(B172:H172)</f>
        <v>4576146</v>
      </c>
      <c r="J172" s="161"/>
      <c r="K172" s="227"/>
      <c r="L172" s="113"/>
    </row>
    <row r="173" spans="1:12">
      <c r="A173" s="243" t="s">
        <v>115</v>
      </c>
      <c r="B173" s="209"/>
      <c r="C173" s="209"/>
      <c r="D173" s="209">
        <v>9758819</v>
      </c>
      <c r="E173" s="209"/>
      <c r="F173" s="209"/>
      <c r="G173" s="209">
        <v>-9758819</v>
      </c>
      <c r="H173" s="209"/>
      <c r="I173" s="209">
        <f t="shared" si="3"/>
        <v>0</v>
      </c>
      <c r="J173" s="161"/>
      <c r="K173" s="227"/>
      <c r="L173" s="113"/>
    </row>
    <row r="174" spans="1:12" ht="13" thickBot="1">
      <c r="A174" s="243" t="s">
        <v>116</v>
      </c>
      <c r="B174" s="168"/>
      <c r="C174" s="168"/>
      <c r="D174" s="168"/>
      <c r="E174" s="168"/>
      <c r="F174" s="168"/>
      <c r="G174" s="168"/>
      <c r="H174" s="168"/>
      <c r="I174" s="168">
        <f t="shared" si="3"/>
        <v>0</v>
      </c>
      <c r="J174" s="161"/>
      <c r="K174" s="227"/>
      <c r="L174" s="113"/>
    </row>
    <row r="175" spans="1:12" ht="13" thickBot="1">
      <c r="A175" s="244" t="s">
        <v>119</v>
      </c>
      <c r="B175" s="169">
        <f>SUM(B171:B174)</f>
        <v>23269</v>
      </c>
      <c r="C175" s="169">
        <f t="shared" ref="C175:H175" si="4">SUM(C171:C174)</f>
        <v>16514322</v>
      </c>
      <c r="D175" s="169">
        <f t="shared" si="4"/>
        <v>484840272</v>
      </c>
      <c r="E175" s="169">
        <f t="shared" si="4"/>
        <v>126055</v>
      </c>
      <c r="F175" s="169">
        <f t="shared" si="4"/>
        <v>46822</v>
      </c>
      <c r="G175" s="169">
        <f t="shared" si="4"/>
        <v>35900552</v>
      </c>
      <c r="H175" s="169">
        <f t="shared" si="4"/>
        <v>3783334</v>
      </c>
      <c r="I175" s="169">
        <f t="shared" si="3"/>
        <v>541234626</v>
      </c>
      <c r="J175" s="161"/>
      <c r="K175" s="227"/>
      <c r="L175" s="113"/>
    </row>
    <row r="176" spans="1:12">
      <c r="A176" s="163"/>
      <c r="B176" s="208"/>
      <c r="C176" s="208"/>
      <c r="D176" s="208"/>
      <c r="E176" s="208"/>
      <c r="F176" s="208"/>
      <c r="G176" s="208"/>
      <c r="H176" s="208"/>
      <c r="I176" s="208"/>
      <c r="J176" s="161"/>
      <c r="K176" s="227"/>
      <c r="L176" s="113"/>
    </row>
    <row r="177" spans="1:12">
      <c r="A177" s="244" t="s">
        <v>117</v>
      </c>
      <c r="B177" s="166"/>
      <c r="C177" s="166"/>
      <c r="D177" s="166"/>
      <c r="E177" s="166"/>
      <c r="F177" s="166"/>
      <c r="G177" s="166"/>
      <c r="H177" s="166"/>
      <c r="I177" s="166"/>
      <c r="J177" s="161"/>
      <c r="K177" s="227"/>
      <c r="L177" s="113"/>
    </row>
    <row r="178" spans="1:12" ht="13" thickBot="1">
      <c r="A178" s="244" t="s">
        <v>118</v>
      </c>
      <c r="B178" s="164"/>
      <c r="C178" s="164">
        <v>2216110</v>
      </c>
      <c r="D178" s="164">
        <v>155555408</v>
      </c>
      <c r="E178" s="164">
        <v>72997</v>
      </c>
      <c r="F178" s="164"/>
      <c r="G178" s="164"/>
      <c r="H178" s="164">
        <v>3209931</v>
      </c>
      <c r="I178" s="164">
        <f t="shared" ref="I178:I181" si="5">SUM(B178:H178)</f>
        <v>161054446</v>
      </c>
      <c r="J178" s="161"/>
      <c r="K178" s="227"/>
      <c r="L178" s="113"/>
    </row>
    <row r="179" spans="1:12">
      <c r="A179" s="243" t="s">
        <v>121</v>
      </c>
      <c r="B179" s="166"/>
      <c r="C179" s="166">
        <v>103214</v>
      </c>
      <c r="D179" s="166">
        <v>10517008</v>
      </c>
      <c r="E179" s="166">
        <v>6303</v>
      </c>
      <c r="F179" s="166"/>
      <c r="G179" s="166"/>
      <c r="H179" s="166">
        <v>83388</v>
      </c>
      <c r="I179" s="166">
        <f t="shared" si="5"/>
        <v>10709913</v>
      </c>
      <c r="J179" s="229"/>
      <c r="K179" s="227"/>
      <c r="L179" s="113"/>
    </row>
    <row r="180" spans="1:12">
      <c r="A180" s="243" t="s">
        <v>116</v>
      </c>
      <c r="B180" s="166"/>
      <c r="C180" s="166"/>
      <c r="D180" s="166"/>
      <c r="E180" s="166"/>
      <c r="F180" s="166"/>
      <c r="G180" s="166"/>
      <c r="H180" s="166"/>
      <c r="I180" s="166">
        <f t="shared" si="5"/>
        <v>0</v>
      </c>
      <c r="J180" s="161"/>
      <c r="K180" s="227"/>
      <c r="L180" s="113"/>
    </row>
    <row r="181" spans="1:12" ht="13" thickBot="1">
      <c r="A181" s="244" t="s">
        <v>120</v>
      </c>
      <c r="B181" s="164">
        <f>SUM(B178:B180)</f>
        <v>0</v>
      </c>
      <c r="C181" s="164">
        <f t="shared" ref="C181:H181" si="6">SUM(C178:C180)</f>
        <v>2319324</v>
      </c>
      <c r="D181" s="164">
        <f t="shared" si="6"/>
        <v>166072416</v>
      </c>
      <c r="E181" s="164">
        <f t="shared" si="6"/>
        <v>79300</v>
      </c>
      <c r="F181" s="164">
        <f t="shared" si="6"/>
        <v>0</v>
      </c>
      <c r="G181" s="164">
        <f t="shared" si="6"/>
        <v>0</v>
      </c>
      <c r="H181" s="164">
        <f t="shared" si="6"/>
        <v>3293319</v>
      </c>
      <c r="I181" s="164">
        <f t="shared" si="5"/>
        <v>171764359</v>
      </c>
      <c r="J181" s="161"/>
      <c r="K181" s="227"/>
      <c r="L181" s="113"/>
    </row>
    <row r="182" spans="1:12">
      <c r="A182" s="165"/>
      <c r="B182" s="166"/>
      <c r="C182" s="166"/>
      <c r="D182" s="166"/>
      <c r="E182" s="166"/>
      <c r="F182" s="166"/>
      <c r="G182" s="166"/>
      <c r="H182" s="166"/>
      <c r="I182" s="166"/>
      <c r="J182" s="161"/>
      <c r="K182" s="227"/>
      <c r="L182" s="114"/>
    </row>
    <row r="183" spans="1:12">
      <c r="A183" s="159" t="s">
        <v>122</v>
      </c>
      <c r="B183" s="166"/>
      <c r="C183" s="166"/>
      <c r="D183" s="166"/>
      <c r="E183" s="166"/>
      <c r="F183" s="166"/>
      <c r="G183" s="166"/>
      <c r="H183" s="166"/>
      <c r="I183" s="166"/>
      <c r="J183" s="161"/>
      <c r="K183" s="227"/>
      <c r="L183" s="113"/>
    </row>
    <row r="184" spans="1:12" ht="13" thickBot="1">
      <c r="A184" s="244" t="s">
        <v>119</v>
      </c>
      <c r="B184" s="164">
        <f>B175-B181</f>
        <v>23269</v>
      </c>
      <c r="C184" s="164">
        <f t="shared" ref="C184:H184" si="7">C175-C181</f>
        <v>14194998</v>
      </c>
      <c r="D184" s="164">
        <f t="shared" si="7"/>
        <v>318767856</v>
      </c>
      <c r="E184" s="164">
        <f t="shared" si="7"/>
        <v>46755</v>
      </c>
      <c r="F184" s="164">
        <f t="shared" si="7"/>
        <v>46822</v>
      </c>
      <c r="G184" s="164">
        <f t="shared" si="7"/>
        <v>35900552</v>
      </c>
      <c r="H184" s="164">
        <f t="shared" si="7"/>
        <v>490015</v>
      </c>
      <c r="I184" s="164">
        <f>SUM(B184:H184)</f>
        <v>369470267</v>
      </c>
      <c r="J184" s="161"/>
      <c r="K184" s="227"/>
      <c r="L184" s="113"/>
    </row>
    <row r="185" spans="1:12">
      <c r="A185" s="170"/>
      <c r="B185" s="171"/>
      <c r="C185" s="172"/>
      <c r="D185" s="172"/>
      <c r="E185" s="172"/>
      <c r="F185" s="172"/>
      <c r="G185" s="172"/>
      <c r="H185" s="173"/>
      <c r="I185" s="161"/>
      <c r="J185" s="161"/>
      <c r="K185" s="227"/>
    </row>
    <row r="186" spans="1:12">
      <c r="A186" s="170"/>
      <c r="B186" s="171"/>
      <c r="C186" s="172"/>
      <c r="D186" s="172"/>
      <c r="E186" s="172"/>
      <c r="F186" s="172"/>
      <c r="G186" s="172"/>
      <c r="H186" s="173"/>
      <c r="I186" s="161"/>
      <c r="J186" s="161"/>
      <c r="K186" s="226"/>
    </row>
    <row r="187" spans="1:12">
      <c r="A187" s="123"/>
      <c r="B187" s="123"/>
      <c r="C187" s="123"/>
      <c r="D187" s="123"/>
      <c r="E187" s="123"/>
      <c r="F187" s="123"/>
      <c r="G187" s="123"/>
      <c r="H187" s="123"/>
      <c r="I187" s="123"/>
      <c r="J187" s="123"/>
    </row>
    <row r="188" spans="1:12">
      <c r="A188" s="244" t="s">
        <v>130</v>
      </c>
      <c r="C188" s="145"/>
      <c r="D188" s="145"/>
      <c r="G188" s="145"/>
    </row>
    <row r="189" spans="1:12">
      <c r="A189" s="127"/>
    </row>
    <row r="190" spans="1:12">
      <c r="A190" s="149"/>
      <c r="B190" s="129" t="s">
        <v>522</v>
      </c>
      <c r="C190" s="129" t="s">
        <v>226</v>
      </c>
    </row>
    <row r="191" spans="1:12">
      <c r="A191" s="174" t="s">
        <v>131</v>
      </c>
      <c r="B191" s="275">
        <v>4589813</v>
      </c>
      <c r="C191" s="275">
        <v>4238057</v>
      </c>
    </row>
    <row r="192" spans="1:12">
      <c r="A192" s="174" t="s">
        <v>132</v>
      </c>
      <c r="B192" s="275">
        <v>30466827</v>
      </c>
      <c r="C192" s="275">
        <v>3996317</v>
      </c>
    </row>
    <row r="193" spans="1:10" ht="13" thickBot="1">
      <c r="A193" s="174" t="s">
        <v>133</v>
      </c>
      <c r="B193" s="276">
        <v>3418445</v>
      </c>
      <c r="C193" s="276">
        <v>3368568</v>
      </c>
    </row>
    <row r="194" spans="1:10">
      <c r="A194" s="175"/>
      <c r="B194" s="176">
        <f>SUM(B191:B193)</f>
        <v>38475085</v>
      </c>
      <c r="C194" s="176">
        <f>SUM(C191:C193)</f>
        <v>11602942</v>
      </c>
    </row>
    <row r="195" spans="1:10" ht="13" thickBot="1">
      <c r="A195" s="174" t="s">
        <v>134</v>
      </c>
      <c r="B195" s="277">
        <v>-1542147</v>
      </c>
      <c r="C195" s="277">
        <v>-1516288</v>
      </c>
    </row>
    <row r="196" spans="1:10">
      <c r="A196" s="175"/>
      <c r="B196" s="177">
        <f>SUM(B194:B195)</f>
        <v>36932938</v>
      </c>
      <c r="C196" s="177">
        <f>SUM(C194:C195)</f>
        <v>10086654</v>
      </c>
    </row>
    <row r="197" spans="1:10" ht="13" thickBot="1">
      <c r="A197" s="174" t="s">
        <v>13</v>
      </c>
      <c r="B197" s="134">
        <v>19297604</v>
      </c>
      <c r="C197" s="134">
        <v>23566921</v>
      </c>
    </row>
    <row r="198" spans="1:10">
      <c r="A198" s="175" t="s">
        <v>14</v>
      </c>
      <c r="B198" s="177">
        <f>SUM(B196:B197)</f>
        <v>56230542</v>
      </c>
      <c r="C198" s="177">
        <f>SUM(C196:C197)</f>
        <v>33653575</v>
      </c>
    </row>
    <row r="199" spans="1:10" ht="13" thickBot="1">
      <c r="A199" s="174" t="s">
        <v>15</v>
      </c>
      <c r="B199" s="134">
        <v>19280973</v>
      </c>
      <c r="C199" s="134">
        <v>19279891</v>
      </c>
    </row>
    <row r="200" spans="1:10" ht="13" thickBot="1">
      <c r="A200" s="175"/>
      <c r="B200" s="160">
        <f>SUM(B198:B199)</f>
        <v>75511515</v>
      </c>
      <c r="C200" s="160">
        <f>SUM(C198:C199)</f>
        <v>52933466</v>
      </c>
    </row>
    <row r="201" spans="1:10">
      <c r="A201" s="178"/>
      <c r="B201" s="179"/>
      <c r="C201" s="179"/>
    </row>
    <row r="202" spans="1:10" ht="27" customHeight="1">
      <c r="A202" s="458" t="s">
        <v>135</v>
      </c>
      <c r="B202" s="458"/>
      <c r="C202" s="458"/>
      <c r="D202" s="458"/>
      <c r="E202" s="458"/>
      <c r="F202" s="458"/>
      <c r="G202" s="458"/>
      <c r="H202" s="458"/>
      <c r="I202" s="458"/>
      <c r="J202" s="282"/>
    </row>
    <row r="203" spans="1:10" ht="27.75" customHeight="1">
      <c r="A203" s="458" t="s">
        <v>136</v>
      </c>
      <c r="B203" s="458"/>
      <c r="C203" s="458"/>
      <c r="D203" s="458"/>
      <c r="E203" s="458"/>
      <c r="F203" s="458"/>
      <c r="G203" s="458"/>
      <c r="H203" s="458"/>
      <c r="I203" s="458"/>
      <c r="J203" s="282"/>
    </row>
    <row r="204" spans="1:10">
      <c r="A204" s="119"/>
      <c r="H204" s="145"/>
    </row>
    <row r="205" spans="1:10">
      <c r="A205" s="245"/>
      <c r="H205" s="145"/>
    </row>
    <row r="206" spans="1:10" ht="12.75" customHeight="1">
      <c r="A206" s="249" t="s">
        <v>16</v>
      </c>
      <c r="H206" s="145"/>
    </row>
    <row r="207" spans="1:10" ht="12.75" customHeight="1">
      <c r="A207" s="458" t="s">
        <v>241</v>
      </c>
      <c r="B207" s="458"/>
      <c r="C207" s="458"/>
      <c r="D207" s="458"/>
      <c r="E207" s="458"/>
      <c r="F207" s="458"/>
      <c r="G207" s="458"/>
      <c r="H207" s="458"/>
      <c r="I207" s="458"/>
      <c r="J207" s="283"/>
    </row>
    <row r="208" spans="1:10" ht="17.25" customHeight="1">
      <c r="A208" s="458" t="s">
        <v>580</v>
      </c>
      <c r="B208" s="458"/>
      <c r="C208" s="458"/>
      <c r="D208" s="458"/>
      <c r="E208" s="458"/>
      <c r="F208" s="458"/>
      <c r="G208" s="458"/>
      <c r="H208" s="458"/>
      <c r="I208" s="458"/>
      <c r="J208" s="283"/>
    </row>
    <row r="209" spans="1:10" ht="15.75" customHeight="1">
      <c r="A209" s="458" t="s">
        <v>201</v>
      </c>
      <c r="B209" s="458"/>
      <c r="C209" s="458"/>
      <c r="D209" s="458"/>
      <c r="E209" s="458"/>
      <c r="F209" s="458"/>
      <c r="G209" s="458"/>
      <c r="H209" s="458"/>
      <c r="I209" s="458"/>
      <c r="J209" s="283"/>
    </row>
    <row r="210" spans="1:10">
      <c r="A210" s="458"/>
      <c r="B210" s="458"/>
      <c r="C210" s="458"/>
      <c r="D210" s="458"/>
      <c r="E210" s="458"/>
      <c r="F210" s="458"/>
      <c r="G210" s="458"/>
      <c r="H210" s="458"/>
      <c r="I210" s="458"/>
      <c r="J210" s="283"/>
    </row>
    <row r="211" spans="1:10" ht="12.75" customHeight="1">
      <c r="A211" s="458" t="s">
        <v>202</v>
      </c>
      <c r="B211" s="458"/>
      <c r="C211" s="458"/>
      <c r="D211" s="458"/>
      <c r="E211" s="458"/>
      <c r="F211" s="458"/>
      <c r="G211" s="458"/>
      <c r="H211" s="458"/>
      <c r="I211" s="458"/>
      <c r="J211" s="282"/>
    </row>
    <row r="212" spans="1:10">
      <c r="A212" s="458"/>
      <c r="B212" s="458"/>
      <c r="C212" s="458"/>
      <c r="D212" s="458"/>
      <c r="E212" s="458"/>
      <c r="F212" s="458"/>
      <c r="G212" s="458"/>
      <c r="H212" s="458"/>
      <c r="I212" s="458"/>
      <c r="J212" s="282"/>
    </row>
    <row r="213" spans="1:10">
      <c r="A213" s="458" t="s">
        <v>203</v>
      </c>
      <c r="B213" s="458"/>
      <c r="C213" s="458"/>
      <c r="D213" s="458"/>
      <c r="E213" s="458"/>
      <c r="F213" s="458"/>
      <c r="G213" s="458"/>
      <c r="H213" s="458"/>
      <c r="I213" s="458"/>
      <c r="J213" s="282"/>
    </row>
    <row r="214" spans="1:10">
      <c r="A214" s="232"/>
      <c r="B214" s="232"/>
    </row>
    <row r="215" spans="1:10">
      <c r="A215" s="121" t="s">
        <v>204</v>
      </c>
      <c r="B215" s="121" t="s">
        <v>205</v>
      </c>
    </row>
    <row r="216" spans="1:10">
      <c r="A216" s="245" t="s">
        <v>206</v>
      </c>
      <c r="B216" s="122">
        <v>1</v>
      </c>
    </row>
    <row r="217" spans="1:10">
      <c r="A217" s="245" t="s">
        <v>207</v>
      </c>
      <c r="B217" s="122">
        <v>1</v>
      </c>
    </row>
    <row r="218" spans="1:10">
      <c r="A218" s="119"/>
      <c r="B218" s="119"/>
    </row>
    <row r="219" spans="1:10">
      <c r="A219" s="119"/>
    </row>
    <row r="220" spans="1:10">
      <c r="A220" s="465" t="s">
        <v>208</v>
      </c>
      <c r="B220" s="465"/>
      <c r="C220" s="465"/>
      <c r="D220" s="465"/>
      <c r="E220" s="465"/>
      <c r="F220" s="465"/>
      <c r="G220" s="465"/>
      <c r="H220" s="465"/>
      <c r="I220" s="465"/>
      <c r="J220" s="465"/>
    </row>
    <row r="221" spans="1:10">
      <c r="A221" s="248"/>
      <c r="B221" s="248"/>
      <c r="C221" s="248"/>
      <c r="D221" s="248"/>
      <c r="E221" s="248"/>
      <c r="F221" s="248"/>
      <c r="G221" s="248"/>
      <c r="H221" s="248"/>
      <c r="I221" s="248"/>
      <c r="J221" s="248"/>
    </row>
    <row r="222" spans="1:10">
      <c r="A222" s="248"/>
      <c r="B222" s="248"/>
      <c r="C222" s="248"/>
      <c r="D222" s="248"/>
      <c r="E222" s="248"/>
      <c r="F222" s="248"/>
      <c r="G222" s="248"/>
      <c r="H222" s="248"/>
      <c r="I222" s="248"/>
      <c r="J222" s="248"/>
    </row>
    <row r="223" spans="1:10" ht="15.75">
      <c r="A223" s="115"/>
      <c r="G223" s="145"/>
    </row>
    <row r="224" spans="1:10">
      <c r="A224" s="244" t="s">
        <v>137</v>
      </c>
    </row>
    <row r="225" spans="1:8">
      <c r="A225" s="123"/>
      <c r="B225" s="129" t="s">
        <v>522</v>
      </c>
      <c r="C225" s="129" t="s">
        <v>226</v>
      </c>
    </row>
    <row r="226" spans="1:8">
      <c r="A226" s="193" t="s">
        <v>138</v>
      </c>
      <c r="B226" s="192">
        <v>75853899</v>
      </c>
      <c r="C226" s="192">
        <v>72926667</v>
      </c>
    </row>
    <row r="227" spans="1:8">
      <c r="A227" s="284" t="s">
        <v>139</v>
      </c>
      <c r="B227" s="192">
        <v>2901</v>
      </c>
      <c r="C227" s="192">
        <v>72861</v>
      </c>
      <c r="H227" s="142"/>
    </row>
    <row r="228" spans="1:8" ht="24">
      <c r="A228" s="284" t="s">
        <v>140</v>
      </c>
      <c r="B228" s="192">
        <v>323662</v>
      </c>
      <c r="C228" s="200">
        <v>1639106</v>
      </c>
    </row>
    <row r="229" spans="1:8">
      <c r="A229" s="284" t="s">
        <v>141</v>
      </c>
      <c r="B229" s="200">
        <v>360443</v>
      </c>
      <c r="C229" s="200">
        <v>729926</v>
      </c>
    </row>
    <row r="230" spans="1:8">
      <c r="A230" s="284" t="s">
        <v>142</v>
      </c>
      <c r="B230" s="192">
        <v>1653974</v>
      </c>
      <c r="C230" s="200">
        <v>1777482</v>
      </c>
    </row>
    <row r="231" spans="1:8" ht="13" thickBot="1">
      <c r="A231" s="284" t="s">
        <v>143</v>
      </c>
      <c r="B231" s="201">
        <v>44956</v>
      </c>
      <c r="C231" s="201">
        <v>97889</v>
      </c>
    </row>
    <row r="232" spans="1:8" ht="13" thickBot="1">
      <c r="A232" s="123"/>
      <c r="B232" s="144">
        <f>SUM(B226:B231)</f>
        <v>78239835</v>
      </c>
      <c r="C232" s="144">
        <f>SUM(C226:C231)</f>
        <v>77243931</v>
      </c>
    </row>
    <row r="233" spans="1:8" ht="15.75">
      <c r="A233" s="115"/>
    </row>
    <row r="234" spans="1:8">
      <c r="A234" s="242" t="s">
        <v>144</v>
      </c>
    </row>
    <row r="235" spans="1:8">
      <c r="A235" s="123"/>
      <c r="B235" s="129" t="s">
        <v>522</v>
      </c>
      <c r="C235" s="129" t="s">
        <v>226</v>
      </c>
    </row>
    <row r="236" spans="1:8" ht="24">
      <c r="A236" s="193" t="s">
        <v>17</v>
      </c>
      <c r="B236" s="192">
        <v>87842538</v>
      </c>
      <c r="C236" s="192">
        <v>76844591</v>
      </c>
    </row>
    <row r="237" spans="1:8">
      <c r="A237" s="193" t="s">
        <v>145</v>
      </c>
      <c r="B237" s="141">
        <v>287295</v>
      </c>
      <c r="C237" s="141">
        <v>337620</v>
      </c>
    </row>
    <row r="238" spans="1:8" ht="13" thickBot="1">
      <c r="A238" s="193" t="s">
        <v>146</v>
      </c>
      <c r="B238" s="143">
        <v>11418802</v>
      </c>
      <c r="C238" s="143">
        <v>5280122</v>
      </c>
    </row>
    <row r="239" spans="1:8">
      <c r="A239" s="193"/>
      <c r="B239" s="177">
        <f>SUM(B236:B238)</f>
        <v>99548635</v>
      </c>
      <c r="C239" s="177">
        <f>SUM(C236:C238)</f>
        <v>82462333</v>
      </c>
      <c r="E239" s="145"/>
    </row>
    <row r="240" spans="1:8" ht="13" thickBot="1">
      <c r="A240" s="193" t="s">
        <v>147</v>
      </c>
      <c r="B240" s="211">
        <v>-23694736</v>
      </c>
      <c r="C240" s="211">
        <v>-9535666</v>
      </c>
      <c r="G240" s="145"/>
    </row>
    <row r="241" spans="1:10" ht="13" thickBot="1">
      <c r="A241" s="123"/>
      <c r="B241" s="144">
        <f>SUM(B239:B240)</f>
        <v>75853899</v>
      </c>
      <c r="C241" s="144">
        <f>SUM(C239:C240)</f>
        <v>72926667</v>
      </c>
      <c r="E241" s="145"/>
    </row>
    <row r="242" spans="1:10">
      <c r="A242" s="146"/>
    </row>
    <row r="243" spans="1:10">
      <c r="A243" s="146"/>
      <c r="I243" s="145"/>
    </row>
    <row r="244" spans="1:10">
      <c r="A244" s="146" t="s">
        <v>579</v>
      </c>
      <c r="I244" s="145"/>
    </row>
    <row r="245" spans="1:10">
      <c r="A245" s="463" t="s">
        <v>148</v>
      </c>
      <c r="B245" s="472"/>
      <c r="C245" s="472"/>
      <c r="D245" s="472"/>
      <c r="E245" s="472"/>
      <c r="F245" s="472"/>
      <c r="G245" s="472"/>
      <c r="H245" s="472"/>
      <c r="I245" s="472"/>
      <c r="J245" s="472"/>
    </row>
    <row r="246" spans="1:10">
      <c r="A246" s="120"/>
      <c r="B246" s="180"/>
      <c r="C246" s="180"/>
      <c r="D246" s="180"/>
      <c r="E246" s="180"/>
      <c r="F246" s="180"/>
      <c r="G246" s="180"/>
      <c r="H246" s="180"/>
      <c r="I246" s="180"/>
      <c r="J246" s="180"/>
    </row>
    <row r="247" spans="1:10">
      <c r="A247" s="128"/>
      <c r="B247" s="129" t="s">
        <v>522</v>
      </c>
      <c r="C247" s="129"/>
    </row>
    <row r="248" spans="1:10">
      <c r="A248" s="128" t="s">
        <v>78</v>
      </c>
      <c r="B248" s="133">
        <v>22485387</v>
      </c>
      <c r="I248" s="145"/>
    </row>
    <row r="249" spans="1:10">
      <c r="A249" s="128" t="s">
        <v>149</v>
      </c>
      <c r="B249" s="133">
        <v>-1091167</v>
      </c>
    </row>
    <row r="250" spans="1:10">
      <c r="A250" s="128" t="s">
        <v>75</v>
      </c>
      <c r="B250" s="133">
        <v>-821351</v>
      </c>
    </row>
    <row r="251" spans="1:10" ht="13" thickBot="1">
      <c r="A251" s="128" t="s">
        <v>76</v>
      </c>
      <c r="B251" s="134">
        <v>3121867</v>
      </c>
    </row>
    <row r="252" spans="1:10" ht="13" thickBot="1">
      <c r="A252" s="135" t="s">
        <v>77</v>
      </c>
      <c r="B252" s="136">
        <f>SUM(B248:B251)</f>
        <v>23694736</v>
      </c>
      <c r="C252" s="145"/>
    </row>
    <row r="253" spans="1:10">
      <c r="A253" s="146"/>
    </row>
    <row r="254" spans="1:10">
      <c r="A254" s="146"/>
      <c r="G254" s="145"/>
    </row>
    <row r="255" spans="1:10">
      <c r="A255" s="146" t="s">
        <v>79</v>
      </c>
    </row>
    <row r="256" spans="1:10">
      <c r="A256" s="146"/>
      <c r="F256" s="145"/>
    </row>
    <row r="257" spans="1:11">
      <c r="A257" s="128"/>
      <c r="B257" s="129" t="s">
        <v>522</v>
      </c>
    </row>
    <row r="258" spans="1:11">
      <c r="A258" s="128" t="s">
        <v>80</v>
      </c>
      <c r="B258" s="131">
        <v>52654883</v>
      </c>
      <c r="D258" s="221"/>
      <c r="H258" s="145"/>
    </row>
    <row r="259" spans="1:11">
      <c r="A259" s="128" t="s">
        <v>81</v>
      </c>
      <c r="B259" s="131">
        <v>28408515</v>
      </c>
    </row>
    <row r="260" spans="1:11">
      <c r="A260" s="128" t="s">
        <v>82</v>
      </c>
      <c r="B260" s="131">
        <v>6393628</v>
      </c>
    </row>
    <row r="261" spans="1:11" ht="13" thickBot="1">
      <c r="A261" s="128" t="s">
        <v>83</v>
      </c>
      <c r="B261" s="134">
        <v>12091609</v>
      </c>
    </row>
    <row r="262" spans="1:11" ht="13" thickBot="1">
      <c r="A262" s="135"/>
      <c r="B262" s="136">
        <f>SUM(B258:B261)</f>
        <v>99548635</v>
      </c>
      <c r="K262" s="225"/>
    </row>
    <row r="263" spans="1:11">
      <c r="A263" s="146"/>
    </row>
    <row r="264" spans="1:11">
      <c r="A264" s="127"/>
    </row>
    <row r="265" spans="1:11">
      <c r="A265" s="244" t="s">
        <v>84</v>
      </c>
    </row>
    <row r="266" spans="1:11">
      <c r="A266" s="127"/>
    </row>
    <row r="267" spans="1:11">
      <c r="A267" s="120"/>
      <c r="B267" s="120"/>
      <c r="C267" s="180"/>
      <c r="D267" s="180"/>
      <c r="E267" s="180"/>
      <c r="F267" s="180"/>
      <c r="G267" s="180"/>
      <c r="H267" s="180"/>
      <c r="I267" s="180"/>
      <c r="J267" s="180"/>
    </row>
    <row r="268" spans="1:11">
      <c r="A268" s="149"/>
      <c r="B268" s="129" t="s">
        <v>522</v>
      </c>
      <c r="C268" s="129" t="s">
        <v>226</v>
      </c>
    </row>
    <row r="269" spans="1:11">
      <c r="A269" s="246" t="s">
        <v>85</v>
      </c>
      <c r="B269" s="131">
        <v>160000</v>
      </c>
      <c r="C269" s="131">
        <v>23507123</v>
      </c>
    </row>
    <row r="270" spans="1:11" ht="13" thickBot="1">
      <c r="A270" s="246" t="s">
        <v>86</v>
      </c>
      <c r="B270" s="134">
        <v>400881</v>
      </c>
      <c r="C270" s="134">
        <v>1561741</v>
      </c>
    </row>
    <row r="271" spans="1:11">
      <c r="A271" s="135"/>
      <c r="B271" s="181">
        <f>SUM(B269:B270)</f>
        <v>560881</v>
      </c>
      <c r="C271" s="181">
        <f>SUM(C269:C270)</f>
        <v>25068864</v>
      </c>
    </row>
    <row r="272" spans="1:11" ht="13" thickBot="1">
      <c r="A272" s="146" t="s">
        <v>134</v>
      </c>
      <c r="B272" s="211">
        <v>-160000</v>
      </c>
      <c r="C272" s="211">
        <v>-160000</v>
      </c>
    </row>
    <row r="273" spans="1:3" ht="13" thickBot="1">
      <c r="A273" s="119"/>
      <c r="B273" s="182">
        <f>SUM(B271:B272)</f>
        <v>400881</v>
      </c>
      <c r="C273" s="182">
        <f>SUM(C271:C272)</f>
        <v>24908864</v>
      </c>
    </row>
    <row r="274" spans="1:3">
      <c r="A274" s="119"/>
    </row>
    <row r="275" spans="1:3" ht="15">
      <c r="A275" s="137"/>
    </row>
    <row r="276" spans="1:3">
      <c r="A276" s="244" t="s">
        <v>87</v>
      </c>
    </row>
    <row r="277" spans="1:3" ht="15">
      <c r="A277" s="137"/>
    </row>
    <row r="278" spans="1:3">
      <c r="A278" s="149"/>
      <c r="B278" s="129" t="s">
        <v>522</v>
      </c>
      <c r="C278" s="129" t="s">
        <v>226</v>
      </c>
    </row>
    <row r="279" spans="1:3">
      <c r="A279" s="284" t="s">
        <v>88</v>
      </c>
      <c r="B279" s="131">
        <v>889984</v>
      </c>
      <c r="C279" s="131">
        <v>652767</v>
      </c>
    </row>
    <row r="280" spans="1:3">
      <c r="A280" s="284" t="s">
        <v>89</v>
      </c>
      <c r="B280" s="200">
        <v>987919</v>
      </c>
      <c r="C280" s="200">
        <v>606664</v>
      </c>
    </row>
    <row r="281" spans="1:3" ht="13" thickBot="1">
      <c r="A281" s="284" t="s">
        <v>90</v>
      </c>
      <c r="B281" s="134">
        <v>13670</v>
      </c>
      <c r="C281" s="134">
        <v>3927</v>
      </c>
    </row>
    <row r="282" spans="1:3" ht="13" thickBot="1">
      <c r="A282" s="135"/>
      <c r="B282" s="160">
        <f>SUM(B279:B281)</f>
        <v>1891573</v>
      </c>
      <c r="C282" s="160">
        <f>SUM(C279:C281)</f>
        <v>1263358</v>
      </c>
    </row>
    <row r="283" spans="1:3" ht="15">
      <c r="A283" s="137"/>
    </row>
    <row r="284" spans="1:3" ht="15">
      <c r="A284" s="137"/>
    </row>
    <row r="285" spans="1:3">
      <c r="A285" s="127"/>
    </row>
    <row r="286" spans="1:3">
      <c r="A286" s="244" t="s">
        <v>91</v>
      </c>
    </row>
    <row r="287" spans="1:3" ht="15.75">
      <c r="A287" s="115"/>
    </row>
    <row r="288" spans="1:3">
      <c r="A288" s="183"/>
      <c r="B288" s="129" t="s">
        <v>522</v>
      </c>
      <c r="C288" s="129" t="s">
        <v>226</v>
      </c>
    </row>
    <row r="289" spans="1:10">
      <c r="A289" s="285" t="s">
        <v>92</v>
      </c>
      <c r="B289" s="288">
        <v>47876202</v>
      </c>
      <c r="C289" s="288">
        <v>50653793</v>
      </c>
    </row>
    <row r="290" spans="1:10">
      <c r="A290" s="285" t="s">
        <v>93</v>
      </c>
      <c r="B290" s="288">
        <v>1559032</v>
      </c>
      <c r="C290" s="288">
        <v>2318978</v>
      </c>
    </row>
    <row r="291" spans="1:10">
      <c r="A291" s="285" t="s">
        <v>94</v>
      </c>
      <c r="B291" s="288">
        <v>3596288</v>
      </c>
      <c r="C291" s="288">
        <v>3616198</v>
      </c>
    </row>
    <row r="292" spans="1:10">
      <c r="A292" s="285" t="s">
        <v>95</v>
      </c>
      <c r="B292" s="288">
        <v>0</v>
      </c>
      <c r="C292" s="288">
        <v>0</v>
      </c>
    </row>
    <row r="293" spans="1:10">
      <c r="A293" s="285" t="s">
        <v>185</v>
      </c>
      <c r="B293" s="289">
        <v>0</v>
      </c>
      <c r="C293" s="288">
        <v>0</v>
      </c>
    </row>
    <row r="294" spans="1:10" ht="13" thickBot="1">
      <c r="A294" s="285" t="s">
        <v>96</v>
      </c>
      <c r="B294" s="290">
        <v>0</v>
      </c>
      <c r="C294" s="291">
        <v>327398</v>
      </c>
    </row>
    <row r="295" spans="1:10" ht="13" thickBot="1">
      <c r="A295" s="286"/>
      <c r="B295" s="184">
        <f>SUM(B289:B294)</f>
        <v>53031522</v>
      </c>
      <c r="C295" s="184">
        <f>SUM(C289:C294)</f>
        <v>56916367</v>
      </c>
    </row>
    <row r="296" spans="1:10" ht="15.75">
      <c r="A296" s="287"/>
    </row>
    <row r="297" spans="1:10">
      <c r="A297" s="127"/>
    </row>
    <row r="298" spans="1:10">
      <c r="A298" s="244" t="s">
        <v>97</v>
      </c>
    </row>
    <row r="299" spans="1:10">
      <c r="A299" s="119"/>
    </row>
    <row r="300" spans="1:10" ht="40.5" customHeight="1">
      <c r="A300" s="458" t="s">
        <v>98</v>
      </c>
      <c r="B300" s="458"/>
      <c r="C300" s="458"/>
      <c r="D300" s="458"/>
      <c r="E300" s="458"/>
      <c r="F300" s="458"/>
      <c r="G300" s="458"/>
      <c r="H300" s="458"/>
      <c r="I300" s="458"/>
      <c r="J300" s="282"/>
    </row>
    <row r="301" spans="1:10">
      <c r="A301" s="458"/>
      <c r="B301" s="458"/>
      <c r="C301" s="458"/>
      <c r="D301" s="458"/>
      <c r="E301" s="458"/>
      <c r="F301" s="458"/>
      <c r="G301" s="458"/>
      <c r="H301" s="458"/>
      <c r="I301" s="458"/>
      <c r="J301" s="283"/>
    </row>
    <row r="302" spans="1:10" ht="40.5" customHeight="1">
      <c r="A302" s="458" t="s">
        <v>99</v>
      </c>
      <c r="B302" s="458"/>
      <c r="C302" s="458"/>
      <c r="D302" s="458"/>
      <c r="E302" s="458"/>
      <c r="F302" s="458"/>
      <c r="G302" s="458"/>
      <c r="H302" s="458"/>
      <c r="I302" s="458"/>
      <c r="J302" s="283"/>
    </row>
    <row r="303" spans="1:10">
      <c r="A303" s="458"/>
      <c r="B303" s="458"/>
      <c r="C303" s="458"/>
      <c r="D303" s="458"/>
      <c r="E303" s="458"/>
      <c r="F303" s="458"/>
      <c r="G303" s="458"/>
      <c r="H303" s="458"/>
      <c r="I303" s="458"/>
      <c r="J303" s="283"/>
    </row>
    <row r="304" spans="1:10">
      <c r="A304" s="473" t="s">
        <v>103</v>
      </c>
      <c r="B304" s="472"/>
      <c r="C304" s="472"/>
      <c r="D304" s="472"/>
      <c r="E304" s="472"/>
      <c r="F304" s="472"/>
      <c r="G304" s="472"/>
      <c r="H304" s="472"/>
      <c r="I304" s="472"/>
      <c r="J304" s="472"/>
    </row>
    <row r="305" spans="1:10">
      <c r="A305" s="185"/>
      <c r="B305" s="180"/>
      <c r="C305" s="180"/>
      <c r="D305" s="180"/>
      <c r="E305" s="180"/>
      <c r="F305" s="180"/>
      <c r="G305" s="180"/>
      <c r="H305" s="180"/>
      <c r="I305" s="180"/>
      <c r="J305" s="180"/>
    </row>
    <row r="306" spans="1:10">
      <c r="A306" s="241" t="s">
        <v>100</v>
      </c>
      <c r="B306" s="212">
        <v>14554790</v>
      </c>
      <c r="C306" s="180"/>
      <c r="D306" s="180"/>
      <c r="E306" s="180"/>
      <c r="F306" s="180"/>
      <c r="G306" s="180"/>
      <c r="H306" s="180"/>
      <c r="I306" s="180"/>
      <c r="J306" s="180"/>
    </row>
    <row r="307" spans="1:10">
      <c r="A307" s="185" t="s">
        <v>101</v>
      </c>
      <c r="B307" s="212">
        <v>2820070</v>
      </c>
      <c r="C307" s="180"/>
      <c r="D307" s="180"/>
      <c r="E307" s="180"/>
      <c r="F307" s="180"/>
      <c r="G307" s="180"/>
      <c r="H307" s="180"/>
      <c r="I307" s="180"/>
      <c r="J307" s="180"/>
    </row>
    <row r="308" spans="1:10">
      <c r="A308" s="185" t="s">
        <v>102</v>
      </c>
      <c r="B308" s="186">
        <f>B306/B307</f>
        <v>5.1611449361186068</v>
      </c>
      <c r="C308" s="180"/>
      <c r="D308" s="180"/>
      <c r="E308" s="180"/>
      <c r="F308" s="180"/>
      <c r="G308" s="180"/>
      <c r="H308" s="180"/>
      <c r="I308" s="180"/>
      <c r="J308" s="180"/>
    </row>
    <row r="309" spans="1:10">
      <c r="A309" s="185"/>
      <c r="B309" s="180"/>
      <c r="C309" s="180"/>
      <c r="D309" s="180"/>
      <c r="E309" s="180"/>
      <c r="F309" s="180"/>
      <c r="G309" s="180"/>
      <c r="H309" s="180"/>
      <c r="I309" s="180"/>
      <c r="J309" s="180"/>
    </row>
    <row r="310" spans="1:10">
      <c r="A310" s="473" t="s">
        <v>18</v>
      </c>
      <c r="B310" s="473"/>
      <c r="C310" s="473"/>
      <c r="D310" s="473"/>
      <c r="E310" s="473"/>
      <c r="F310" s="472"/>
      <c r="G310" s="472"/>
      <c r="H310" s="472"/>
      <c r="I310" s="472"/>
      <c r="J310" s="472"/>
    </row>
    <row r="311" spans="1:10" ht="15.75">
      <c r="A311" s="474"/>
      <c r="B311" s="474"/>
      <c r="C311" s="474"/>
      <c r="D311" s="474"/>
      <c r="E311" s="474"/>
      <c r="F311" s="187"/>
    </row>
    <row r="312" spans="1:10" ht="27" customHeight="1">
      <c r="A312" s="458" t="s">
        <v>104</v>
      </c>
      <c r="B312" s="458"/>
      <c r="C312" s="458"/>
      <c r="D312" s="458"/>
      <c r="E312" s="458"/>
      <c r="F312" s="458"/>
      <c r="G312" s="458"/>
      <c r="H312" s="458"/>
      <c r="I312" s="458"/>
      <c r="J312" s="283"/>
    </row>
    <row r="313" spans="1:10" ht="12.75" customHeight="1">
      <c r="A313" s="458" t="s">
        <v>42</v>
      </c>
      <c r="B313" s="458"/>
      <c r="C313" s="458"/>
      <c r="D313" s="458"/>
      <c r="E313" s="458"/>
      <c r="F313" s="458"/>
      <c r="G313" s="458"/>
      <c r="H313" s="458"/>
      <c r="I313" s="458"/>
      <c r="J313" s="283"/>
    </row>
    <row r="314" spans="1:10" ht="15.75">
      <c r="A314" s="474"/>
      <c r="B314" s="474"/>
      <c r="C314" s="474"/>
      <c r="D314" s="474"/>
      <c r="E314" s="474"/>
      <c r="F314" s="187"/>
    </row>
    <row r="315" spans="1:10" ht="15.75">
      <c r="A315" s="474" t="s">
        <v>46</v>
      </c>
      <c r="B315" s="474"/>
      <c r="C315" s="474"/>
      <c r="D315" s="474"/>
      <c r="E315" s="474"/>
      <c r="F315" s="187"/>
    </row>
    <row r="316" spans="1:10" ht="15.75">
      <c r="A316" s="471"/>
      <c r="B316" s="471"/>
      <c r="C316" s="471"/>
      <c r="D316" s="471"/>
      <c r="E316" s="471"/>
      <c r="F316" s="187"/>
    </row>
    <row r="317" spans="1:10" ht="15">
      <c r="A317" s="188" t="s">
        <v>43</v>
      </c>
      <c r="B317" s="214" t="s">
        <v>44</v>
      </c>
      <c r="C317" s="213" t="s">
        <v>45</v>
      </c>
      <c r="D317" s="127"/>
      <c r="E317" s="127"/>
      <c r="F317" s="187"/>
    </row>
    <row r="318" spans="1:10" ht="15">
      <c r="A318" s="189" t="s">
        <v>585</v>
      </c>
      <c r="B318" s="233">
        <v>18596</v>
      </c>
      <c r="C318" s="234">
        <v>65.94</v>
      </c>
      <c r="D318" s="127"/>
      <c r="E318" s="127"/>
      <c r="F318" s="187"/>
    </row>
    <row r="319" spans="1:10" ht="15">
      <c r="A319" s="189" t="s">
        <v>473</v>
      </c>
      <c r="B319" s="233">
        <v>1345</v>
      </c>
      <c r="C319" s="234">
        <v>4.7699999999999996</v>
      </c>
      <c r="D319" s="127"/>
      <c r="E319" s="127"/>
      <c r="F319" s="187"/>
    </row>
    <row r="320" spans="1:10" ht="15">
      <c r="A320" s="189" t="s">
        <v>474</v>
      </c>
      <c r="B320" s="233">
        <v>1340</v>
      </c>
      <c r="C320" s="234">
        <v>4.75</v>
      </c>
      <c r="D320" s="127"/>
      <c r="E320" s="127"/>
      <c r="F320" s="187"/>
    </row>
    <row r="321" spans="1:11" ht="15">
      <c r="A321" s="189" t="s">
        <v>487</v>
      </c>
      <c r="B321" s="233">
        <v>1305</v>
      </c>
      <c r="C321" s="234">
        <v>4.63</v>
      </c>
      <c r="D321" s="127"/>
      <c r="E321" s="127"/>
      <c r="F321" s="187"/>
    </row>
    <row r="322" spans="1:11" ht="15">
      <c r="A322" s="189" t="s">
        <v>475</v>
      </c>
      <c r="B322" s="233">
        <v>979</v>
      </c>
      <c r="C322" s="234">
        <v>3.47</v>
      </c>
      <c r="D322" s="127"/>
      <c r="E322" s="127"/>
      <c r="F322" s="187"/>
      <c r="H322" s="145"/>
      <c r="K322" s="225"/>
    </row>
    <row r="323" spans="1:11" ht="33">
      <c r="A323" s="215" t="s">
        <v>476</v>
      </c>
      <c r="B323" s="233">
        <v>766</v>
      </c>
      <c r="C323" s="234">
        <v>2.72</v>
      </c>
      <c r="D323" s="127"/>
      <c r="E323" s="127"/>
      <c r="F323" s="187"/>
    </row>
    <row r="324" spans="1:11" ht="15">
      <c r="A324" s="189" t="s">
        <v>477</v>
      </c>
      <c r="B324" s="233">
        <v>428</v>
      </c>
      <c r="C324" s="234">
        <v>1.52</v>
      </c>
      <c r="D324" s="127"/>
      <c r="E324" s="127"/>
      <c r="F324" s="187"/>
    </row>
    <row r="325" spans="1:11" ht="15">
      <c r="A325" s="189" t="s">
        <v>478</v>
      </c>
      <c r="B325" s="233">
        <v>365</v>
      </c>
      <c r="C325" s="234">
        <v>1.29</v>
      </c>
      <c r="D325" s="127"/>
      <c r="E325" s="127"/>
      <c r="F325" s="187"/>
      <c r="H325" s="145"/>
    </row>
    <row r="326" spans="1:11" ht="15">
      <c r="A326" s="189" t="s">
        <v>479</v>
      </c>
      <c r="B326" s="233">
        <v>303</v>
      </c>
      <c r="C326" s="234">
        <v>1.07</v>
      </c>
      <c r="D326" s="127"/>
      <c r="E326" s="127"/>
      <c r="F326" s="187"/>
    </row>
    <row r="327" spans="1:11" ht="33">
      <c r="A327" s="215" t="s">
        <v>488</v>
      </c>
      <c r="B327" s="233">
        <v>229</v>
      </c>
      <c r="C327" s="234">
        <v>0.81</v>
      </c>
      <c r="D327" s="127"/>
      <c r="E327" s="127"/>
      <c r="F327" s="187"/>
    </row>
    <row r="328" spans="1:11" ht="15.75">
      <c r="A328" s="127"/>
      <c r="B328" s="127"/>
      <c r="C328" s="127"/>
      <c r="D328" s="127"/>
      <c r="E328" s="127"/>
      <c r="F328" s="187"/>
      <c r="I328" s="145"/>
    </row>
    <row r="329" spans="1:11" ht="15.75">
      <c r="A329" s="127"/>
      <c r="B329" s="127"/>
      <c r="C329" s="127"/>
      <c r="D329" s="127"/>
      <c r="E329" s="127"/>
      <c r="F329" s="187"/>
    </row>
    <row r="330" spans="1:11" ht="15.75">
      <c r="A330" s="190"/>
      <c r="B330" s="190"/>
      <c r="C330" s="190"/>
      <c r="D330" s="190"/>
      <c r="E330" s="190"/>
      <c r="F330" s="187"/>
      <c r="I330" s="145"/>
    </row>
    <row r="331" spans="1:11" ht="15.75">
      <c r="A331" s="476"/>
      <c r="B331" s="476"/>
      <c r="C331" s="476"/>
      <c r="D331" s="476"/>
      <c r="E331" s="476"/>
      <c r="F331" s="187"/>
      <c r="G331" s="145"/>
    </row>
    <row r="332" spans="1:11" ht="15.75">
      <c r="A332" s="471" t="s">
        <v>47</v>
      </c>
      <c r="B332" s="471"/>
      <c r="C332" s="471"/>
      <c r="D332" s="471"/>
      <c r="E332" s="471"/>
      <c r="F332" s="187"/>
      <c r="G332" s="145"/>
    </row>
    <row r="333" spans="1:11" ht="15.75">
      <c r="A333" s="470"/>
      <c r="B333" s="470"/>
      <c r="C333" s="470"/>
      <c r="D333" s="470"/>
      <c r="E333" s="470"/>
      <c r="F333" s="187"/>
    </row>
    <row r="334" spans="1:11" ht="15.75">
      <c r="A334" s="123"/>
      <c r="B334" s="129" t="s">
        <v>522</v>
      </c>
      <c r="C334" s="129" t="s">
        <v>226</v>
      </c>
      <c r="F334" s="187"/>
    </row>
    <row r="335" spans="1:11" ht="15.75">
      <c r="A335" s="191" t="s">
        <v>48</v>
      </c>
      <c r="B335" s="192">
        <v>44421646</v>
      </c>
      <c r="C335" s="192">
        <v>62430100</v>
      </c>
      <c r="F335" s="187"/>
    </row>
    <row r="336" spans="1:11" ht="16" thickBot="1">
      <c r="A336" s="193" t="s">
        <v>49</v>
      </c>
      <c r="B336" s="194">
        <v>530207965</v>
      </c>
      <c r="C336" s="194">
        <v>200540302</v>
      </c>
      <c r="F336" s="187"/>
    </row>
    <row r="337" spans="1:11" ht="16" thickBot="1">
      <c r="A337" s="123"/>
      <c r="B337" s="144">
        <f>SUM(B335:B336)</f>
        <v>574629611</v>
      </c>
      <c r="C337" s="144">
        <f>SUM(C335:C336)</f>
        <v>262970402</v>
      </c>
      <c r="F337" s="187"/>
    </row>
    <row r="338" spans="1:11" ht="15.75">
      <c r="A338" s="475"/>
      <c r="B338" s="475"/>
      <c r="C338" s="475"/>
      <c r="D338" s="475"/>
      <c r="E338" s="475"/>
      <c r="F338" s="187"/>
    </row>
    <row r="339" spans="1:11" ht="15.75">
      <c r="A339" s="187"/>
    </row>
    <row r="340" spans="1:11">
      <c r="A340" s="244" t="s">
        <v>50</v>
      </c>
    </row>
    <row r="341" spans="1:11">
      <c r="A341" s="195"/>
    </row>
    <row r="342" spans="1:11">
      <c r="A342" s="123"/>
      <c r="B342" s="129" t="s">
        <v>522</v>
      </c>
      <c r="C342" s="129" t="s">
        <v>226</v>
      </c>
      <c r="F342" s="145"/>
    </row>
    <row r="343" spans="1:11">
      <c r="A343" s="193" t="s">
        <v>48</v>
      </c>
      <c r="B343" s="192">
        <v>1833521</v>
      </c>
      <c r="C343" s="192">
        <v>0</v>
      </c>
      <c r="F343" s="145"/>
    </row>
    <row r="344" spans="1:11">
      <c r="A344" s="193" t="s">
        <v>49</v>
      </c>
      <c r="B344" s="192">
        <v>0</v>
      </c>
      <c r="C344" s="192">
        <v>271437332</v>
      </c>
    </row>
    <row r="345" spans="1:11">
      <c r="A345" s="193" t="s">
        <v>51</v>
      </c>
      <c r="B345" s="192">
        <v>5262784</v>
      </c>
      <c r="C345" s="192">
        <v>56376483</v>
      </c>
      <c r="K345" s="225"/>
    </row>
    <row r="346" spans="1:11">
      <c r="A346" s="193" t="s">
        <v>52</v>
      </c>
      <c r="B346" s="197">
        <v>249747188</v>
      </c>
      <c r="C346" s="197">
        <v>248285938</v>
      </c>
    </row>
    <row r="347" spans="1:11" ht="24">
      <c r="A347" s="193" t="s">
        <v>19</v>
      </c>
      <c r="B347" s="197">
        <v>8793100</v>
      </c>
      <c r="C347" s="197">
        <v>3658624</v>
      </c>
    </row>
    <row r="348" spans="1:11">
      <c r="A348" s="193" t="s">
        <v>53</v>
      </c>
      <c r="B348" s="192">
        <v>160870065</v>
      </c>
      <c r="C348" s="192">
        <v>125146781</v>
      </c>
    </row>
    <row r="349" spans="1:11">
      <c r="A349" s="284" t="s">
        <v>54</v>
      </c>
      <c r="B349" s="192">
        <v>1710118</v>
      </c>
      <c r="C349" s="200">
        <v>1584388</v>
      </c>
    </row>
    <row r="350" spans="1:11">
      <c r="A350" s="284" t="s">
        <v>55</v>
      </c>
      <c r="B350" s="192">
        <v>5080960</v>
      </c>
      <c r="C350" s="200">
        <v>6094227</v>
      </c>
    </row>
    <row r="351" spans="1:11" ht="13" thickBot="1">
      <c r="A351" s="284" t="s">
        <v>56</v>
      </c>
      <c r="B351" s="194">
        <v>18471</v>
      </c>
      <c r="C351" s="201">
        <v>1002709</v>
      </c>
    </row>
    <row r="352" spans="1:11" ht="13" thickBot="1">
      <c r="A352" s="123"/>
      <c r="B352" s="144">
        <f>SUM(B343:B351)</f>
        <v>433316207</v>
      </c>
      <c r="C352" s="144">
        <f>SUM(C343:C351)</f>
        <v>713586482</v>
      </c>
    </row>
    <row r="353" spans="1:11" ht="15.75">
      <c r="A353" s="187"/>
    </row>
    <row r="354" spans="1:11" ht="15.75">
      <c r="A354" s="187"/>
    </row>
    <row r="355" spans="1:11">
      <c r="A355" s="475" t="s">
        <v>57</v>
      </c>
      <c r="B355" s="475"/>
      <c r="C355" s="475"/>
      <c r="D355" s="475"/>
      <c r="E355" s="475"/>
    </row>
    <row r="356" spans="1:11" ht="15.75">
      <c r="A356" s="187"/>
    </row>
    <row r="357" spans="1:11" ht="27" customHeight="1">
      <c r="A357" s="458" t="s">
        <v>0</v>
      </c>
      <c r="B357" s="458"/>
      <c r="C357" s="458"/>
      <c r="D357" s="458"/>
      <c r="E357" s="458"/>
      <c r="F357" s="458"/>
      <c r="G357" s="458"/>
      <c r="H357" s="458"/>
      <c r="I357" s="458"/>
      <c r="J357" s="282"/>
    </row>
    <row r="358" spans="1:11" ht="15.75">
      <c r="A358" s="187"/>
    </row>
    <row r="359" spans="1:11" ht="15.75">
      <c r="A359" s="187"/>
      <c r="B359" s="129" t="s">
        <v>522</v>
      </c>
      <c r="C359" s="129" t="s">
        <v>226</v>
      </c>
      <c r="K359" s="228"/>
    </row>
    <row r="360" spans="1:11">
      <c r="A360" s="292" t="s">
        <v>58</v>
      </c>
      <c r="B360" s="199">
        <v>250000000</v>
      </c>
      <c r="C360" s="199">
        <v>250000000</v>
      </c>
      <c r="D360" s="198"/>
      <c r="E360" s="198"/>
      <c r="F360" s="198"/>
      <c r="G360" s="198"/>
      <c r="H360" s="198"/>
      <c r="I360" s="198"/>
      <c r="J360" s="198"/>
      <c r="K360" s="228"/>
    </row>
    <row r="361" spans="1:11" ht="24">
      <c r="A361" s="292" t="s">
        <v>59</v>
      </c>
      <c r="B361" s="293">
        <v>-4018437</v>
      </c>
      <c r="C361" s="293">
        <v>-5479687</v>
      </c>
      <c r="D361" s="198"/>
      <c r="E361" s="198"/>
      <c r="F361" s="198"/>
      <c r="G361" s="198"/>
      <c r="H361" s="198"/>
      <c r="I361" s="198"/>
      <c r="J361" s="198"/>
      <c r="K361" s="228"/>
    </row>
    <row r="362" spans="1:11" ht="25" thickBot="1">
      <c r="A362" s="292" t="s">
        <v>22</v>
      </c>
      <c r="B362" s="294">
        <v>3765625</v>
      </c>
      <c r="C362" s="294">
        <v>3765625</v>
      </c>
      <c r="D362" s="198"/>
      <c r="E362" s="198"/>
      <c r="F362" s="198"/>
      <c r="G362" s="198"/>
      <c r="H362" s="198"/>
      <c r="I362" s="198"/>
      <c r="J362" s="198"/>
      <c r="K362" s="228"/>
    </row>
    <row r="363" spans="1:11" ht="16" thickBot="1">
      <c r="A363" s="115"/>
      <c r="B363" s="182">
        <f>SUM(B360:B362)</f>
        <v>249747188</v>
      </c>
      <c r="C363" s="182">
        <f>SUM(C360:C362)</f>
        <v>248285938</v>
      </c>
      <c r="D363" s="198"/>
      <c r="E363" s="198"/>
      <c r="F363" s="198"/>
      <c r="G363" s="198"/>
      <c r="H363" s="198"/>
      <c r="I363" s="198"/>
      <c r="J363" s="198"/>
      <c r="K363" s="228"/>
    </row>
    <row r="364" spans="1:11" ht="15.75">
      <c r="A364" s="115"/>
      <c r="B364" s="199"/>
      <c r="C364" s="199"/>
      <c r="D364" s="198"/>
      <c r="E364" s="198"/>
      <c r="F364" s="198"/>
      <c r="G364" s="198"/>
      <c r="H364" s="198"/>
      <c r="I364" s="198"/>
      <c r="J364" s="198"/>
    </row>
    <row r="365" spans="1:11" ht="15.75">
      <c r="A365" s="115"/>
    </row>
    <row r="366" spans="1:11">
      <c r="A366" s="242" t="s">
        <v>60</v>
      </c>
    </row>
    <row r="367" spans="1:11">
      <c r="A367" s="139"/>
      <c r="B367" s="129" t="s">
        <v>522</v>
      </c>
      <c r="C367" s="129" t="s">
        <v>226</v>
      </c>
    </row>
    <row r="368" spans="1:11">
      <c r="A368" s="174" t="s">
        <v>61</v>
      </c>
      <c r="B368" s="200">
        <v>144967588</v>
      </c>
      <c r="C368" s="200">
        <v>117387716</v>
      </c>
    </row>
    <row r="369" spans="1:11">
      <c r="A369" s="174" t="s">
        <v>62</v>
      </c>
      <c r="B369" s="200">
        <v>4931361</v>
      </c>
      <c r="C369" s="200">
        <v>6092567</v>
      </c>
    </row>
    <row r="370" spans="1:11" ht="13" thickBot="1">
      <c r="A370" s="174" t="s">
        <v>63</v>
      </c>
      <c r="B370" s="201">
        <v>10971116</v>
      </c>
      <c r="C370" s="201">
        <v>1666498</v>
      </c>
    </row>
    <row r="371" spans="1:11" ht="13" thickBot="1">
      <c r="A371" s="135"/>
      <c r="B371" s="136">
        <f>SUM(B368:B370)</f>
        <v>160870065</v>
      </c>
      <c r="C371" s="136">
        <f>SUM(C368:C370)</f>
        <v>125146781</v>
      </c>
    </row>
    <row r="372" spans="1:11">
      <c r="A372" s="148"/>
    </row>
    <row r="373" spans="1:11">
      <c r="A373" s="148"/>
    </row>
    <row r="374" spans="1:11">
      <c r="A374" s="242" t="s">
        <v>64</v>
      </c>
    </row>
    <row r="375" spans="1:11">
      <c r="A375" s="216"/>
      <c r="B375" s="129" t="s">
        <v>522</v>
      </c>
      <c r="C375" s="129" t="s">
        <v>226</v>
      </c>
    </row>
    <row r="376" spans="1:11">
      <c r="A376" s="174" t="s">
        <v>65</v>
      </c>
      <c r="B376" s="200">
        <v>3082196</v>
      </c>
      <c r="C376" s="200">
        <v>3479824</v>
      </c>
    </row>
    <row r="377" spans="1:11" ht="24">
      <c r="A377" s="174" t="s">
        <v>66</v>
      </c>
      <c r="B377" s="200">
        <v>1382131</v>
      </c>
      <c r="C377" s="200">
        <v>1415154</v>
      </c>
    </row>
    <row r="378" spans="1:11" ht="13" thickBot="1">
      <c r="A378" s="174" t="s">
        <v>67</v>
      </c>
      <c r="B378" s="201">
        <v>616633</v>
      </c>
      <c r="C378" s="201">
        <v>1199249</v>
      </c>
    </row>
    <row r="379" spans="1:11" ht="13" thickBot="1">
      <c r="A379" s="217"/>
      <c r="B379" s="136">
        <f>SUM(B376:B378)</f>
        <v>5080960</v>
      </c>
      <c r="C379" s="136">
        <f>SUM(C376:C378)</f>
        <v>6094227</v>
      </c>
      <c r="K379" s="225"/>
    </row>
    <row r="380" spans="1:11">
      <c r="A380" s="127"/>
    </row>
    <row r="381" spans="1:11">
      <c r="A381" s="218"/>
    </row>
    <row r="382" spans="1:11">
      <c r="A382" s="244" t="s">
        <v>68</v>
      </c>
    </row>
    <row r="383" spans="1:11">
      <c r="A383" s="127"/>
    </row>
    <row r="384" spans="1:11">
      <c r="A384" s="123"/>
      <c r="B384" s="129" t="s">
        <v>522</v>
      </c>
      <c r="C384" s="129" t="s">
        <v>226</v>
      </c>
    </row>
    <row r="385" spans="1:10" ht="24">
      <c r="A385" s="193" t="s">
        <v>69</v>
      </c>
      <c r="B385" s="192">
        <v>8712755</v>
      </c>
      <c r="C385" s="192">
        <v>14852966</v>
      </c>
    </row>
    <row r="386" spans="1:10" ht="24">
      <c r="A386" s="193" t="s">
        <v>70</v>
      </c>
      <c r="B386" s="192">
        <v>1501471</v>
      </c>
      <c r="C386" s="192">
        <v>1586417</v>
      </c>
    </row>
    <row r="387" spans="1:10" ht="13" thickBot="1">
      <c r="A387" s="193" t="s">
        <v>71</v>
      </c>
      <c r="B387" s="194">
        <v>1067354</v>
      </c>
      <c r="C387" s="194">
        <v>829402</v>
      </c>
    </row>
    <row r="388" spans="1:10" ht="13" thickBot="1">
      <c r="A388" s="123"/>
      <c r="B388" s="144">
        <f>SUM(B385:B387)</f>
        <v>11281580</v>
      </c>
      <c r="C388" s="144">
        <f>SUM(C385:C387)</f>
        <v>17268785</v>
      </c>
    </row>
    <row r="389" spans="1:10">
      <c r="A389" s="127"/>
    </row>
    <row r="390" spans="1:10" ht="15.75">
      <c r="A390" s="115"/>
    </row>
    <row r="391" spans="1:10" ht="15.75">
      <c r="A391" s="115"/>
    </row>
    <row r="392" spans="1:10" ht="27.75" customHeight="1">
      <c r="A392" s="244" t="s">
        <v>72</v>
      </c>
    </row>
    <row r="393" spans="1:10" ht="27" customHeight="1">
      <c r="A393" s="458" t="s">
        <v>73</v>
      </c>
      <c r="B393" s="458"/>
      <c r="C393" s="458"/>
      <c r="D393" s="458"/>
      <c r="E393" s="458"/>
      <c r="F393" s="458"/>
      <c r="G393" s="458"/>
      <c r="H393" s="458"/>
      <c r="I393" s="458"/>
      <c r="J393" s="282"/>
    </row>
    <row r="394" spans="1:10">
      <c r="A394" s="121"/>
    </row>
    <row r="395" spans="1:10">
      <c r="A395" s="121"/>
    </row>
    <row r="396" spans="1:10">
      <c r="A396" s="461" t="s">
        <v>74</v>
      </c>
      <c r="B396" s="472"/>
      <c r="C396" s="472"/>
      <c r="D396" s="472"/>
      <c r="E396" s="472"/>
      <c r="F396" s="472"/>
      <c r="G396" s="472"/>
      <c r="H396" s="472"/>
      <c r="I396" s="472"/>
      <c r="J396" s="472"/>
    </row>
    <row r="397" spans="1:10">
      <c r="A397" s="119"/>
    </row>
    <row r="398" spans="1:10" ht="39.75" customHeight="1">
      <c r="A398" s="458" t="s">
        <v>31</v>
      </c>
      <c r="B398" s="458"/>
      <c r="C398" s="458"/>
      <c r="D398" s="458"/>
      <c r="E398" s="458"/>
      <c r="F398" s="458"/>
      <c r="G398" s="458"/>
      <c r="H398" s="458"/>
      <c r="I398" s="458"/>
      <c r="J398" s="283"/>
    </row>
    <row r="399" spans="1:10">
      <c r="A399" s="458"/>
      <c r="B399" s="458"/>
      <c r="C399" s="458"/>
      <c r="D399" s="458"/>
      <c r="E399" s="458"/>
      <c r="F399" s="458"/>
      <c r="G399" s="458"/>
      <c r="H399" s="458"/>
      <c r="I399" s="458"/>
      <c r="J399" s="283"/>
    </row>
    <row r="400" spans="1:10" ht="12.75" customHeight="1">
      <c r="A400" s="458" t="s">
        <v>32</v>
      </c>
      <c r="B400" s="458"/>
      <c r="C400" s="458"/>
      <c r="D400" s="458"/>
      <c r="E400" s="458"/>
      <c r="F400" s="458"/>
      <c r="G400" s="458"/>
      <c r="H400" s="458"/>
      <c r="I400" s="458"/>
      <c r="J400" s="282"/>
    </row>
    <row r="401" spans="1:10">
      <c r="A401" s="119"/>
    </row>
    <row r="402" spans="1:10">
      <c r="A402" s="202"/>
      <c r="B402" s="478" t="s">
        <v>33</v>
      </c>
      <c r="C402" s="478"/>
      <c r="D402" s="478" t="s">
        <v>34</v>
      </c>
      <c r="E402" s="478"/>
    </row>
    <row r="403" spans="1:10">
      <c r="A403" s="202"/>
      <c r="B403" s="129" t="s">
        <v>522</v>
      </c>
      <c r="C403" s="129" t="s">
        <v>226</v>
      </c>
      <c r="D403" s="129" t="s">
        <v>522</v>
      </c>
      <c r="E403" s="129" t="s">
        <v>226</v>
      </c>
    </row>
    <row r="404" spans="1:10">
      <c r="A404" s="202"/>
      <c r="B404" s="203" t="s">
        <v>44</v>
      </c>
      <c r="C404" s="203" t="s">
        <v>44</v>
      </c>
      <c r="D404" s="203" t="s">
        <v>44</v>
      </c>
      <c r="E404" s="203" t="s">
        <v>44</v>
      </c>
    </row>
    <row r="405" spans="1:10">
      <c r="A405" s="202"/>
      <c r="B405" s="204"/>
      <c r="C405" s="204"/>
      <c r="D405" s="204"/>
      <c r="E405" s="204"/>
    </row>
    <row r="406" spans="1:10">
      <c r="A406" s="183" t="s">
        <v>480</v>
      </c>
      <c r="B406" s="131">
        <v>578765</v>
      </c>
      <c r="C406" s="275">
        <v>189670</v>
      </c>
      <c r="D406" s="131">
        <v>-23000</v>
      </c>
      <c r="E406" s="275">
        <v>-17532</v>
      </c>
    </row>
    <row r="407" spans="1:10">
      <c r="A407" s="183" t="s">
        <v>481</v>
      </c>
      <c r="B407" s="131">
        <v>264</v>
      </c>
      <c r="C407" s="275">
        <v>4602</v>
      </c>
      <c r="D407" s="132">
        <v>-109</v>
      </c>
      <c r="E407" s="278">
        <v>-109</v>
      </c>
    </row>
    <row r="408" spans="1:10">
      <c r="A408" s="183" t="s">
        <v>482</v>
      </c>
      <c r="B408" s="132"/>
      <c r="C408" s="139"/>
      <c r="D408" s="131"/>
      <c r="E408" s="132"/>
    </row>
    <row r="409" spans="1:10" ht="13" thickBot="1">
      <c r="A409" s="183" t="s">
        <v>483</v>
      </c>
      <c r="B409" s="140"/>
      <c r="C409" s="205"/>
      <c r="D409" s="205"/>
      <c r="E409" s="205"/>
    </row>
    <row r="410" spans="1:10" ht="13" thickBot="1">
      <c r="A410" s="149"/>
      <c r="B410" s="136">
        <f>SUM(B406:B409)</f>
        <v>579029</v>
      </c>
      <c r="C410" s="136">
        <f>SUM(C406:C409)</f>
        <v>194272</v>
      </c>
      <c r="D410" s="136">
        <f>SUM(D406:D409)</f>
        <v>-23109</v>
      </c>
      <c r="E410" s="136">
        <f>SUM(E406:E409)</f>
        <v>-17641</v>
      </c>
    </row>
    <row r="411" spans="1:10">
      <c r="A411" s="121"/>
    </row>
    <row r="412" spans="1:10">
      <c r="A412" s="121"/>
    </row>
    <row r="413" spans="1:10">
      <c r="A413" s="121"/>
    </row>
    <row r="414" spans="1:10">
      <c r="A414" s="477" t="s">
        <v>35</v>
      </c>
      <c r="B414" s="472"/>
      <c r="C414" s="472"/>
      <c r="D414" s="472"/>
      <c r="E414" s="472"/>
      <c r="F414" s="472"/>
      <c r="G414" s="472"/>
      <c r="H414" s="472"/>
      <c r="I414" s="472"/>
      <c r="J414" s="472"/>
    </row>
    <row r="415" spans="1:10" ht="12.75" customHeight="1">
      <c r="A415" s="458" t="s">
        <v>36</v>
      </c>
      <c r="B415" s="458"/>
      <c r="C415" s="458"/>
      <c r="D415" s="458"/>
      <c r="E415" s="458"/>
      <c r="F415" s="458"/>
      <c r="G415" s="458"/>
      <c r="H415" s="458"/>
      <c r="I415" s="458"/>
      <c r="J415" s="282"/>
    </row>
    <row r="416" spans="1:10" ht="71.25" customHeight="1">
      <c r="A416" s="458" t="s">
        <v>37</v>
      </c>
      <c r="B416" s="458"/>
      <c r="C416" s="458"/>
      <c r="D416" s="458"/>
      <c r="E416" s="458"/>
      <c r="F416" s="458"/>
      <c r="G416" s="458"/>
      <c r="H416" s="458"/>
      <c r="I416" s="458"/>
      <c r="J416" s="282"/>
    </row>
    <row r="417" spans="1:10">
      <c r="A417" s="119"/>
    </row>
    <row r="418" spans="1:10">
      <c r="A418" s="139"/>
      <c r="B418" s="478" t="s">
        <v>33</v>
      </c>
      <c r="C418" s="478"/>
      <c r="D418" s="478" t="s">
        <v>34</v>
      </c>
      <c r="E418" s="478"/>
    </row>
    <row r="419" spans="1:10">
      <c r="A419" s="139"/>
      <c r="B419" s="129" t="s">
        <v>522</v>
      </c>
      <c r="C419" s="129" t="s">
        <v>226</v>
      </c>
      <c r="D419" s="129" t="s">
        <v>522</v>
      </c>
      <c r="E419" s="129" t="s">
        <v>226</v>
      </c>
    </row>
    <row r="420" spans="1:10">
      <c r="A420" s="139"/>
      <c r="B420" s="203" t="s">
        <v>44</v>
      </c>
      <c r="C420" s="203" t="s">
        <v>44</v>
      </c>
      <c r="D420" s="203" t="s">
        <v>44</v>
      </c>
      <c r="E420" s="203" t="s">
        <v>44</v>
      </c>
    </row>
    <row r="421" spans="1:10">
      <c r="A421" s="139"/>
      <c r="B421" s="132"/>
      <c r="C421" s="132"/>
      <c r="D421" s="132"/>
      <c r="E421" s="132"/>
    </row>
    <row r="422" spans="1:10">
      <c r="A422" s="132" t="s">
        <v>480</v>
      </c>
      <c r="B422" s="131">
        <v>57877</v>
      </c>
      <c r="C422" s="275">
        <v>18967</v>
      </c>
      <c r="D422" s="131">
        <v>-2300</v>
      </c>
      <c r="E422" s="275">
        <v>-1753</v>
      </c>
    </row>
    <row r="423" spans="1:10">
      <c r="A423" s="132" t="s">
        <v>481</v>
      </c>
      <c r="B423" s="131">
        <v>26</v>
      </c>
      <c r="C423" s="278">
        <v>460</v>
      </c>
      <c r="D423" s="131">
        <v>-11</v>
      </c>
      <c r="E423" s="278">
        <v>-11</v>
      </c>
    </row>
    <row r="424" spans="1:10">
      <c r="A424" s="132" t="s">
        <v>482</v>
      </c>
      <c r="B424" s="132"/>
      <c r="C424" s="132"/>
      <c r="D424" s="132"/>
      <c r="E424" s="132"/>
    </row>
    <row r="425" spans="1:10" ht="13" thickBot="1">
      <c r="A425" s="132" t="s">
        <v>483</v>
      </c>
      <c r="B425" s="132"/>
      <c r="C425" s="132"/>
      <c r="D425" s="131"/>
      <c r="E425" s="132"/>
    </row>
    <row r="426" spans="1:10" ht="13" thickBot="1">
      <c r="A426" s="139"/>
      <c r="B426" s="160">
        <f>SUM(B422:B425)</f>
        <v>57903</v>
      </c>
      <c r="C426" s="160">
        <f>SUM(C422:C425)</f>
        <v>19427</v>
      </c>
      <c r="D426" s="160">
        <f>SUM(D422:D425)</f>
        <v>-2311</v>
      </c>
      <c r="E426" s="160">
        <f>SUM(E422:E425)</f>
        <v>-1764</v>
      </c>
    </row>
    <row r="427" spans="1:10" ht="30" customHeight="1">
      <c r="A427" s="139"/>
      <c r="B427" s="181"/>
      <c r="C427" s="181"/>
      <c r="D427" s="181"/>
      <c r="E427" s="181"/>
    </row>
    <row r="428" spans="1:10" ht="12.75" customHeight="1">
      <c r="A428" s="458" t="s">
        <v>38</v>
      </c>
      <c r="B428" s="458"/>
      <c r="C428" s="458"/>
      <c r="D428" s="458"/>
      <c r="E428" s="458"/>
      <c r="F428" s="458"/>
      <c r="G428" s="458"/>
      <c r="H428" s="458"/>
      <c r="I428" s="458"/>
      <c r="J428" s="282"/>
    </row>
    <row r="429" spans="1:10">
      <c r="A429" s="119"/>
    </row>
    <row r="430" spans="1:10">
      <c r="A430" s="245"/>
    </row>
    <row r="431" spans="1:10">
      <c r="A431" s="245"/>
    </row>
    <row r="432" spans="1:10">
      <c r="A432" s="461" t="s">
        <v>39</v>
      </c>
      <c r="B432" s="472"/>
      <c r="C432" s="472"/>
      <c r="D432" s="472"/>
      <c r="E432" s="472"/>
      <c r="F432" s="472"/>
      <c r="G432" s="472"/>
      <c r="H432" s="472"/>
      <c r="I432" s="472"/>
      <c r="J432" s="472"/>
    </row>
    <row r="433" spans="1:12" ht="12.75" customHeight="1">
      <c r="A433" s="458" t="s">
        <v>20</v>
      </c>
      <c r="B433" s="458"/>
      <c r="C433" s="458"/>
      <c r="D433" s="458"/>
      <c r="E433" s="458"/>
      <c r="F433" s="458"/>
      <c r="G433" s="458"/>
      <c r="H433" s="458"/>
      <c r="I433" s="458"/>
      <c r="J433" s="282"/>
      <c r="L433" s="230"/>
    </row>
    <row r="434" spans="1:12" ht="12.75" customHeight="1">
      <c r="A434" s="458" t="s">
        <v>40</v>
      </c>
      <c r="B434" s="458"/>
      <c r="C434" s="458"/>
      <c r="D434" s="458"/>
      <c r="E434" s="458"/>
      <c r="F434" s="458"/>
      <c r="G434" s="458"/>
      <c r="H434" s="458"/>
      <c r="I434" s="458"/>
      <c r="J434" s="282"/>
    </row>
    <row r="435" spans="1:12">
      <c r="A435" s="121"/>
    </row>
    <row r="436" spans="1:12">
      <c r="A436" s="121"/>
    </row>
    <row r="437" spans="1:12">
      <c r="A437" s="461" t="s">
        <v>41</v>
      </c>
      <c r="B437" s="472"/>
      <c r="C437" s="472"/>
      <c r="D437" s="472"/>
      <c r="E437" s="472"/>
      <c r="F437" s="472"/>
      <c r="G437" s="472"/>
      <c r="H437" s="472"/>
      <c r="I437" s="472"/>
      <c r="J437" s="472"/>
    </row>
    <row r="438" spans="1:12" ht="42" customHeight="1">
      <c r="A438" s="458" t="s">
        <v>23</v>
      </c>
      <c r="B438" s="458"/>
      <c r="C438" s="458"/>
      <c r="D438" s="458"/>
      <c r="E438" s="458"/>
      <c r="F438" s="458"/>
      <c r="G438" s="458"/>
      <c r="H438" s="458"/>
      <c r="I438" s="458"/>
      <c r="J438" s="282"/>
    </row>
    <row r="439" spans="1:12" ht="28.5" customHeight="1">
      <c r="A439" s="458" t="s">
        <v>24</v>
      </c>
      <c r="B439" s="458"/>
      <c r="C439" s="458"/>
      <c r="D439" s="458"/>
      <c r="E439" s="458"/>
      <c r="F439" s="458"/>
      <c r="G439" s="458"/>
      <c r="H439" s="458"/>
      <c r="I439" s="458"/>
      <c r="J439" s="282"/>
    </row>
    <row r="440" spans="1:12" ht="25.5" customHeight="1">
      <c r="A440" s="458" t="s">
        <v>25</v>
      </c>
      <c r="B440" s="458"/>
      <c r="C440" s="458"/>
      <c r="D440" s="458"/>
      <c r="E440" s="458"/>
      <c r="F440" s="458"/>
      <c r="G440" s="458"/>
      <c r="H440" s="458"/>
      <c r="I440" s="458"/>
      <c r="J440" s="282"/>
    </row>
    <row r="441" spans="1:12">
      <c r="A441" s="120"/>
      <c r="B441" s="180"/>
      <c r="C441" s="180"/>
      <c r="D441" s="180"/>
      <c r="E441" s="180"/>
      <c r="F441" s="180"/>
      <c r="G441" s="180"/>
      <c r="H441" s="180"/>
      <c r="I441" s="180"/>
      <c r="J441" s="180"/>
    </row>
    <row r="442" spans="1:12">
      <c r="A442" s="121"/>
    </row>
    <row r="443" spans="1:12">
      <c r="A443" s="461" t="s">
        <v>26</v>
      </c>
      <c r="B443" s="472"/>
      <c r="C443" s="472"/>
      <c r="D443" s="472"/>
      <c r="E443" s="472"/>
      <c r="F443" s="472"/>
      <c r="G443" s="472"/>
      <c r="H443" s="472"/>
      <c r="I443" s="472"/>
      <c r="J443" s="472"/>
    </row>
    <row r="444" spans="1:12" ht="39.75" customHeight="1">
      <c r="A444" s="458" t="s">
        <v>27</v>
      </c>
      <c r="B444" s="458"/>
      <c r="C444" s="458"/>
      <c r="D444" s="458"/>
      <c r="E444" s="458"/>
      <c r="F444" s="458"/>
      <c r="G444" s="458"/>
      <c r="H444" s="458"/>
      <c r="I444" s="458"/>
      <c r="J444" s="282"/>
    </row>
    <row r="445" spans="1:12">
      <c r="A445" s="119"/>
    </row>
    <row r="446" spans="1:12">
      <c r="A446" s="477" t="s">
        <v>28</v>
      </c>
      <c r="B446" s="472"/>
      <c r="C446" s="472"/>
      <c r="D446" s="472"/>
      <c r="E446" s="472"/>
      <c r="F446" s="472"/>
      <c r="G446" s="472"/>
      <c r="H446" s="472"/>
      <c r="I446" s="472"/>
      <c r="J446" s="472"/>
    </row>
    <row r="447" spans="1:12" ht="12.75" customHeight="1">
      <c r="A447" s="458" t="s">
        <v>29</v>
      </c>
      <c r="B447" s="458"/>
      <c r="C447" s="458"/>
      <c r="D447" s="458"/>
      <c r="E447" s="458"/>
      <c r="F447" s="458"/>
      <c r="G447" s="458"/>
      <c r="H447" s="458"/>
      <c r="I447" s="458"/>
      <c r="J447" s="282"/>
    </row>
    <row r="448" spans="1:12" ht="12.75" customHeight="1">
      <c r="A448" s="458" t="s">
        <v>30</v>
      </c>
      <c r="B448" s="458"/>
      <c r="C448" s="458"/>
      <c r="D448" s="458"/>
      <c r="E448" s="458"/>
      <c r="F448" s="458"/>
      <c r="G448" s="458"/>
      <c r="H448" s="458"/>
      <c r="I448" s="458"/>
      <c r="J448" s="282"/>
    </row>
    <row r="449" spans="1:11">
      <c r="A449" s="119"/>
    </row>
    <row r="450" spans="1:11" ht="15.75">
      <c r="A450" s="115"/>
      <c r="K450" s="225"/>
    </row>
    <row r="451" spans="1:11" ht="24">
      <c r="A451" s="246" t="s">
        <v>44</v>
      </c>
      <c r="B451" s="206" t="s">
        <v>3</v>
      </c>
      <c r="C451" s="206" t="s">
        <v>4</v>
      </c>
      <c r="D451" s="206" t="s">
        <v>5</v>
      </c>
      <c r="E451" s="206" t="s">
        <v>6</v>
      </c>
    </row>
    <row r="452" spans="1:11">
      <c r="A452" s="149"/>
      <c r="B452" s="207"/>
      <c r="C452" s="149"/>
      <c r="D452" s="149"/>
      <c r="E452" s="149"/>
    </row>
    <row r="453" spans="1:11">
      <c r="A453" s="138" t="s">
        <v>522</v>
      </c>
      <c r="B453" s="129"/>
      <c r="C453" s="139"/>
      <c r="D453" s="139"/>
      <c r="E453" s="139"/>
    </row>
    <row r="454" spans="1:11">
      <c r="A454" s="139" t="s">
        <v>1</v>
      </c>
      <c r="B454" s="141">
        <v>171392</v>
      </c>
      <c r="C454" s="246"/>
      <c r="D454" s="246"/>
      <c r="E454" s="131">
        <f>SUM(B454:D454)</f>
        <v>171392</v>
      </c>
    </row>
    <row r="455" spans="1:11" ht="13" thickBot="1">
      <c r="A455" s="139" t="s">
        <v>2</v>
      </c>
      <c r="B455" s="134">
        <v>51172</v>
      </c>
      <c r="C455" s="134">
        <v>777865</v>
      </c>
      <c r="D455" s="134">
        <v>2436</v>
      </c>
      <c r="E455" s="134">
        <f>SUM(B455:D455)</f>
        <v>831473</v>
      </c>
    </row>
    <row r="456" spans="1:11" ht="13" thickBot="1">
      <c r="A456" s="139"/>
      <c r="B456" s="136">
        <f>SUM(B454:B455)</f>
        <v>222564</v>
      </c>
      <c r="C456" s="136">
        <f>SUM(C454:C455)</f>
        <v>777865</v>
      </c>
      <c r="D456" s="136">
        <f>SUM(D454:D455)</f>
        <v>2436</v>
      </c>
      <c r="E456" s="136">
        <f>SUM(B456:D456)</f>
        <v>1002865</v>
      </c>
    </row>
    <row r="457" spans="1:11">
      <c r="A457" s="139"/>
      <c r="B457" s="132"/>
      <c r="C457" s="139"/>
      <c r="D457" s="139"/>
      <c r="E457" s="139"/>
    </row>
    <row r="458" spans="1:11">
      <c r="A458" s="138" t="s">
        <v>226</v>
      </c>
      <c r="B458" s="132"/>
      <c r="C458" s="139"/>
      <c r="D458" s="139"/>
      <c r="E458" s="139"/>
    </row>
    <row r="459" spans="1:11">
      <c r="A459" s="139" t="s">
        <v>1</v>
      </c>
      <c r="B459" s="279">
        <v>137487</v>
      </c>
      <c r="C459" s="280"/>
      <c r="D459" s="280"/>
      <c r="E459" s="131">
        <f>SUM(B459:D459)</f>
        <v>137487</v>
      </c>
    </row>
    <row r="460" spans="1:11" ht="13" thickBot="1">
      <c r="A460" s="139" t="s">
        <v>2</v>
      </c>
      <c r="B460" s="276">
        <v>356154</v>
      </c>
      <c r="C460" s="276">
        <v>450314</v>
      </c>
      <c r="D460" s="276">
        <v>32603</v>
      </c>
      <c r="E460" s="134">
        <f>SUM(B460:D460)</f>
        <v>839071</v>
      </c>
    </row>
    <row r="461" spans="1:11" ht="13" thickBot="1">
      <c r="A461" s="139"/>
      <c r="B461" s="136">
        <f>SUM(B459:B460)</f>
        <v>493641</v>
      </c>
      <c r="C461" s="136">
        <f>SUM(C459:C460)</f>
        <v>450314</v>
      </c>
      <c r="D461" s="136">
        <f>SUM(D459:D460)</f>
        <v>32603</v>
      </c>
      <c r="E461" s="136">
        <f>SUM(B461:D461)</f>
        <v>976558</v>
      </c>
    </row>
    <row r="462" spans="1:11" ht="27.75" customHeight="1">
      <c r="A462" s="119"/>
    </row>
    <row r="463" spans="1:11" ht="27" customHeight="1">
      <c r="A463" s="458" t="s">
        <v>21</v>
      </c>
      <c r="B463" s="458"/>
      <c r="C463" s="458"/>
      <c r="D463" s="458"/>
      <c r="E463" s="458"/>
      <c r="F463" s="458"/>
      <c r="G463" s="458"/>
      <c r="H463" s="458"/>
      <c r="I463" s="458"/>
      <c r="J463" s="282"/>
    </row>
    <row r="464" spans="1:11" ht="12.75" customHeight="1">
      <c r="A464" s="458" t="s">
        <v>7</v>
      </c>
      <c r="B464" s="458"/>
      <c r="C464" s="458"/>
      <c r="D464" s="458"/>
      <c r="E464" s="458"/>
      <c r="F464" s="458"/>
      <c r="G464" s="458"/>
      <c r="H464" s="458"/>
      <c r="I464" s="458"/>
      <c r="J464" s="282"/>
    </row>
    <row r="465" spans="1:10" ht="12.75" customHeight="1">
      <c r="A465" s="458" t="s">
        <v>8</v>
      </c>
      <c r="B465" s="458"/>
      <c r="C465" s="458"/>
      <c r="D465" s="458"/>
      <c r="E465" s="458"/>
      <c r="F465" s="458"/>
      <c r="G465" s="458"/>
      <c r="H465" s="458"/>
      <c r="I465" s="458"/>
      <c r="J465" s="282"/>
    </row>
    <row r="466" spans="1:10" ht="12.75" customHeight="1">
      <c r="A466" s="458" t="s">
        <v>9</v>
      </c>
      <c r="B466" s="458"/>
      <c r="C466" s="458"/>
      <c r="D466" s="458"/>
      <c r="E466" s="458"/>
      <c r="F466" s="458"/>
      <c r="G466" s="458"/>
      <c r="H466" s="458"/>
      <c r="I466" s="458"/>
      <c r="J466" s="282"/>
    </row>
    <row r="467" spans="1:10">
      <c r="A467" s="119"/>
    </row>
    <row r="468" spans="1:10">
      <c r="A468" s="119"/>
    </row>
    <row r="469" spans="1:10">
      <c r="A469" s="119"/>
    </row>
    <row r="470" spans="1:10" ht="24">
      <c r="A470" s="246" t="s">
        <v>44</v>
      </c>
      <c r="B470" s="206" t="s">
        <v>3</v>
      </c>
      <c r="C470" s="206" t="s">
        <v>4</v>
      </c>
      <c r="D470" s="206" t="s">
        <v>5</v>
      </c>
      <c r="E470" s="206" t="s">
        <v>6</v>
      </c>
    </row>
    <row r="471" spans="1:10">
      <c r="A471" s="149"/>
      <c r="B471" s="207"/>
      <c r="C471" s="149"/>
      <c r="D471" s="149"/>
      <c r="E471" s="149"/>
    </row>
    <row r="472" spans="1:10">
      <c r="A472" s="138" t="s">
        <v>522</v>
      </c>
      <c r="B472" s="132"/>
      <c r="C472" s="139"/>
      <c r="D472" s="139"/>
      <c r="E472" s="139"/>
    </row>
    <row r="473" spans="1:10">
      <c r="A473" s="246" t="s">
        <v>1</v>
      </c>
      <c r="B473" s="141">
        <v>79808</v>
      </c>
      <c r="C473" s="246"/>
      <c r="D473" s="246"/>
      <c r="E473" s="131">
        <f>SUM(B473:D473)</f>
        <v>79808</v>
      </c>
    </row>
    <row r="474" spans="1:10" ht="13" thickBot="1">
      <c r="A474" s="246" t="s">
        <v>2</v>
      </c>
      <c r="B474" s="134">
        <v>452</v>
      </c>
      <c r="C474" s="134">
        <v>39306</v>
      </c>
      <c r="D474" s="134">
        <v>16874</v>
      </c>
      <c r="E474" s="134">
        <f>SUM(B474:D474)</f>
        <v>56632</v>
      </c>
    </row>
    <row r="475" spans="1:10" ht="13" thickBot="1">
      <c r="A475" s="246"/>
      <c r="B475" s="136">
        <f>SUM(B473:B474)</f>
        <v>80260</v>
      </c>
      <c r="C475" s="136">
        <f>SUM(C473:C474)</f>
        <v>39306</v>
      </c>
      <c r="D475" s="136">
        <f>SUM(D473:D474)</f>
        <v>16874</v>
      </c>
      <c r="E475" s="136">
        <f>SUM(B475:D475)</f>
        <v>136440</v>
      </c>
    </row>
    <row r="476" spans="1:10">
      <c r="A476" s="246"/>
      <c r="B476" s="132"/>
      <c r="C476" s="139"/>
      <c r="D476" s="139"/>
      <c r="E476" s="139"/>
    </row>
    <row r="477" spans="1:10">
      <c r="A477" s="138" t="s">
        <v>226</v>
      </c>
      <c r="B477" s="132"/>
      <c r="C477" s="139"/>
      <c r="D477" s="139"/>
      <c r="E477" s="139"/>
    </row>
    <row r="478" spans="1:10">
      <c r="A478" s="246" t="s">
        <v>1</v>
      </c>
      <c r="B478" s="275">
        <v>78653</v>
      </c>
      <c r="C478" s="280"/>
      <c r="D478" s="280"/>
      <c r="E478" s="131">
        <f>SUM(B478:D478)</f>
        <v>78653</v>
      </c>
    </row>
    <row r="479" spans="1:10" ht="13" thickBot="1">
      <c r="A479" s="246" t="s">
        <v>2</v>
      </c>
      <c r="B479" s="276">
        <v>24909</v>
      </c>
      <c r="C479" s="276">
        <v>5849</v>
      </c>
      <c r="D479" s="276">
        <v>4238</v>
      </c>
      <c r="E479" s="134">
        <f>SUM(B479:D479)</f>
        <v>34996</v>
      </c>
    </row>
    <row r="480" spans="1:10" ht="13" thickBot="1">
      <c r="A480" s="139"/>
      <c r="B480" s="136">
        <f>SUM(B478:B479)</f>
        <v>103562</v>
      </c>
      <c r="C480" s="136">
        <f>SUM(C478:C479)</f>
        <v>5849</v>
      </c>
      <c r="D480" s="136">
        <f>SUM(D478:D479)</f>
        <v>4238</v>
      </c>
      <c r="E480" s="136">
        <f>SUM(B480:D480)</f>
        <v>113649</v>
      </c>
    </row>
    <row r="481" spans="1:10">
      <c r="A481" s="119"/>
    </row>
    <row r="482" spans="1:10" ht="15.75">
      <c r="A482" s="115"/>
    </row>
    <row r="483" spans="1:10">
      <c r="A483" s="463" t="s">
        <v>10</v>
      </c>
      <c r="B483" s="472"/>
      <c r="C483" s="472"/>
      <c r="D483" s="472"/>
      <c r="E483" s="472"/>
      <c r="F483" s="472"/>
      <c r="G483" s="472"/>
      <c r="H483" s="472"/>
      <c r="I483" s="472"/>
      <c r="J483" s="472"/>
    </row>
    <row r="484" spans="1:10">
      <c r="A484" s="120"/>
      <c r="B484" s="180"/>
      <c r="C484" s="180"/>
      <c r="D484" s="180"/>
      <c r="E484" s="180"/>
      <c r="F484" s="180"/>
      <c r="G484" s="180"/>
      <c r="H484" s="180"/>
      <c r="I484" s="180"/>
      <c r="J484" s="180"/>
    </row>
    <row r="485" spans="1:10">
      <c r="A485" s="120"/>
      <c r="B485" s="180"/>
      <c r="C485" s="180"/>
      <c r="D485" s="180"/>
      <c r="E485" s="180"/>
      <c r="F485" s="180"/>
      <c r="G485" s="180"/>
      <c r="H485" s="180"/>
      <c r="I485" s="180"/>
      <c r="J485" s="180"/>
    </row>
    <row r="486" spans="1:10">
      <c r="A486" s="119"/>
    </row>
    <row r="487" spans="1:10" ht="15.75">
      <c r="A487" s="115"/>
      <c r="B487" s="116" t="s">
        <v>583</v>
      </c>
      <c r="C487" s="116" t="s">
        <v>484</v>
      </c>
    </row>
    <row r="488" spans="1:10" ht="15">
      <c r="A488" s="137"/>
    </row>
    <row r="489" spans="1:10" ht="15">
      <c r="A489" s="137"/>
    </row>
    <row r="490" spans="1:10" ht="15">
      <c r="A490" s="137"/>
    </row>
    <row r="491" spans="1:10" ht="15.75">
      <c r="A491" s="115"/>
    </row>
    <row r="492" spans="1:10" ht="15.75">
      <c r="A492" s="115"/>
    </row>
  </sheetData>
  <sheetCalcPr fullCalcOnLoad="1"/>
  <mergeCells count="104">
    <mergeCell ref="A483:J483"/>
    <mergeCell ref="A437:J437"/>
    <mergeCell ref="A443:J443"/>
    <mergeCell ref="A446:J446"/>
    <mergeCell ref="A440:I440"/>
    <mergeCell ref="A444:I444"/>
    <mergeCell ref="A396:J396"/>
    <mergeCell ref="B402:C402"/>
    <mergeCell ref="D402:E402"/>
    <mergeCell ref="A432:J432"/>
    <mergeCell ref="A414:J414"/>
    <mergeCell ref="B418:C418"/>
    <mergeCell ref="D418:E418"/>
    <mergeCell ref="A103:F103"/>
    <mergeCell ref="A109:F109"/>
    <mergeCell ref="A127:J127"/>
    <mergeCell ref="A245:J245"/>
    <mergeCell ref="A220:J220"/>
    <mergeCell ref="A203:I203"/>
    <mergeCell ref="A207:I207"/>
    <mergeCell ref="A208:I208"/>
    <mergeCell ref="A209:I209"/>
    <mergeCell ref="A210:I210"/>
    <mergeCell ref="A49:I49"/>
    <mergeCell ref="A72:C72"/>
    <mergeCell ref="A73:C73"/>
    <mergeCell ref="A74:C74"/>
    <mergeCell ref="A102:F102"/>
    <mergeCell ref="A91:C91"/>
    <mergeCell ref="A92:C92"/>
    <mergeCell ref="A93:F93"/>
    <mergeCell ref="A99:F99"/>
    <mergeCell ref="A101:F101"/>
    <mergeCell ref="A42:I42"/>
    <mergeCell ref="A45:I45"/>
    <mergeCell ref="A46:I46"/>
    <mergeCell ref="A48:I48"/>
    <mergeCell ref="A44:I44"/>
    <mergeCell ref="A23:J23"/>
    <mergeCell ref="A26:J26"/>
    <mergeCell ref="A28:J28"/>
    <mergeCell ref="A34:J34"/>
    <mergeCell ref="A40:I40"/>
    <mergeCell ref="B30:J30"/>
    <mergeCell ref="B29:J29"/>
    <mergeCell ref="B31:J31"/>
    <mergeCell ref="B35:J35"/>
    <mergeCell ref="B36:J36"/>
    <mergeCell ref="B37:J37"/>
    <mergeCell ref="A2:I2"/>
    <mergeCell ref="A5:J5"/>
    <mergeCell ref="A7:J7"/>
    <mergeCell ref="A8:I8"/>
    <mergeCell ref="A9:I9"/>
    <mergeCell ref="A21:J21"/>
    <mergeCell ref="A11:J11"/>
    <mergeCell ref="A13:I13"/>
    <mergeCell ref="A14:I14"/>
    <mergeCell ref="A15:I15"/>
    <mergeCell ref="A16:I16"/>
    <mergeCell ref="A17:I17"/>
    <mergeCell ref="A211:I211"/>
    <mergeCell ref="A212:I212"/>
    <mergeCell ref="A213:I213"/>
    <mergeCell ref="A300:I300"/>
    <mergeCell ref="A124:I124"/>
    <mergeCell ref="A128:I128"/>
    <mergeCell ref="A146:I146"/>
    <mergeCell ref="A147:I147"/>
    <mergeCell ref="A202:I202"/>
    <mergeCell ref="A398:I398"/>
    <mergeCell ref="A399:I399"/>
    <mergeCell ref="A400:I400"/>
    <mergeCell ref="A415:I415"/>
    <mergeCell ref="A416:I416"/>
    <mergeCell ref="A301:I301"/>
    <mergeCell ref="A302:I302"/>
    <mergeCell ref="A303:I303"/>
    <mergeCell ref="A312:I312"/>
    <mergeCell ref="A313:I313"/>
    <mergeCell ref="A333:E333"/>
    <mergeCell ref="A304:J304"/>
    <mergeCell ref="A310:J310"/>
    <mergeCell ref="A311:E311"/>
    <mergeCell ref="A338:E338"/>
    <mergeCell ref="A355:E355"/>
    <mergeCell ref="A314:E314"/>
    <mergeCell ref="A315:E315"/>
    <mergeCell ref="A316:E316"/>
    <mergeCell ref="A331:E331"/>
    <mergeCell ref="A332:E332"/>
    <mergeCell ref="A357:I357"/>
    <mergeCell ref="A393:I393"/>
    <mergeCell ref="A466:I466"/>
    <mergeCell ref="A447:I447"/>
    <mergeCell ref="A448:I448"/>
    <mergeCell ref="A463:I463"/>
    <mergeCell ref="A464:I464"/>
    <mergeCell ref="A465:I465"/>
    <mergeCell ref="A428:I428"/>
    <mergeCell ref="A433:I433"/>
    <mergeCell ref="A434:I434"/>
    <mergeCell ref="A438:I438"/>
    <mergeCell ref="A439:I439"/>
  </mergeCells>
  <phoneticPr fontId="6" type="noConversion"/>
  <pageMargins left="0.39370078740157483" right="0.39370078740157483" top="0.98425196850393704" bottom="0.98425196850393704" header="0.51181102362204722" footer="0.51181102362204722"/>
  <headerFooter alignWithMargins="0"/>
  <rowBreaks count="6" manualBreakCount="6">
    <brk id="63" max="8" man="1"/>
    <brk id="129" max="8" man="1"/>
    <brk id="186" max="8" man="1"/>
    <brk id="254" max="8" man="1"/>
    <brk id="314" max="8" man="1"/>
    <brk id="372" max="8" man="1"/>
  </rowBreaks>
  <ignoredErrors>
    <ignoredError sqref="C98 C271 C282 C295 C61 C232 C337 C363 C371 C379 C388 C71 C90 C108 C122 C135 C143 C194" formulaRange="1"/>
  </ignoredErrors>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GENERAL INFOMRATION</vt:lpstr>
      <vt:lpstr>Balance sheet</vt:lpstr>
      <vt:lpstr>P&amp;L</vt:lpstr>
      <vt:lpstr>CF_I</vt:lpstr>
      <vt:lpstr>NT_D</vt:lpstr>
      <vt:lpstr>CC</vt:lpstr>
      <vt:lpstr>Notes</vt:lpstr>
    </vt:vector>
  </TitlesOfParts>
  <Company>HANFA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TFI-POD</dc:title>
  <dc:creator>Mijo Jozić</dc:creator>
  <cp:lastModifiedBy>Martina Čulina</cp:lastModifiedBy>
  <cp:lastPrinted>2011-04-29T07:01:38Z</cp:lastPrinted>
  <dcterms:created xsi:type="dcterms:W3CDTF">2008-10-17T11:51:54Z</dcterms:created>
  <dcterms:modified xsi:type="dcterms:W3CDTF">2011-04-29T07:12:57Z</dcterms:modified>
</cp:coreProperties>
</file>