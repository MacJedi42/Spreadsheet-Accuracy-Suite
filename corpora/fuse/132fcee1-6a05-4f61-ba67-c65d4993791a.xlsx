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5450" windowHeight="9690"/>
  </bookViews>
  <sheets>
    <sheet name="TLC-Hamburg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Q19" i="1" l="1"/>
  <c r="Q18" i="1"/>
  <c r="Q17" i="1"/>
  <c r="Q16" i="1"/>
  <c r="Q15" i="1"/>
  <c r="Q14" i="1"/>
  <c r="I19" i="1"/>
  <c r="I18" i="1"/>
  <c r="I17" i="1"/>
  <c r="I16" i="1"/>
  <c r="I15" i="1"/>
  <c r="I14" i="1"/>
  <c r="Q11" i="1"/>
  <c r="Q10" i="1"/>
  <c r="Q9" i="1"/>
  <c r="Q8" i="1"/>
  <c r="Q7" i="1"/>
  <c r="Q6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<sst xmlns="http://schemas.openxmlformats.org/spreadsheetml/2006/main" count="23" uniqueCount="16">
  <si>
    <t>Truck</t>
  </si>
  <si>
    <t>Ocean</t>
  </si>
  <si>
    <t>Total transportation</t>
  </si>
  <si>
    <t>Landed cost</t>
  </si>
  <si>
    <t>Transport % of landed cost</t>
  </si>
  <si>
    <t xml:space="preserve"> Source: ESALQ/ USP (University of São Paulo, Brazil) and USDA/AMS</t>
  </si>
  <si>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Producing regions: RS = Rio Grande Do Sul, MT= Mato Grosso, GO = Goiás, PR = Paraná </t>
    </r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</si>
  <si>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Export ports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</si>
  <si>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>Source: Companhia Nacional de Abastecimento (CONAB) www.conab.gov.br</t>
    </r>
  </si>
  <si>
    <r>
      <t>Farm price</t>
    </r>
    <r>
      <rPr>
        <vertAlign val="superscript"/>
        <sz val="11"/>
        <color theme="1"/>
        <rFont val="Calibri"/>
        <family val="2"/>
        <scheme val="minor"/>
      </rPr>
      <t>3</t>
    </r>
  </si>
  <si>
    <t>% Change 11-12</t>
  </si>
  <si>
    <r>
      <t>North MT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Santos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--US$/mt--</t>
    </r>
  </si>
  <si>
    <r>
      <t>North Center PR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Paranagua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--US$/mt--</t>
    </r>
  </si>
  <si>
    <t>Cost of transporting  soybeans from Brazil to Hamburg, Germany</t>
  </si>
  <si>
    <r>
      <t>Northwest RS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Rio Grande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--US$/mt--</t>
    </r>
  </si>
  <si>
    <r>
      <t>South GO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- Santos</t>
    </r>
    <r>
      <rPr>
        <b/>
        <vertAlign val="superscript"/>
        <sz val="11"/>
        <color theme="1"/>
        <rFont val="Calibri"/>
        <family val="2"/>
        <scheme val="minor"/>
      </rPr>
      <t xml:space="preserve">2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--US$/mt--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</si>
</sst>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_(* #,##0.00_);_(* \(#,##0.00\);_(* \-??_);_(@_)"/>
    <numFmt numFmtId="166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AF59F"/>
        <bgColor indexed="64"/>
      </patternFill>
    </fill>
    <fill>
      <patternFill patternType="solid">
        <fgColor rgb="FFFADD81"/>
        <bgColor indexed="64"/>
      </patternFill>
    </fill>
    <fill>
      <patternFill patternType="solid">
        <fgColor rgb="FFFAFAE6"/>
        <bgColor indexed="64"/>
      </patternFill>
    </fill>
    <fill>
      <patternFill patternType="solid">
        <fgColor rgb="FFFBFBC2"/>
        <bgColor indexed="64"/>
      </patternFill>
    </fill>
    <fill>
      <patternFill patternType="solid">
        <fgColor rgb="FFFFFFCC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/>
    <xf numFmtId="9" fontId="6" fillId="0" borderId="0" applyFont="0" applyFill="0" applyBorder="0" applyAlignment="0" applyProtection="0"/>
    <xf numFmtId="0" fontId="10" fillId="0" borderId="0"/>
    <xf numFmtId="0" fontId="6" fillId="0" borderId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6" borderId="16" applyNumberFormat="0" applyFont="0" applyAlignment="0" applyProtection="0"/>
    <xf numFmtId="0" fontId="11" fillId="6" borderId="16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ill="0" applyBorder="0" applyAlignment="0" applyProtection="0"/>
    <xf numFmtId="166" fontId="11" fillId="0" borderId="0" applyFont="0" applyFill="0" applyBorder="0" applyAlignment="0" applyProtection="0"/>
  </cellStyleXfs>
  <cellXfs count="54">
    <xf numFmtId="0" fontId="0" fillId="0" borderId="0" xfId="0"/>
    <xf numFmtId="0" fontId="0" fillId="5" borderId="1" xfId="0" applyFill="1" applyBorder="1"/>
    <xf numFmtId="0" fontId="0" fillId="5" borderId="12" xfId="0" applyFill="1" applyBorder="1"/>
    <xf numFmtId="2" fontId="8" fillId="5" borderId="1" xfId="0" applyNumberFormat="1" applyFont="1" applyFill="1" applyBorder="1" applyAlignment="1">
      <alignment horizontal="center"/>
    </xf>
    <xf numFmtId="2" fontId="7" fillId="5" borderId="1" xfId="0" applyNumberFormat="1" applyFont="1" applyFill="1" applyBorder="1" applyAlignment="1">
      <alignment horizontal="center"/>
    </xf>
    <xf numFmtId="2" fontId="9" fillId="5" borderId="1" xfId="0" applyNumberFormat="1" applyFont="1" applyFill="1" applyBorder="1" applyAlignment="1">
      <alignment horizontal="center"/>
    </xf>
    <xf numFmtId="164" fontId="9" fillId="5" borderId="1" xfId="1" applyNumberFormat="1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2" fontId="0" fillId="0" borderId="0" xfId="0" applyNumberFormat="1"/>
    <xf numFmtId="164" fontId="9" fillId="5" borderId="1" xfId="0" applyNumberFormat="1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3" xfId="0" applyFont="1" applyBorder="1"/>
    <xf numFmtId="0" fontId="1" fillId="0" borderId="0" xfId="0" applyFont="1" applyBorder="1"/>
    <xf numFmtId="0" fontId="1" fillId="0" borderId="4" xfId="0" applyFont="1" applyBorder="1"/>
    <xf numFmtId="0" fontId="4" fillId="4" borderId="13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12" fillId="0" borderId="0" xfId="0" applyFont="1" applyFill="1" applyBorder="1"/>
    <xf numFmtId="2" fontId="6" fillId="0" borderId="0" xfId="0" applyNumberFormat="1" applyFont="1" applyFill="1" applyBorder="1" applyAlignment="1">
      <alignment horizontal="right"/>
    </xf>
    <xf numFmtId="2" fontId="6" fillId="0" borderId="0" xfId="1" applyNumberFormat="1" applyFont="1" applyFill="1" applyBorder="1" applyAlignment="1">
      <alignment horizontal="right"/>
    </xf>
    <xf numFmtId="43" fontId="6" fillId="0" borderId="0" xfId="1" applyNumberFormat="1" applyFont="1" applyFill="1" applyBorder="1" applyAlignment="1">
      <alignment horizontal="right"/>
    </xf>
    <xf numFmtId="43" fontId="6" fillId="0" borderId="0" xfId="0" applyNumberFormat="1" applyFont="1" applyFill="1" applyBorder="1" applyAlignment="1">
      <alignment horizontal="right"/>
    </xf>
    <xf numFmtId="0" fontId="0" fillId="0" borderId="0" xfId="0" applyFill="1" applyBorder="1"/>
    <xf numFmtId="164" fontId="6" fillId="0" borderId="0" xfId="1" applyNumberFormat="1" applyFont="1" applyFill="1" applyBorder="1" applyAlignment="1">
      <alignment horizontal="right"/>
    </xf>
    <xf numFmtId="164" fontId="0" fillId="0" borderId="0" xfId="0" applyNumberFormat="1" applyFill="1" applyBorder="1"/>
    <xf numFmtId="2" fontId="12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</cellXfs>
  <cellStyles count="18">
    <cellStyle name="Comma 2" xfId="4"/>
    <cellStyle name="Comma 3" xfId="5"/>
    <cellStyle name="Normal" xfId="0" builtinId="0"/>
    <cellStyle name="Normal 2" xfId="2"/>
    <cellStyle name="Normal 2 2" xfId="3"/>
    <cellStyle name="Normal 3" xfId="6"/>
    <cellStyle name="Normal 3 2" xfId="7"/>
    <cellStyle name="Normal 4" xfId="8"/>
    <cellStyle name="Normal 5" xfId="9"/>
    <cellStyle name="Nota 2" xfId="10"/>
    <cellStyle name="Nota 2 2" xfId="11"/>
    <cellStyle name="Percent 2" xfId="1"/>
    <cellStyle name="Percent 3" xfId="12"/>
    <cellStyle name="Percent 4" xfId="13"/>
    <cellStyle name="Porcentagem 2" xfId="14"/>
    <cellStyle name="Separador de milhares 2" xfId="15"/>
    <cellStyle name="Separador de milhares 2 2" xfId="16"/>
    <cellStyle name="Separador de milhares 3" xfId="17"/>
  </cellStyles>
  <dxfs count="0"/>
  <tableStyles count="0" defaultTableStyle="TableStyleMedium9" defaultPivotStyle="PivotStyleLight16"/>
  <colors>
    <mruColors>
      <color rgb="FFFBFBC2"/>
      <color rgb="FFFAFAE6"/>
      <color rgb="FFFADD81"/>
      <color rgb="FFFAF59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F25"/>
  <sheetViews>
    <sheetView tabSelected="1" workbookViewId="0">
      <selection activeCell="T20" sqref="T20:U20"/>
    </sheetView>
  </sheetViews>
  <sheetFormatPr defaultRowHeight="15" x14ac:dyDescent="0.25"/>
  <cols>
    <col min="1" max="1" width="29.140625" customWidth="1"/>
    <col min="4" max="5" width="9.140625" customWidth="1"/>
    <col min="9" max="9" width="9.85546875" customWidth="1"/>
    <col min="17" max="17" width="10.42578125" customWidth="1"/>
    <col min="18" max="18" width="9.28515625" bestFit="1" customWidth="1"/>
  </cols>
  <sheetData>
    <row r="1" spans="1:32" ht="29.25" customHeight="1" x14ac:dyDescent="0.25">
      <c r="A1" s="51" t="s">
        <v>13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3"/>
      <c r="S1" s="45"/>
      <c r="T1" s="39"/>
      <c r="U1" s="48"/>
      <c r="V1" s="49"/>
      <c r="W1" s="49"/>
      <c r="X1" s="49"/>
      <c r="Y1" s="49"/>
      <c r="Z1" s="49"/>
      <c r="AA1" s="49"/>
      <c r="AB1" s="49"/>
      <c r="AC1" s="49"/>
      <c r="AD1" s="49"/>
      <c r="AE1" s="45"/>
      <c r="AF1" s="45"/>
    </row>
    <row r="2" spans="1:32" ht="14.45" customHeight="1" x14ac:dyDescent="0.25">
      <c r="A2" s="13"/>
      <c r="B2" s="11">
        <v>2006</v>
      </c>
      <c r="C2" s="11">
        <v>2007</v>
      </c>
      <c r="D2" s="11">
        <v>2008</v>
      </c>
      <c r="E2" s="11">
        <v>2009</v>
      </c>
      <c r="F2" s="11">
        <v>2010</v>
      </c>
      <c r="G2" s="11">
        <v>2011</v>
      </c>
      <c r="H2" s="11">
        <v>2012</v>
      </c>
      <c r="I2" s="11" t="s">
        <v>10</v>
      </c>
      <c r="J2" s="11">
        <v>2006</v>
      </c>
      <c r="K2" s="11">
        <v>2007</v>
      </c>
      <c r="L2" s="11">
        <v>2008</v>
      </c>
      <c r="M2" s="11">
        <v>2009</v>
      </c>
      <c r="N2" s="11">
        <v>2010</v>
      </c>
      <c r="O2" s="11">
        <v>2011</v>
      </c>
      <c r="P2" s="11">
        <v>2012</v>
      </c>
      <c r="Q2" s="11" t="s">
        <v>10</v>
      </c>
      <c r="S2" s="45"/>
      <c r="T2" s="40"/>
      <c r="U2" s="50"/>
      <c r="V2" s="50"/>
      <c r="W2" s="50"/>
      <c r="X2" s="50"/>
      <c r="Y2" s="50"/>
      <c r="Z2" s="50"/>
      <c r="AA2" s="50"/>
      <c r="AB2" s="50"/>
      <c r="AC2" s="50"/>
      <c r="AD2" s="50"/>
      <c r="AE2" s="45"/>
      <c r="AF2" s="45"/>
    </row>
    <row r="3" spans="1:32" x14ac:dyDescent="0.25">
      <c r="A3" s="14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S3" s="45"/>
      <c r="T3" s="40"/>
      <c r="U3" s="48"/>
      <c r="V3" s="48"/>
      <c r="W3" s="48"/>
      <c r="X3" s="48"/>
      <c r="Y3" s="48"/>
      <c r="Z3" s="48"/>
      <c r="AA3" s="48"/>
      <c r="AB3" s="48"/>
      <c r="AC3" s="48"/>
      <c r="AD3" s="48"/>
      <c r="AE3" s="45"/>
      <c r="AF3" s="45"/>
    </row>
    <row r="4" spans="1:32" ht="17.25" customHeight="1" x14ac:dyDescent="0.25">
      <c r="A4" s="26"/>
      <c r="B4" s="28" t="s">
        <v>11</v>
      </c>
      <c r="C4" s="34"/>
      <c r="D4" s="34"/>
      <c r="E4" s="34"/>
      <c r="F4" s="34"/>
      <c r="G4" s="34"/>
      <c r="H4" s="34"/>
      <c r="I4" s="35"/>
      <c r="J4" s="28" t="s">
        <v>14</v>
      </c>
      <c r="K4" s="29"/>
      <c r="L4" s="29"/>
      <c r="M4" s="29"/>
      <c r="N4" s="29"/>
      <c r="O4" s="29"/>
      <c r="P4" s="29"/>
      <c r="Q4" s="30"/>
      <c r="S4" s="45"/>
      <c r="T4" s="39"/>
      <c r="U4" s="41"/>
      <c r="V4" s="41"/>
      <c r="W4" s="41"/>
      <c r="X4" s="41"/>
      <c r="Y4" s="42"/>
      <c r="Z4" s="41"/>
      <c r="AA4" s="41"/>
      <c r="AB4" s="41"/>
      <c r="AC4" s="41"/>
      <c r="AD4" s="42"/>
      <c r="AE4" s="45"/>
      <c r="AF4" s="45"/>
    </row>
    <row r="5" spans="1:32" ht="24" customHeight="1" x14ac:dyDescent="0.25">
      <c r="A5" s="26"/>
      <c r="B5" s="36"/>
      <c r="C5" s="37"/>
      <c r="D5" s="37"/>
      <c r="E5" s="37"/>
      <c r="F5" s="37"/>
      <c r="G5" s="37"/>
      <c r="H5" s="37"/>
      <c r="I5" s="38"/>
      <c r="J5" s="31"/>
      <c r="K5" s="32"/>
      <c r="L5" s="32"/>
      <c r="M5" s="32"/>
      <c r="N5" s="32"/>
      <c r="O5" s="32"/>
      <c r="P5" s="32"/>
      <c r="Q5" s="33"/>
      <c r="S5" s="45"/>
      <c r="T5" s="39"/>
      <c r="U5" s="41"/>
      <c r="V5" s="41"/>
      <c r="W5" s="41"/>
      <c r="X5" s="41"/>
      <c r="Y5" s="42"/>
      <c r="Z5" s="41"/>
      <c r="AA5" s="41"/>
      <c r="AB5" s="41"/>
      <c r="AC5" s="41"/>
      <c r="AD5" s="42"/>
      <c r="AE5" s="45"/>
      <c r="AF5" s="45"/>
    </row>
    <row r="6" spans="1:32" ht="18" customHeight="1" x14ac:dyDescent="0.25">
      <c r="A6" s="1" t="s">
        <v>0</v>
      </c>
      <c r="B6" s="3">
        <v>79.459999999999994</v>
      </c>
      <c r="C6" s="3">
        <v>97.67</v>
      </c>
      <c r="D6" s="3">
        <v>115.7404466010729</v>
      </c>
      <c r="E6" s="3">
        <v>96.995351160646749</v>
      </c>
      <c r="F6" s="3">
        <v>116.77553419565736</v>
      </c>
      <c r="G6" s="3">
        <v>123.30603005595583</v>
      </c>
      <c r="H6" s="3">
        <v>111.78055896843495</v>
      </c>
      <c r="I6" s="8">
        <f>(H6-G6)/G6*100</f>
        <v>-9.3470457870476142</v>
      </c>
      <c r="J6" s="4">
        <v>16.16</v>
      </c>
      <c r="K6" s="4">
        <v>21.82</v>
      </c>
      <c r="L6" s="4">
        <v>22.291469463945315</v>
      </c>
      <c r="M6" s="4">
        <v>24.504774787100779</v>
      </c>
      <c r="N6" s="4">
        <v>28.179980579262676</v>
      </c>
      <c r="O6" s="4">
        <v>37.535873796534382</v>
      </c>
      <c r="P6" s="4">
        <v>25.828705437146592</v>
      </c>
      <c r="Q6" s="7">
        <f>(P6-O6)/O6*100</f>
        <v>-31.189278882509168</v>
      </c>
      <c r="S6" s="45"/>
      <c r="T6" s="39"/>
      <c r="U6" s="41"/>
      <c r="V6" s="41"/>
      <c r="W6" s="41"/>
      <c r="X6" s="41"/>
      <c r="Y6" s="42"/>
      <c r="Z6" s="41"/>
      <c r="AA6" s="41"/>
      <c r="AB6" s="41"/>
      <c r="AC6" s="41"/>
      <c r="AD6" s="42"/>
      <c r="AE6" s="45"/>
      <c r="AF6" s="45"/>
    </row>
    <row r="7" spans="1:32" ht="18" customHeight="1" x14ac:dyDescent="0.25">
      <c r="A7" s="1" t="s">
        <v>1</v>
      </c>
      <c r="B7" s="3">
        <v>46.76</v>
      </c>
      <c r="C7" s="3">
        <v>73.010000000000005</v>
      </c>
      <c r="D7" s="3">
        <v>52.359162906760659</v>
      </c>
      <c r="E7" s="3">
        <v>32.483333333333334</v>
      </c>
      <c r="F7" s="3">
        <v>33.627499999999998</v>
      </c>
      <c r="G7" s="3">
        <v>34.652500000000003</v>
      </c>
      <c r="H7" s="3">
        <v>31.75</v>
      </c>
      <c r="I7" s="8">
        <f t="shared" ref="I7:I11" si="0">(H7-G7)/G7*100</f>
        <v>-8.3760190462448687</v>
      </c>
      <c r="J7" s="4">
        <v>45.03</v>
      </c>
      <c r="K7" s="4">
        <v>71.73</v>
      </c>
      <c r="L7" s="4">
        <v>54.304105152547443</v>
      </c>
      <c r="M7" s="4">
        <v>33.791666666666664</v>
      </c>
      <c r="N7" s="4">
        <v>36.03</v>
      </c>
      <c r="O7" s="4">
        <v>36.115000000000002</v>
      </c>
      <c r="P7" s="4">
        <v>33.144999999999996</v>
      </c>
      <c r="Q7" s="7">
        <f t="shared" ref="Q7:Q11" si="1">(P7-O7)/O7*100</f>
        <v>-8.2237297521805495</v>
      </c>
      <c r="S7" s="45"/>
      <c r="T7" s="39"/>
      <c r="U7" s="41"/>
      <c r="V7" s="41"/>
      <c r="W7" s="41"/>
      <c r="X7" s="41"/>
      <c r="Y7" s="43"/>
      <c r="Z7" s="44"/>
      <c r="AA7" s="44"/>
      <c r="AB7" s="44"/>
      <c r="AC7" s="41"/>
      <c r="AD7" s="42"/>
      <c r="AE7" s="45"/>
      <c r="AF7" s="45"/>
    </row>
    <row r="8" spans="1:32" ht="18" customHeight="1" x14ac:dyDescent="0.25">
      <c r="A8" s="1" t="s">
        <v>2</v>
      </c>
      <c r="B8" s="3">
        <v>126.22</v>
      </c>
      <c r="C8" s="3">
        <v>170.68</v>
      </c>
      <c r="D8" s="3">
        <v>168.09960950783355</v>
      </c>
      <c r="E8" s="3">
        <v>129.4786844939801</v>
      </c>
      <c r="F8" s="3">
        <v>150.40303419565737</v>
      </c>
      <c r="G8" s="3">
        <v>157.95853005595583</v>
      </c>
      <c r="H8" s="3">
        <v>143.53055896843495</v>
      </c>
      <c r="I8" s="8">
        <f t="shared" si="0"/>
        <v>-9.1340246597697945</v>
      </c>
      <c r="J8" s="4">
        <v>61.18</v>
      </c>
      <c r="K8" s="4">
        <v>93.55</v>
      </c>
      <c r="L8" s="4">
        <v>76.595574616492769</v>
      </c>
      <c r="M8" s="4">
        <v>58.296441453767443</v>
      </c>
      <c r="N8" s="4">
        <v>64.209980579262677</v>
      </c>
      <c r="O8" s="4">
        <v>73.650873796534384</v>
      </c>
      <c r="P8" s="4">
        <v>58.973705437146592</v>
      </c>
      <c r="Q8" s="7">
        <f t="shared" si="1"/>
        <v>-19.928030181874668</v>
      </c>
      <c r="S8" s="45"/>
      <c r="T8" s="39"/>
      <c r="U8" s="41"/>
      <c r="V8" s="41"/>
      <c r="W8" s="41"/>
      <c r="X8" s="41"/>
      <c r="Y8" s="42"/>
      <c r="Z8" s="41"/>
      <c r="AA8" s="41"/>
      <c r="AB8" s="41"/>
      <c r="AC8" s="41"/>
      <c r="AD8" s="42"/>
      <c r="AE8" s="45"/>
      <c r="AF8" s="45"/>
    </row>
    <row r="9" spans="1:32" ht="18" customHeight="1" x14ac:dyDescent="0.25">
      <c r="A9" s="1" t="s">
        <v>9</v>
      </c>
      <c r="B9" s="3">
        <v>164.88</v>
      </c>
      <c r="C9" s="3">
        <v>233.82</v>
      </c>
      <c r="D9" s="3">
        <v>358.99492881723143</v>
      </c>
      <c r="E9" s="3">
        <v>324.34483194651477</v>
      </c>
      <c r="F9" s="3">
        <v>318.15015523600351</v>
      </c>
      <c r="G9" s="3">
        <v>392.09939032678852</v>
      </c>
      <c r="H9" s="3">
        <v>483.31260690329771</v>
      </c>
      <c r="I9" s="8">
        <f t="shared" si="0"/>
        <v>23.262779495905132</v>
      </c>
      <c r="J9" s="4">
        <v>210.34</v>
      </c>
      <c r="K9" s="4">
        <v>267.06</v>
      </c>
      <c r="L9" s="4">
        <v>394.66049439564671</v>
      </c>
      <c r="M9" s="4">
        <v>359.50758994537472</v>
      </c>
      <c r="N9" s="4">
        <v>344.90206396013872</v>
      </c>
      <c r="O9" s="4">
        <v>415.86528221477488</v>
      </c>
      <c r="P9" s="4">
        <v>483.21553176850307</v>
      </c>
      <c r="Q9" s="7">
        <f t="shared" si="1"/>
        <v>16.195208504792895</v>
      </c>
      <c r="S9" s="45"/>
      <c r="T9" s="3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5"/>
      <c r="AF9" s="45"/>
    </row>
    <row r="10" spans="1:32" ht="18" customHeight="1" x14ac:dyDescent="0.25">
      <c r="A10" s="1" t="s">
        <v>3</v>
      </c>
      <c r="B10" s="3">
        <v>291.11</v>
      </c>
      <c r="C10" s="3">
        <v>404.5</v>
      </c>
      <c r="D10" s="3">
        <v>527.09453832506495</v>
      </c>
      <c r="E10" s="3">
        <v>453.82351644049487</v>
      </c>
      <c r="F10" s="3">
        <v>468.55318943166094</v>
      </c>
      <c r="G10" s="3">
        <v>550.05792038274433</v>
      </c>
      <c r="H10" s="3">
        <v>626.84316587173259</v>
      </c>
      <c r="I10" s="8">
        <f t="shared" si="0"/>
        <v>13.959483655022936</v>
      </c>
      <c r="J10" s="4">
        <v>271.52999999999997</v>
      </c>
      <c r="K10" s="4">
        <v>360.61</v>
      </c>
      <c r="L10" s="4">
        <v>471.25606901213939</v>
      </c>
      <c r="M10" s="4">
        <v>417.80403139914216</v>
      </c>
      <c r="N10" s="4">
        <v>409.11204453940138</v>
      </c>
      <c r="O10" s="4">
        <v>489.51615601130925</v>
      </c>
      <c r="P10" s="4">
        <v>542.18923720564976</v>
      </c>
      <c r="Q10" s="7">
        <f t="shared" si="1"/>
        <v>10.760233456548798</v>
      </c>
      <c r="S10" s="45"/>
      <c r="T10" s="4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45"/>
      <c r="AF10" s="45"/>
    </row>
    <row r="11" spans="1:32" ht="18" customHeight="1" x14ac:dyDescent="0.25">
      <c r="A11" s="1" t="s">
        <v>4</v>
      </c>
      <c r="B11" s="8">
        <v>43.4</v>
      </c>
      <c r="C11" s="8">
        <v>42.5</v>
      </c>
      <c r="D11" s="8">
        <v>31.646624530762608</v>
      </c>
      <c r="E11" s="8">
        <v>28.666203340501603</v>
      </c>
      <c r="F11" s="8">
        <v>32.587670371853982</v>
      </c>
      <c r="G11" s="8">
        <v>28.735384776184372</v>
      </c>
      <c r="H11" s="8">
        <v>23.284275642614848</v>
      </c>
      <c r="I11" s="8">
        <f t="shared" si="0"/>
        <v>-18.97002311271417</v>
      </c>
      <c r="J11" s="7">
        <v>22.3</v>
      </c>
      <c r="K11" s="7">
        <v>26.1</v>
      </c>
      <c r="L11" s="7">
        <v>16.051611466929636</v>
      </c>
      <c r="M11" s="7">
        <v>13.980788626812961</v>
      </c>
      <c r="N11" s="7">
        <v>15.817928098450679</v>
      </c>
      <c r="O11" s="7">
        <v>15.040282843375696</v>
      </c>
      <c r="P11" s="7">
        <v>11.034976910502976</v>
      </c>
      <c r="Q11" s="7">
        <f t="shared" si="1"/>
        <v>-26.630522674224881</v>
      </c>
      <c r="R11" s="9"/>
      <c r="S11" s="45"/>
      <c r="T11" s="40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5"/>
      <c r="AF11" s="45"/>
    </row>
    <row r="12" spans="1:32" ht="17.25" customHeight="1" x14ac:dyDescent="0.25">
      <c r="A12" s="27"/>
      <c r="B12" s="24" t="s">
        <v>12</v>
      </c>
      <c r="C12" s="24"/>
      <c r="D12" s="24"/>
      <c r="E12" s="24"/>
      <c r="F12" s="24"/>
      <c r="G12" s="24"/>
      <c r="H12" s="24"/>
      <c r="I12" s="24"/>
      <c r="J12" s="28" t="s">
        <v>15</v>
      </c>
      <c r="K12" s="34"/>
      <c r="L12" s="34"/>
      <c r="M12" s="34"/>
      <c r="N12" s="34"/>
      <c r="O12" s="34"/>
      <c r="P12" s="34"/>
      <c r="Q12" s="35"/>
      <c r="S12" s="47"/>
      <c r="T12" s="39"/>
      <c r="U12" s="42"/>
      <c r="V12" s="42"/>
      <c r="W12" s="42"/>
      <c r="X12" s="42"/>
      <c r="Y12" s="42"/>
      <c r="Z12" s="41"/>
      <c r="AA12" s="41"/>
      <c r="AB12" s="41"/>
      <c r="AC12" s="41"/>
      <c r="AD12" s="42"/>
      <c r="AE12" s="45"/>
      <c r="AF12" s="45"/>
    </row>
    <row r="13" spans="1:32" ht="24" customHeight="1" x14ac:dyDescent="0.25">
      <c r="A13" s="27"/>
      <c r="B13" s="25"/>
      <c r="C13" s="25"/>
      <c r="D13" s="25"/>
      <c r="E13" s="25"/>
      <c r="F13" s="25"/>
      <c r="G13" s="25"/>
      <c r="H13" s="25"/>
      <c r="I13" s="25"/>
      <c r="J13" s="36"/>
      <c r="K13" s="37"/>
      <c r="L13" s="37"/>
      <c r="M13" s="37"/>
      <c r="N13" s="37"/>
      <c r="O13" s="37"/>
      <c r="P13" s="37"/>
      <c r="Q13" s="38"/>
      <c r="S13" s="45"/>
      <c r="T13" s="39"/>
      <c r="U13" s="42"/>
      <c r="V13" s="42"/>
      <c r="W13" s="42"/>
      <c r="X13" s="42"/>
      <c r="Y13" s="42"/>
      <c r="Z13" s="41"/>
      <c r="AA13" s="41"/>
      <c r="AB13" s="41"/>
      <c r="AC13" s="41"/>
      <c r="AD13" s="42"/>
      <c r="AE13" s="45"/>
      <c r="AF13" s="45"/>
    </row>
    <row r="14" spans="1:32" ht="18" customHeight="1" x14ac:dyDescent="0.25">
      <c r="A14" s="1" t="s">
        <v>0</v>
      </c>
      <c r="B14" s="5">
        <v>21.31</v>
      </c>
      <c r="C14" s="5">
        <v>32.36</v>
      </c>
      <c r="D14" s="5">
        <v>33.595400440545454</v>
      </c>
      <c r="E14" s="5">
        <v>27.365110357103291</v>
      </c>
      <c r="F14" s="5">
        <v>34.511190480110947</v>
      </c>
      <c r="G14" s="5">
        <v>39.539538409119935</v>
      </c>
      <c r="H14" s="5">
        <v>34.76008156816566</v>
      </c>
      <c r="I14" s="10">
        <f>(H14-G14)/G14*100</f>
        <v>-12.087791191441619</v>
      </c>
      <c r="J14" s="5">
        <v>43.56</v>
      </c>
      <c r="K14" s="5">
        <v>50.47</v>
      </c>
      <c r="L14" s="5">
        <v>80.611261284215814</v>
      </c>
      <c r="M14" s="5">
        <v>50.834049480729739</v>
      </c>
      <c r="N14" s="5">
        <v>64.712819136578403</v>
      </c>
      <c r="O14" s="5">
        <v>63.916758653530948</v>
      </c>
      <c r="P14" s="5">
        <v>55.0191038530714</v>
      </c>
      <c r="Q14" s="10">
        <f>(P14-O14)/O14*100</f>
        <v>-13.920691517995204</v>
      </c>
      <c r="S14" s="45"/>
      <c r="T14" s="39"/>
      <c r="U14" s="42"/>
      <c r="V14" s="42"/>
      <c r="W14" s="42"/>
      <c r="X14" s="42"/>
      <c r="Y14" s="42"/>
      <c r="Z14" s="41"/>
      <c r="AA14" s="41"/>
      <c r="AB14" s="41"/>
      <c r="AC14" s="41"/>
      <c r="AD14" s="42"/>
      <c r="AE14" s="45"/>
      <c r="AF14" s="45"/>
    </row>
    <row r="15" spans="1:32" ht="18" customHeight="1" x14ac:dyDescent="0.25">
      <c r="A15" s="1" t="s">
        <v>1</v>
      </c>
      <c r="B15" s="5">
        <v>45.76</v>
      </c>
      <c r="C15" s="5">
        <v>71.05</v>
      </c>
      <c r="D15" s="5">
        <v>53.814105152547434</v>
      </c>
      <c r="E15" s="5">
        <v>33.343333333333334</v>
      </c>
      <c r="F15" s="5">
        <v>35.082499999999996</v>
      </c>
      <c r="G15" s="5">
        <v>34.945</v>
      </c>
      <c r="H15" s="5">
        <v>33.795000000000002</v>
      </c>
      <c r="I15" s="10">
        <f t="shared" ref="I15:I19" si="2">(H15-G15)/G15*100</f>
        <v>-3.2908856774931996</v>
      </c>
      <c r="J15" s="5">
        <v>46.76</v>
      </c>
      <c r="K15" s="5">
        <v>73.010000000000005</v>
      </c>
      <c r="L15" s="5">
        <v>52.359162906760659</v>
      </c>
      <c r="M15" s="5">
        <v>32.483333333333334</v>
      </c>
      <c r="N15" s="5">
        <v>33.627499999999998</v>
      </c>
      <c r="O15" s="5">
        <v>34.652500000000003</v>
      </c>
      <c r="P15" s="5">
        <v>31.75</v>
      </c>
      <c r="Q15" s="10">
        <f t="shared" ref="Q15:Q19" si="3">(P15-O15)/O15*100</f>
        <v>-8.3760190462448687</v>
      </c>
      <c r="S15" s="45"/>
      <c r="T15" s="39"/>
      <c r="U15" s="42"/>
      <c r="V15" s="42"/>
      <c r="W15" s="42"/>
      <c r="X15" s="42"/>
      <c r="Y15" s="42"/>
      <c r="Z15" s="41"/>
      <c r="AA15" s="41"/>
      <c r="AB15" s="41"/>
      <c r="AC15" s="41"/>
      <c r="AD15" s="42"/>
      <c r="AE15" s="45"/>
      <c r="AF15" s="45"/>
    </row>
    <row r="16" spans="1:32" ht="18" customHeight="1" x14ac:dyDescent="0.25">
      <c r="A16" s="1" t="s">
        <v>2</v>
      </c>
      <c r="B16" s="5">
        <v>67.069999999999993</v>
      </c>
      <c r="C16" s="5">
        <v>103.42</v>
      </c>
      <c r="D16" s="5">
        <v>87.409505593092888</v>
      </c>
      <c r="E16" s="5">
        <v>60.708443690436624</v>
      </c>
      <c r="F16" s="5">
        <v>69.593690480110951</v>
      </c>
      <c r="G16" s="5">
        <v>74.484538409119935</v>
      </c>
      <c r="H16" s="5">
        <v>68.555081568165662</v>
      </c>
      <c r="I16" s="10">
        <f t="shared" si="2"/>
        <v>-7.9606546104718383</v>
      </c>
      <c r="J16" s="5">
        <v>90.32</v>
      </c>
      <c r="K16" s="5">
        <v>123.48</v>
      </c>
      <c r="L16" s="5">
        <v>132.97042419097647</v>
      </c>
      <c r="M16" s="5">
        <v>83.31738281406308</v>
      </c>
      <c r="N16" s="5">
        <v>98.340319136578415</v>
      </c>
      <c r="O16" s="5">
        <v>98.569258653530952</v>
      </c>
      <c r="P16" s="5">
        <v>86.7691038530714</v>
      </c>
      <c r="Q16" s="10">
        <f t="shared" si="3"/>
        <v>-11.971435071797455</v>
      </c>
      <c r="S16" s="45"/>
      <c r="T16" s="39"/>
      <c r="U16" s="42"/>
      <c r="V16" s="42"/>
      <c r="W16" s="42"/>
      <c r="X16" s="42"/>
      <c r="Y16" s="42"/>
      <c r="Z16" s="41"/>
      <c r="AA16" s="41"/>
      <c r="AB16" s="41"/>
      <c r="AC16" s="41"/>
      <c r="AD16" s="42"/>
      <c r="AE16" s="45"/>
      <c r="AF16" s="45"/>
    </row>
    <row r="17" spans="1:32" ht="18" customHeight="1" x14ac:dyDescent="0.25">
      <c r="A17" s="1" t="s">
        <v>9</v>
      </c>
      <c r="B17" s="5">
        <v>213.81</v>
      </c>
      <c r="C17" s="5">
        <v>281.14</v>
      </c>
      <c r="D17" s="5">
        <v>399.30455020960329</v>
      </c>
      <c r="E17" s="5">
        <v>372.46227079267095</v>
      </c>
      <c r="F17" s="5">
        <v>350.43573364668168</v>
      </c>
      <c r="G17" s="5">
        <v>431.66122126786655</v>
      </c>
      <c r="H17" s="5">
        <v>513.80562268161589</v>
      </c>
      <c r="I17" s="10">
        <f t="shared" si="2"/>
        <v>19.02983111906056</v>
      </c>
      <c r="J17" s="5">
        <v>189.63</v>
      </c>
      <c r="K17" s="5">
        <v>268.64999999999998</v>
      </c>
      <c r="L17" s="5">
        <v>358.99492881723143</v>
      </c>
      <c r="M17" s="5">
        <v>338.31343243390756</v>
      </c>
      <c r="N17" s="5">
        <v>324.2695215738101</v>
      </c>
      <c r="O17" s="5">
        <v>412.89248843937844</v>
      </c>
      <c r="P17" s="5">
        <v>479.80175385196856</v>
      </c>
      <c r="Q17" s="10">
        <f t="shared" si="3"/>
        <v>16.20500912125793</v>
      </c>
      <c r="S17" s="45"/>
      <c r="T17" s="39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5"/>
      <c r="AF17" s="45"/>
    </row>
    <row r="18" spans="1:32" ht="18" customHeight="1" x14ac:dyDescent="0.25">
      <c r="A18" s="1" t="s">
        <v>3</v>
      </c>
      <c r="B18" s="5">
        <v>280.88</v>
      </c>
      <c r="C18" s="5">
        <v>384.56</v>
      </c>
      <c r="D18" s="5">
        <v>486.71405580269612</v>
      </c>
      <c r="E18" s="5">
        <v>433.17071448310753</v>
      </c>
      <c r="F18" s="5">
        <v>420.02942412679261</v>
      </c>
      <c r="G18" s="5">
        <v>506.14575967698659</v>
      </c>
      <c r="H18" s="5">
        <v>582.36070424978152</v>
      </c>
      <c r="I18" s="10">
        <f t="shared" si="2"/>
        <v>15.057904391303008</v>
      </c>
      <c r="J18" s="5">
        <v>279.95999999999998</v>
      </c>
      <c r="K18" s="5">
        <v>392.12</v>
      </c>
      <c r="L18" s="5">
        <v>491.96535300820784</v>
      </c>
      <c r="M18" s="5">
        <v>421.6308152479707</v>
      </c>
      <c r="N18" s="5">
        <v>422.60984071038843</v>
      </c>
      <c r="O18" s="5">
        <v>511.46174709290943</v>
      </c>
      <c r="P18" s="5">
        <v>566.57085770503988</v>
      </c>
      <c r="Q18" s="10">
        <f t="shared" si="3"/>
        <v>10.774825473334884</v>
      </c>
      <c r="S18" s="45"/>
      <c r="T18" s="4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45"/>
      <c r="AF18" s="45"/>
    </row>
    <row r="19" spans="1:32" ht="18" customHeight="1" x14ac:dyDescent="0.25">
      <c r="A19" s="2" t="s">
        <v>4</v>
      </c>
      <c r="B19" s="6">
        <v>23.8</v>
      </c>
      <c r="C19" s="6">
        <v>27</v>
      </c>
      <c r="D19" s="6">
        <v>17.856403090635684</v>
      </c>
      <c r="E19" s="6">
        <v>14.084696351594754</v>
      </c>
      <c r="F19" s="6">
        <v>16.769915101494878</v>
      </c>
      <c r="G19" s="6">
        <v>14.739112847574869</v>
      </c>
      <c r="H19" s="6">
        <v>11.904389245242866</v>
      </c>
      <c r="I19" s="10">
        <f t="shared" si="2"/>
        <v>-19.232660958956025</v>
      </c>
      <c r="J19" s="6">
        <v>32.200000000000003</v>
      </c>
      <c r="K19" s="6">
        <v>31.8</v>
      </c>
      <c r="L19" s="6">
        <v>26.941034536764313</v>
      </c>
      <c r="M19" s="6">
        <v>19.817495488488806</v>
      </c>
      <c r="N19" s="6">
        <v>23.561519399278261</v>
      </c>
      <c r="O19" s="6">
        <v>19.276251042889847</v>
      </c>
      <c r="P19" s="6">
        <v>15.556296227055768</v>
      </c>
      <c r="Q19" s="10">
        <f t="shared" si="3"/>
        <v>-19.298123932693876</v>
      </c>
      <c r="S19" s="45"/>
      <c r="T19" s="40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5"/>
      <c r="AF19" s="45"/>
    </row>
    <row r="20" spans="1:32" x14ac:dyDescent="0.25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20"/>
      <c r="S20" s="45"/>
      <c r="T20" s="39"/>
      <c r="U20" s="41"/>
      <c r="V20" s="41"/>
      <c r="W20" s="41"/>
      <c r="X20" s="41"/>
      <c r="Y20" s="42"/>
      <c r="Z20" s="41"/>
      <c r="AA20" s="41"/>
      <c r="AB20" s="41"/>
      <c r="AC20" s="41"/>
      <c r="AD20" s="42"/>
      <c r="AE20" s="45"/>
      <c r="AF20" s="45"/>
    </row>
    <row r="21" spans="1:32" x14ac:dyDescent="0.25">
      <c r="A21" s="21" t="s">
        <v>6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3"/>
      <c r="S21" s="45"/>
      <c r="T21" s="39"/>
      <c r="U21" s="41"/>
      <c r="V21" s="41"/>
      <c r="W21" s="41"/>
      <c r="X21" s="41"/>
      <c r="Y21" s="42"/>
      <c r="Z21" s="41"/>
      <c r="AA21" s="41"/>
      <c r="AB21" s="41"/>
      <c r="AC21" s="41"/>
      <c r="AD21" s="42"/>
      <c r="AE21" s="45"/>
      <c r="AF21" s="45"/>
    </row>
    <row r="22" spans="1:32" x14ac:dyDescent="0.25">
      <c r="A22" s="21" t="s">
        <v>7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3"/>
      <c r="S22" s="45"/>
      <c r="T22" s="39"/>
      <c r="U22" s="41"/>
      <c r="V22" s="41"/>
      <c r="W22" s="41"/>
      <c r="X22" s="41"/>
      <c r="Y22" s="42"/>
      <c r="Z22" s="41"/>
      <c r="AA22" s="41"/>
      <c r="AB22" s="41"/>
      <c r="AC22" s="41"/>
      <c r="AD22" s="42"/>
      <c r="AE22" s="45"/>
      <c r="AF22" s="45"/>
    </row>
    <row r="23" spans="1:32" x14ac:dyDescent="0.25">
      <c r="A23" s="21" t="s">
        <v>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3"/>
      <c r="S23" s="45"/>
      <c r="T23" s="39"/>
      <c r="U23" s="41"/>
      <c r="V23" s="41"/>
      <c r="W23" s="41"/>
      <c r="X23" s="41"/>
      <c r="Y23" s="42"/>
      <c r="Z23" s="41"/>
      <c r="AA23" s="41"/>
      <c r="AB23" s="41"/>
      <c r="AC23" s="41"/>
      <c r="AD23" s="42"/>
      <c r="AE23" s="45"/>
      <c r="AF23" s="45"/>
    </row>
    <row r="24" spans="1:32" x14ac:dyDescent="0.25">
      <c r="A24" s="15" t="s">
        <v>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S24" s="45"/>
      <c r="T24" s="39"/>
      <c r="U24" s="41"/>
      <c r="V24" s="41"/>
      <c r="W24" s="41"/>
      <c r="X24" s="41"/>
      <c r="Y24" s="42"/>
      <c r="Z24" s="41"/>
      <c r="AA24" s="41"/>
      <c r="AB24" s="41"/>
      <c r="AC24" s="41"/>
      <c r="AD24" s="42"/>
      <c r="AE24" s="45"/>
      <c r="AF24" s="45"/>
    </row>
    <row r="25" spans="1:32" x14ac:dyDescent="0.25">
      <c r="S25" s="45"/>
      <c r="T25" s="39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5"/>
      <c r="AF25" s="45"/>
    </row>
  </sheetData>
  <mergeCells count="29">
    <mergeCell ref="A24:Q24"/>
    <mergeCell ref="A20:Q20"/>
    <mergeCell ref="H2:H3"/>
    <mergeCell ref="P2:P3"/>
    <mergeCell ref="A21:Q21"/>
    <mergeCell ref="A22:Q22"/>
    <mergeCell ref="A23:Q23"/>
    <mergeCell ref="B12:I13"/>
    <mergeCell ref="J12:Q13"/>
    <mergeCell ref="A4:A5"/>
    <mergeCell ref="A12:A13"/>
    <mergeCell ref="J4:Q5"/>
    <mergeCell ref="B4:I5"/>
    <mergeCell ref="A1:Q1"/>
    <mergeCell ref="B2:B3"/>
    <mergeCell ref="C2:C3"/>
    <mergeCell ref="J2:J3"/>
    <mergeCell ref="K2:K3"/>
    <mergeCell ref="I2:I3"/>
    <mergeCell ref="Q2:Q3"/>
    <mergeCell ref="A2:A3"/>
    <mergeCell ref="D2:D3"/>
    <mergeCell ref="L2:L3"/>
    <mergeCell ref="E2:E3"/>
    <mergeCell ref="M2:M3"/>
    <mergeCell ref="F2:F3"/>
    <mergeCell ref="N2:N3"/>
    <mergeCell ref="G2:G3"/>
    <mergeCell ref="O2:O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TLC-Hamburg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Ladd, Jessica</dc:creator>
  <cp:lastModifiedBy>Government User</cp:lastModifiedBy>
  <dcterms:created xsi:type="dcterms:W3CDTF">2008-08-25T16:01:01Z</dcterms:created>
  <dcterms:modified xsi:type="dcterms:W3CDTF">2013-07-23T17:30:32Z</dcterms:modified>
</cp:coreProperties>
</file>