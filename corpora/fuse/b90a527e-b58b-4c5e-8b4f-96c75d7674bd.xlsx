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25" yWindow="2565" windowWidth="15855" windowHeight="5400" tabRatio="816"/>
  </bookViews>
  <sheets>
    <sheet name="Instructions" sheetId="1" r:id="rId1"/>
    <sheet name="Narrative and Signatures" sheetId="12" r:id="rId2"/>
    <sheet name="NWEA MAP" sheetId="2" r:id="rId3"/>
    <sheet name="Acuity" sheetId="3" r:id="rId4"/>
    <sheet name="Scantron" sheetId="4" r:id="rId5"/>
    <sheet name="Galileo" sheetId="5" r:id="rId6"/>
    <sheet name="STAR" sheetId="6" r:id="rId7"/>
    <sheet name="DIBELS" sheetId="7" r:id="rId8"/>
    <sheet name="DRA2" sheetId="8" r:id="rId9"/>
    <sheet name="ELP Growth" sheetId="10" r:id="rId10"/>
    <sheet name="Other Assessments" sheetId="13" r:id="rId11"/>
  </sheets>
  <calcPr calcId="145621"/>
</workbook>
</file>

<file path=xl/calcChain.xml><?xml version="1.0" encoding="utf-8"?>
<calcChain xmlns="http://schemas.openxmlformats.org/spreadsheetml/2006/main">
  <c r="H58" i="4" l="1"/>
  <c r="H13" i="4"/>
  <c r="J60" i="4"/>
  <c r="I60" i="4"/>
  <c r="H60" i="4"/>
  <c r="I59" i="4"/>
  <c r="J59" i="4" s="1"/>
  <c r="H59" i="4"/>
  <c r="I58" i="4"/>
  <c r="J58" i="4" s="1"/>
  <c r="I54" i="4"/>
  <c r="J54" i="4" s="1"/>
  <c r="H54" i="4"/>
  <c r="J53" i="4"/>
  <c r="I53" i="4"/>
  <c r="H53" i="4"/>
  <c r="I52" i="4"/>
  <c r="J52" i="4" s="1"/>
  <c r="H52" i="4"/>
  <c r="I51" i="4"/>
  <c r="J51" i="4" s="1"/>
  <c r="H51" i="4"/>
  <c r="I50" i="4"/>
  <c r="J50" i="4" s="1"/>
  <c r="H50" i="4"/>
  <c r="J49" i="4"/>
  <c r="I49" i="4"/>
  <c r="H49" i="4"/>
  <c r="I48" i="4"/>
  <c r="J48" i="4" s="1"/>
  <c r="H48" i="4"/>
  <c r="I44" i="4"/>
  <c r="J44" i="4" s="1"/>
  <c r="H44" i="4"/>
  <c r="I43" i="4"/>
  <c r="J43" i="4" s="1"/>
  <c r="H43" i="4"/>
  <c r="J42" i="4"/>
  <c r="I42" i="4"/>
  <c r="H42" i="4"/>
  <c r="I41" i="4"/>
  <c r="J41" i="4" s="1"/>
  <c r="H41" i="4"/>
  <c r="I40" i="4"/>
  <c r="J40" i="4" s="1"/>
  <c r="H40" i="4"/>
  <c r="I39" i="4"/>
  <c r="J39" i="4" s="1"/>
  <c r="H39" i="4"/>
  <c r="J38" i="4"/>
  <c r="I38" i="4"/>
  <c r="H38" i="4"/>
  <c r="I37" i="4"/>
  <c r="J37" i="4" s="1"/>
  <c r="H37" i="4"/>
  <c r="I36" i="4"/>
  <c r="J36" i="4" s="1"/>
  <c r="H36" i="4"/>
  <c r="I32" i="4"/>
  <c r="J32" i="4" s="1"/>
  <c r="H32" i="4"/>
  <c r="J31" i="4"/>
  <c r="I31" i="4"/>
  <c r="H31" i="4"/>
  <c r="I30" i="4"/>
  <c r="J30" i="4" s="1"/>
  <c r="H30" i="4"/>
  <c r="I29" i="4"/>
  <c r="J29" i="4" s="1"/>
  <c r="H29" i="4"/>
  <c r="I28" i="4"/>
  <c r="J28" i="4" s="1"/>
  <c r="H28" i="4"/>
  <c r="J27" i="4"/>
  <c r="I27" i="4"/>
  <c r="H27" i="4"/>
  <c r="I26" i="4"/>
  <c r="J26" i="4" s="1"/>
  <c r="H26" i="4"/>
  <c r="I22" i="4"/>
  <c r="J22" i="4" s="1"/>
  <c r="H22" i="4"/>
  <c r="I21" i="4"/>
  <c r="J21" i="4" s="1"/>
  <c r="H21" i="4"/>
  <c r="J20" i="4"/>
  <c r="I20" i="4"/>
  <c r="H20" i="4"/>
  <c r="I19" i="4"/>
  <c r="J19" i="4" s="1"/>
  <c r="H19" i="4"/>
  <c r="I18" i="4"/>
  <c r="J18" i="4" s="1"/>
  <c r="H18" i="4"/>
  <c r="I17" i="4"/>
  <c r="J17" i="4" s="1"/>
  <c r="H17" i="4"/>
  <c r="J16" i="4"/>
  <c r="I16" i="4"/>
  <c r="H16" i="4"/>
  <c r="I15" i="4"/>
  <c r="J15" i="4" s="1"/>
  <c r="H15" i="4"/>
  <c r="I14" i="4"/>
  <c r="J14" i="4" s="1"/>
  <c r="H14" i="4"/>
  <c r="I13" i="4"/>
  <c r="J13" i="4" s="1"/>
  <c r="P49" i="2" l="1"/>
  <c r="P48" i="2"/>
  <c r="P47" i="2"/>
  <c r="P46" i="2"/>
  <c r="P45" i="2"/>
  <c r="P44" i="2"/>
  <c r="P43" i="2"/>
  <c r="P42" i="2"/>
  <c r="P41" i="2"/>
  <c r="P40" i="2"/>
  <c r="P39" i="2"/>
  <c r="P35" i="2"/>
  <c r="P34" i="2"/>
  <c r="P33" i="2"/>
  <c r="P32" i="2"/>
  <c r="P31" i="2"/>
  <c r="P30" i="2"/>
  <c r="P29" i="2"/>
  <c r="P28" i="2"/>
  <c r="P27" i="2"/>
  <c r="P23" i="2"/>
  <c r="P22" i="2"/>
  <c r="P21" i="2"/>
  <c r="P20" i="2"/>
  <c r="P19" i="2"/>
  <c r="P18" i="2"/>
  <c r="P17" i="2"/>
  <c r="P16" i="2"/>
  <c r="P14" i="2"/>
  <c r="P13" i="2"/>
  <c r="H16" i="8" l="1"/>
  <c r="J20" i="8"/>
  <c r="D50" i="5"/>
  <c r="D39" i="5"/>
  <c r="D27" i="5"/>
  <c r="M60" i="3"/>
  <c r="M48" i="3"/>
  <c r="M45" i="3"/>
  <c r="M41" i="3"/>
  <c r="M33" i="3"/>
  <c r="M31" i="3"/>
  <c r="M28" i="3"/>
  <c r="M20" i="3"/>
  <c r="L18" i="3"/>
  <c r="O30" i="2"/>
  <c r="M55" i="3" l="1"/>
  <c r="M15" i="3"/>
  <c r="M65" i="3"/>
  <c r="L65" i="3"/>
  <c r="M64" i="3"/>
  <c r="L64" i="3"/>
  <c r="M63" i="3"/>
  <c r="L63" i="3"/>
  <c r="M62" i="3"/>
  <c r="L62" i="3"/>
  <c r="M61" i="3"/>
  <c r="L61" i="3"/>
  <c r="L60" i="3"/>
  <c r="M59" i="3"/>
  <c r="L59" i="3"/>
  <c r="M58" i="3"/>
  <c r="L58" i="3"/>
  <c r="M57" i="3"/>
  <c r="L57" i="3"/>
  <c r="M56" i="3"/>
  <c r="L56" i="3"/>
  <c r="L55" i="3"/>
  <c r="M50" i="3"/>
  <c r="L50" i="3"/>
  <c r="M49" i="3"/>
  <c r="L49" i="3"/>
  <c r="L48" i="3"/>
  <c r="M47" i="3"/>
  <c r="L47" i="3"/>
  <c r="M46" i="3"/>
  <c r="L46" i="3"/>
  <c r="L45" i="3"/>
  <c r="M44" i="3"/>
  <c r="L44" i="3"/>
  <c r="M43" i="3"/>
  <c r="L43" i="3"/>
  <c r="M42" i="3"/>
  <c r="L42" i="3"/>
  <c r="L41" i="3"/>
  <c r="M40" i="3"/>
  <c r="L40" i="3"/>
  <c r="M34" i="3"/>
  <c r="M32" i="3"/>
  <c r="M30" i="3"/>
  <c r="M29" i="3"/>
  <c r="M27" i="3"/>
  <c r="M16" i="3"/>
  <c r="M17" i="3"/>
  <c r="M18" i="3"/>
  <c r="M19" i="3"/>
  <c r="M21" i="3"/>
  <c r="M22" i="3"/>
  <c r="L34" i="3" l="1"/>
  <c r="L33" i="3"/>
  <c r="L32" i="3"/>
  <c r="L31" i="3"/>
  <c r="L30" i="3"/>
  <c r="L29" i="3"/>
  <c r="L28" i="3"/>
  <c r="L27" i="3"/>
  <c r="L15" i="3"/>
  <c r="L16" i="3"/>
  <c r="L17" i="3"/>
  <c r="L19" i="3"/>
  <c r="L20" i="3"/>
  <c r="L21" i="3"/>
  <c r="L22" i="3"/>
  <c r="D55" i="5"/>
  <c r="D54" i="5"/>
  <c r="D53" i="5"/>
  <c r="D52" i="5"/>
  <c r="D51" i="5"/>
  <c r="D49" i="5"/>
  <c r="D45" i="5"/>
  <c r="D44" i="5"/>
  <c r="D43" i="5"/>
  <c r="D42" i="5"/>
  <c r="D41" i="5"/>
  <c r="D40" i="5"/>
  <c r="D38" i="5"/>
  <c r="D37" i="5"/>
  <c r="D33" i="5"/>
  <c r="D32" i="5"/>
  <c r="D31" i="5"/>
  <c r="D30" i="5"/>
  <c r="D29" i="5"/>
  <c r="D28" i="5"/>
  <c r="D26" i="5"/>
  <c r="D25" i="5"/>
  <c r="D14" i="5"/>
  <c r="D15" i="5"/>
  <c r="D16" i="5"/>
  <c r="D17" i="5"/>
  <c r="D18" i="5"/>
  <c r="D19" i="5"/>
  <c r="D20" i="5"/>
  <c r="D21" i="5"/>
  <c r="D13" i="5"/>
  <c r="I49" i="2"/>
  <c r="L49" i="2" s="1"/>
  <c r="I48" i="2"/>
  <c r="L48" i="2" s="1"/>
  <c r="I47" i="2"/>
  <c r="L47" i="2" s="1"/>
  <c r="I46" i="2"/>
  <c r="L46" i="2" s="1"/>
  <c r="I45" i="2"/>
  <c r="L45" i="2" s="1"/>
  <c r="I44" i="2"/>
  <c r="L44" i="2" s="1"/>
  <c r="I43" i="2"/>
  <c r="L43" i="2" s="1"/>
  <c r="I42" i="2"/>
  <c r="L42" i="2" s="1"/>
  <c r="I41" i="2"/>
  <c r="L41" i="2" s="1"/>
  <c r="I40" i="2"/>
  <c r="L40" i="2" s="1"/>
  <c r="I39" i="2"/>
  <c r="L39" i="2" s="1"/>
  <c r="D49" i="2"/>
  <c r="D48" i="2"/>
  <c r="D47" i="2"/>
  <c r="D46" i="2"/>
  <c r="D45" i="2"/>
  <c r="D44" i="2"/>
  <c r="D43" i="2"/>
  <c r="D42" i="2"/>
  <c r="D41" i="2"/>
  <c r="D40" i="2"/>
  <c r="D39" i="2"/>
  <c r="I35" i="2"/>
  <c r="L35" i="2" s="1"/>
  <c r="I34" i="2"/>
  <c r="I33" i="2"/>
  <c r="I32" i="2"/>
  <c r="L32" i="2" s="1"/>
  <c r="I31" i="2"/>
  <c r="L31" i="2" s="1"/>
  <c r="I30" i="2"/>
  <c r="I29" i="2"/>
  <c r="I28" i="2"/>
  <c r="L28" i="2" s="1"/>
  <c r="I27" i="2"/>
  <c r="L27" i="2" s="1"/>
  <c r="D35" i="2"/>
  <c r="D34" i="2"/>
  <c r="L34" i="2" s="1"/>
  <c r="D33" i="2"/>
  <c r="L33" i="2" s="1"/>
  <c r="D32" i="2"/>
  <c r="D31" i="2"/>
  <c r="D30" i="2"/>
  <c r="L30" i="2" s="1"/>
  <c r="D29" i="2"/>
  <c r="L29" i="2" s="1"/>
  <c r="D28" i="2"/>
  <c r="D27" i="2"/>
  <c r="I16" i="2"/>
  <c r="L16" i="2" s="1"/>
  <c r="I23" i="2"/>
  <c r="I22" i="2"/>
  <c r="L22" i="2" s="1"/>
  <c r="I21" i="2"/>
  <c r="L21" i="2" s="1"/>
  <c r="I20" i="2"/>
  <c r="L20" i="2" s="1"/>
  <c r="I19" i="2"/>
  <c r="I18" i="2"/>
  <c r="L18" i="2" s="1"/>
  <c r="I17" i="2"/>
  <c r="L17" i="2" s="1"/>
  <c r="I15" i="2"/>
  <c r="I14" i="2"/>
  <c r="I13" i="2"/>
  <c r="D14" i="2"/>
  <c r="L14" i="2" s="1"/>
  <c r="D15" i="2"/>
  <c r="D16" i="2"/>
  <c r="D17" i="2"/>
  <c r="D18" i="2"/>
  <c r="D19" i="2"/>
  <c r="L19" i="2" s="1"/>
  <c r="D20" i="2"/>
  <c r="D21" i="2"/>
  <c r="D22" i="2"/>
  <c r="D23" i="2"/>
  <c r="L23" i="2" s="1"/>
  <c r="D13" i="2"/>
  <c r="N49" i="2"/>
  <c r="M49" i="2"/>
  <c r="N48" i="2"/>
  <c r="M48" i="2"/>
  <c r="N47" i="2"/>
  <c r="M47" i="2"/>
  <c r="N46" i="2"/>
  <c r="M46" i="2"/>
  <c r="N45" i="2"/>
  <c r="M45" i="2"/>
  <c r="N44" i="2"/>
  <c r="M44" i="2"/>
  <c r="N43" i="2"/>
  <c r="M43" i="2"/>
  <c r="N42" i="2"/>
  <c r="M42" i="2"/>
  <c r="N41" i="2"/>
  <c r="M41" i="2"/>
  <c r="N40" i="2"/>
  <c r="M40" i="2"/>
  <c r="N39" i="2"/>
  <c r="M39" i="2"/>
  <c r="N35" i="2"/>
  <c r="M35" i="2"/>
  <c r="N34" i="2"/>
  <c r="M34" i="2"/>
  <c r="N33" i="2"/>
  <c r="M33" i="2"/>
  <c r="N32" i="2"/>
  <c r="M32" i="2"/>
  <c r="N31" i="2"/>
  <c r="M31" i="2"/>
  <c r="N30" i="2"/>
  <c r="M30" i="2"/>
  <c r="N29" i="2"/>
  <c r="M29" i="2"/>
  <c r="N28" i="2"/>
  <c r="M28" i="2"/>
  <c r="N27" i="2"/>
  <c r="M27" i="2"/>
  <c r="L15" i="2" l="1"/>
  <c r="L13" i="2"/>
  <c r="O40" i="2"/>
  <c r="O48" i="2"/>
  <c r="O44" i="2"/>
  <c r="O27" i="2"/>
  <c r="O34" i="2"/>
  <c r="O47" i="2"/>
  <c r="O42" i="2"/>
  <c r="O46" i="2"/>
  <c r="O29" i="2"/>
  <c r="O31" i="2"/>
  <c r="O33" i="2"/>
  <c r="O35" i="2"/>
  <c r="O41" i="2"/>
  <c r="O45" i="2"/>
  <c r="O49" i="2"/>
  <c r="O28" i="2"/>
  <c r="O32" i="2"/>
  <c r="O39" i="2"/>
  <c r="O43" i="2"/>
  <c r="AP14" i="7"/>
  <c r="AG14" i="7"/>
  <c r="AJ14" i="7" s="1"/>
  <c r="AI14" i="7"/>
  <c r="AH14" i="7" l="1"/>
  <c r="M14" i="2"/>
  <c r="M13" i="2" l="1"/>
  <c r="N13" i="2" l="1"/>
  <c r="O13" i="2" s="1"/>
  <c r="N14" i="2"/>
  <c r="O14" i="2" s="1"/>
  <c r="N15" i="2"/>
  <c r="N16" i="2"/>
  <c r="N17" i="2"/>
  <c r="N18" i="2"/>
  <c r="N19" i="2"/>
  <c r="N20" i="2"/>
  <c r="N21" i="2"/>
  <c r="N22" i="2"/>
  <c r="N23" i="2"/>
  <c r="M15" i="2"/>
  <c r="P15" i="2" s="1"/>
  <c r="M16" i="2"/>
  <c r="M17" i="2"/>
  <c r="M18" i="2"/>
  <c r="M19" i="2"/>
  <c r="M20" i="2"/>
  <c r="M21" i="2"/>
  <c r="M22" i="2"/>
  <c r="M23" i="2"/>
  <c r="O17" i="2" l="1"/>
  <c r="O21" i="2"/>
  <c r="O20" i="2"/>
  <c r="O16" i="2"/>
  <c r="O23" i="2"/>
  <c r="O19" i="2"/>
  <c r="O15" i="2"/>
  <c r="O22" i="2"/>
  <c r="O18" i="2"/>
  <c r="K32" i="8"/>
  <c r="J32" i="8" s="1"/>
  <c r="K33" i="8"/>
  <c r="L33" i="8" s="1"/>
  <c r="M33" i="8" s="1"/>
  <c r="K34" i="8"/>
  <c r="H34" i="8" s="1"/>
  <c r="K35" i="8"/>
  <c r="J35" i="8" s="1"/>
  <c r="K31" i="8"/>
  <c r="J31" i="8" s="1"/>
  <c r="K30" i="8"/>
  <c r="H30" i="8" s="1"/>
  <c r="J33" i="8"/>
  <c r="F31" i="8"/>
  <c r="K16" i="8"/>
  <c r="K22" i="8"/>
  <c r="J22" i="8" s="1"/>
  <c r="K23" i="8"/>
  <c r="H23" i="8" s="1"/>
  <c r="K24" i="8"/>
  <c r="F24" i="8" s="1"/>
  <c r="K25" i="8"/>
  <c r="F25" i="8" s="1"/>
  <c r="K26" i="8"/>
  <c r="H26" i="8" s="1"/>
  <c r="K27" i="8"/>
  <c r="J27" i="8" s="1"/>
  <c r="K28" i="8"/>
  <c r="F28" i="8" s="1"/>
  <c r="K29" i="8"/>
  <c r="F29" i="8" s="1"/>
  <c r="K21" i="8"/>
  <c r="F21" i="8" s="1"/>
  <c r="K17" i="8"/>
  <c r="J17" i="8" s="1"/>
  <c r="K18" i="8"/>
  <c r="J18" i="8" s="1"/>
  <c r="K19" i="8"/>
  <c r="H19" i="8" s="1"/>
  <c r="K20" i="8"/>
  <c r="D20" i="8" s="1"/>
  <c r="K13" i="8"/>
  <c r="H13" i="8" s="1"/>
  <c r="K14" i="8"/>
  <c r="H14" i="8" s="1"/>
  <c r="K15" i="8"/>
  <c r="H15" i="8" s="1"/>
  <c r="K12" i="8"/>
  <c r="D13" i="8"/>
  <c r="D19" i="8"/>
  <c r="H21" i="8" l="1"/>
  <c r="H31" i="8"/>
  <c r="L35" i="8"/>
  <c r="M35" i="8" s="1"/>
  <c r="F35" i="8"/>
  <c r="D12" i="8"/>
  <c r="L15" i="8"/>
  <c r="M15" i="8" s="1"/>
  <c r="H33" i="8"/>
  <c r="H27" i="8"/>
  <c r="F34" i="8"/>
  <c r="L34" i="8"/>
  <c r="M34" i="8" s="1"/>
  <c r="H20" i="8"/>
  <c r="J21" i="8"/>
  <c r="L26" i="8"/>
  <c r="M26" i="8" s="1"/>
  <c r="F33" i="8"/>
  <c r="F27" i="8"/>
  <c r="J23" i="8"/>
  <c r="D16" i="8"/>
  <c r="L30" i="8"/>
  <c r="M30" i="8" s="1"/>
  <c r="F32" i="8"/>
  <c r="J34" i="8"/>
  <c r="L31" i="8"/>
  <c r="M31" i="8" s="1"/>
  <c r="L32" i="8"/>
  <c r="M32" i="8" s="1"/>
  <c r="L22" i="8"/>
  <c r="M22" i="8" s="1"/>
  <c r="H32" i="8"/>
  <c r="H35" i="8"/>
  <c r="H12" i="8"/>
  <c r="H28" i="8"/>
  <c r="D15" i="8"/>
  <c r="F23" i="8"/>
  <c r="J19" i="8"/>
  <c r="F26" i="8"/>
  <c r="H24" i="8"/>
  <c r="J28" i="8"/>
  <c r="J16" i="8"/>
  <c r="D14" i="8"/>
  <c r="J24" i="8"/>
  <c r="H22" i="8"/>
  <c r="D18" i="8"/>
  <c r="J30" i="8"/>
  <c r="D17" i="8"/>
  <c r="F22" i="8"/>
  <c r="F30" i="8"/>
  <c r="J26" i="8"/>
  <c r="H18" i="8"/>
  <c r="H29" i="8"/>
  <c r="J25" i="8"/>
  <c r="J29" i="8"/>
  <c r="H25" i="8"/>
  <c r="H17" i="8"/>
  <c r="AT14" i="7"/>
  <c r="AP20" i="7" l="1"/>
  <c r="AN20" i="7"/>
  <c r="AL20" i="7"/>
  <c r="AI20" i="7"/>
  <c r="AG20" i="7"/>
  <c r="AJ20" i="7" s="1"/>
  <c r="AF20" i="7"/>
  <c r="V20" i="7"/>
  <c r="O20" i="7" s="1"/>
  <c r="K20" i="7"/>
  <c r="AN14" i="7"/>
  <c r="AL15" i="7"/>
  <c r="AL16" i="7"/>
  <c r="AL17" i="7"/>
  <c r="AL18" i="7"/>
  <c r="AL19" i="7"/>
  <c r="AL14" i="7"/>
  <c r="AN15" i="7"/>
  <c r="AN16" i="7"/>
  <c r="AN17" i="7"/>
  <c r="AN18" i="7"/>
  <c r="AN19" i="7"/>
  <c r="AP15" i="7"/>
  <c r="AP16" i="7"/>
  <c r="AP17" i="7"/>
  <c r="AP18" i="7"/>
  <c r="AP19" i="7"/>
  <c r="AG19" i="7"/>
  <c r="AG18" i="7"/>
  <c r="AG17" i="7"/>
  <c r="AG16" i="7"/>
  <c r="AG15" i="7"/>
  <c r="AC14" i="7"/>
  <c r="V14" i="7"/>
  <c r="V19" i="7"/>
  <c r="R19" i="7" s="1"/>
  <c r="V18" i="7"/>
  <c r="O18" i="7" s="1"/>
  <c r="V17" i="7"/>
  <c r="W17" i="7" s="1"/>
  <c r="V16" i="7"/>
  <c r="U16" i="7" s="1"/>
  <c r="V15" i="7"/>
  <c r="R15" i="7" s="1"/>
  <c r="K15" i="7"/>
  <c r="K16" i="7"/>
  <c r="K17" i="7"/>
  <c r="K18" i="7"/>
  <c r="K19" i="7"/>
  <c r="K14" i="7"/>
  <c r="AR14" i="7" s="1"/>
  <c r="AI15" i="7"/>
  <c r="AI16" i="7"/>
  <c r="AI17" i="7"/>
  <c r="AI18" i="7"/>
  <c r="AI19" i="7"/>
  <c r="Z16" i="7"/>
  <c r="L15" i="7" l="1"/>
  <c r="AR15" i="7"/>
  <c r="AS15" i="7" s="1"/>
  <c r="J17" i="7"/>
  <c r="AR17" i="7"/>
  <c r="AS17" i="7" s="1"/>
  <c r="O14" i="7"/>
  <c r="R14" i="7"/>
  <c r="D20" i="7"/>
  <c r="AR20" i="7"/>
  <c r="AS20" i="7" s="1"/>
  <c r="L16" i="7"/>
  <c r="AR16" i="7"/>
  <c r="AS16" i="7" s="1"/>
  <c r="D19" i="7"/>
  <c r="AR19" i="7"/>
  <c r="AS19" i="7" s="1"/>
  <c r="L18" i="7"/>
  <c r="AR18" i="7"/>
  <c r="AS18" i="7" s="1"/>
  <c r="U18" i="7"/>
  <c r="U15" i="7"/>
  <c r="O17" i="7"/>
  <c r="AC20" i="7"/>
  <c r="AK20" i="7"/>
  <c r="AF15" i="7"/>
  <c r="AT15" i="7"/>
  <c r="AF19" i="7"/>
  <c r="AT19" i="7"/>
  <c r="AC19" i="7"/>
  <c r="AJ19" i="7"/>
  <c r="AK19" i="7" s="1"/>
  <c r="AH16" i="7"/>
  <c r="AT16" i="7"/>
  <c r="W18" i="7"/>
  <c r="AC15" i="7"/>
  <c r="AJ16" i="7"/>
  <c r="AK16" i="7" s="1"/>
  <c r="AH17" i="7"/>
  <c r="AT17" i="7"/>
  <c r="R18" i="7"/>
  <c r="Z19" i="7"/>
  <c r="AM19" i="7" s="1"/>
  <c r="AJ18" i="7"/>
  <c r="AT18" i="7"/>
  <c r="Z20" i="7"/>
  <c r="AM20" i="7" s="1"/>
  <c r="AT20" i="7"/>
  <c r="J14" i="7"/>
  <c r="AS14" i="7"/>
  <c r="L14" i="7"/>
  <c r="AF18" i="7"/>
  <c r="AK18" i="7"/>
  <c r="R20" i="7"/>
  <c r="J16" i="7"/>
  <c r="Z15" i="7"/>
  <c r="AH15" i="7"/>
  <c r="AJ17" i="7"/>
  <c r="AK17" i="7" s="1"/>
  <c r="U20" i="7"/>
  <c r="D18" i="7"/>
  <c r="AF16" i="7"/>
  <c r="G20" i="7"/>
  <c r="G18" i="7"/>
  <c r="U19" i="7"/>
  <c r="AC16" i="7"/>
  <c r="J20" i="7"/>
  <c r="AQ20" i="7" s="1"/>
  <c r="G17" i="7"/>
  <c r="L17" i="7"/>
  <c r="O16" i="7"/>
  <c r="W16" i="7"/>
  <c r="D16" i="7"/>
  <c r="AM16" i="7" s="1"/>
  <c r="G16" i="7"/>
  <c r="U17" i="7"/>
  <c r="AC17" i="7"/>
  <c r="G19" i="7"/>
  <c r="G15" i="7"/>
  <c r="R17" i="7"/>
  <c r="AH19" i="7"/>
  <c r="AJ15" i="7"/>
  <c r="AK15" i="7" s="1"/>
  <c r="L20" i="7"/>
  <c r="W20" i="7"/>
  <c r="AH20" i="7"/>
  <c r="AF14" i="7"/>
  <c r="AK14" i="7"/>
  <c r="U14" i="7"/>
  <c r="W14" i="7"/>
  <c r="D14" i="7"/>
  <c r="G14" i="7"/>
  <c r="AO14" i="7" s="1"/>
  <c r="AF17" i="7"/>
  <c r="AQ17" i="7" s="1"/>
  <c r="Z14" i="7"/>
  <c r="Z18" i="7"/>
  <c r="AH18" i="7"/>
  <c r="Z17" i="7"/>
  <c r="AC18" i="7"/>
  <c r="W19" i="7"/>
  <c r="W15" i="7"/>
  <c r="O19" i="7"/>
  <c r="O15" i="7"/>
  <c r="R16" i="7"/>
  <c r="J19" i="7"/>
  <c r="J15" i="7"/>
  <c r="D15" i="7"/>
  <c r="J18" i="7"/>
  <c r="L19" i="7"/>
  <c r="D17" i="7"/>
  <c r="AM15" i="7" l="1"/>
  <c r="AQ15" i="7"/>
  <c r="AO19" i="7"/>
  <c r="AO20" i="7"/>
  <c r="AQ18" i="7"/>
  <c r="AQ14" i="7"/>
  <c r="AO15" i="7"/>
  <c r="AQ16" i="7"/>
  <c r="AQ19" i="7"/>
  <c r="AO17" i="7"/>
  <c r="AM18" i="7"/>
  <c r="AO16" i="7"/>
  <c r="AO18" i="7"/>
  <c r="AM14" i="7"/>
  <c r="AM17" i="7"/>
</calcChain>
</file>

<file path=xl/sharedStrings.xml><?xml version="1.0" encoding="utf-8"?>
<sst xmlns="http://schemas.openxmlformats.org/spreadsheetml/2006/main" count="1031" uniqueCount="200">
  <si>
    <t>Grade</t>
  </si>
  <si>
    <t>K</t>
  </si>
  <si>
    <t>Beginning of Year</t>
  </si>
  <si>
    <t>Middle of Year</t>
  </si>
  <si>
    <t>End of Year</t>
  </si>
  <si>
    <t>Cut Score</t>
  </si>
  <si>
    <t># of Students Meeting Cut Score</t>
  </si>
  <si>
    <t>Total # of Students Tested</t>
  </si>
  <si>
    <t>ACHIEVEMENT</t>
  </si>
  <si>
    <t>GROWTH</t>
  </si>
  <si>
    <t>% of Students Meeting Cut Score</t>
  </si>
  <si>
    <t>Beginning of Year compared to End of Year</t>
  </si>
  <si>
    <t>Totals</t>
  </si>
  <si>
    <t>Total # of Students Tested at end of year</t>
  </si>
  <si>
    <t>% of students with expected odds of being on track on grade at end of year</t>
  </si>
  <si>
    <t>Well Below Benchmark</t>
  </si>
  <si>
    <t>At or Above Benchmark</t>
  </si>
  <si>
    <t>Below Benchmark</t>
  </si>
  <si>
    <t>End of Year Goal: Reduce Number of Students Reading Well Below Benchmark and Below Benchmark by 50%. Met goal? (Red=No, Green=Yes)</t>
  </si>
  <si>
    <t>% of Students At or Above Benchmark</t>
  </si>
  <si>
    <t>Change in # of Students Meeting Cut Score</t>
  </si>
  <si>
    <t>Change in % of Students Meeting Cut Score</t>
  </si>
  <si>
    <t>Goal</t>
  </si>
  <si>
    <t>% Change in Students Reading Well Below Benchmark and Below Benchmark</t>
  </si>
  <si>
    <t>Goal % Based on 50% Decline in students Reading Well Below Benchmark and Below Benchmark from Beginning of Year Data</t>
  </si>
  <si>
    <t>% of Students Reading Well Below Benchmark and Below Benchmark in Beginning of Year</t>
  </si>
  <si>
    <t>DRA2 Level</t>
  </si>
  <si>
    <t>A</t>
  </si>
  <si>
    <t>Developing</t>
  </si>
  <si>
    <t>Independent</t>
  </si>
  <si>
    <t>Advanced</t>
  </si>
  <si>
    <t>Instructional</t>
  </si>
  <si>
    <t>#of Students</t>
  </si>
  <si>
    <t>%of Total</t>
  </si>
  <si>
    <t>Grade Totals</t>
  </si>
  <si>
    <t>Totals and Goals</t>
  </si>
  <si>
    <t>FALL RIT Scores</t>
  </si>
  <si>
    <t># of Students</t>
  </si>
  <si>
    <t>Mean RIT (Starting RIT)</t>
  </si>
  <si>
    <t>Spring RIT Scores</t>
  </si>
  <si>
    <t>RIT Growth (Fall to Spring)</t>
  </si>
  <si>
    <t>Fall RIT</t>
  </si>
  <si>
    <t>Spring RIT</t>
  </si>
  <si>
    <t>RIT Gain</t>
  </si>
  <si>
    <t>Grade K</t>
  </si>
  <si>
    <t>Starting RIT</t>
  </si>
  <si>
    <t>Expected Gain</t>
  </si>
  <si>
    <t>Grade 1</t>
  </si>
  <si>
    <t>Grade 2</t>
  </si>
  <si>
    <t>Grade 3</t>
  </si>
  <si>
    <t>Grade 4</t>
  </si>
  <si>
    <t>Grade 5</t>
  </si>
  <si>
    <t>Grade 6</t>
  </si>
  <si>
    <t>Grade 7</t>
  </si>
  <si>
    <t>Grade 8</t>
  </si>
  <si>
    <t>Grade 9</t>
  </si>
  <si>
    <t>Grade 10</t>
  </si>
  <si>
    <t>READING</t>
  </si>
  <si>
    <t>LANGUAGE USAGE</t>
  </si>
  <si>
    <t>MATH</t>
  </si>
  <si>
    <t>MATHEMATICS</t>
  </si>
  <si>
    <t>Mean RIT (Final RIT)</t>
  </si>
  <si>
    <t>50th Percentile Gain</t>
  </si>
  <si>
    <t>50th Percentile RIT</t>
  </si>
  <si>
    <t>LANGUAGE ARTS</t>
  </si>
  <si>
    <t>FALL Scale Scores</t>
  </si>
  <si>
    <t>Spring Scale Scores</t>
  </si>
  <si>
    <t>Scale Score Growth (Fall to Spring)</t>
  </si>
  <si>
    <t>Mean Scale Score (Starting Scale Score)</t>
  </si>
  <si>
    <t>50th Percentile Scale Score</t>
  </si>
  <si>
    <t>Mean Scale Score (Final Scale Score)</t>
  </si>
  <si>
    <t>Fall Scale Score</t>
  </si>
  <si>
    <t>Spring Scale Score</t>
  </si>
  <si>
    <t>Scale Score Gain</t>
  </si>
  <si>
    <t>LIFE SCIENCE AND INQUIRY</t>
  </si>
  <si>
    <t>EARLY LITERACY</t>
  </si>
  <si>
    <t>Number of Students in October Count:</t>
  </si>
  <si>
    <t xml:space="preserve">Number of Students Tested: </t>
  </si>
  <si>
    <t># of Students Tested</t>
  </si>
  <si>
    <t># of Students Tested Tested</t>
  </si>
  <si>
    <t>Northwest Evaluation Association (NWEA)</t>
  </si>
  <si>
    <t>Each MAP subject area instrument (mathematics, reading and science) can be administered up to 3 times per year.</t>
  </si>
  <si>
    <t>MAP for reading, language, mathematics is available for students grades 2-12, MAP for Science is available for grades 2 - 10 (prior to more specialized science curriculum in upper high school), and MAP for Primary Grades Early Assessments is available for K-2 students in Reading and Math.</t>
  </si>
  <si>
    <t xml:space="preserve">The MAP assessment system provides educators with information that can be used to improve teaching and learning. It combines adaptive technology, assessment content, a vertical measurement scale, and educator resources to provide a stable, reliable growth measure for students. The data gives teachers, administrators, and policy makers’ reliable and accurate verification of this growth.
Given that all students may not be at grade level, MAP serves to identify the instructional level of each child whether at, above, or below grade level. Unlike a statewide summative assessment, MAP poses questions that are not always grade-level questions. The assessment adapts as a student is taking it and is unique to that student. Once a score is determined, teachers are given learning objectives matched to that student’s score. 
Since MAP and MAP for Primary Grades assessments are on the same scale, there is flexibility in the use of these instruments at the “transitional” second grade. For some second grade students, MAP for Primary Grades may be most appropriate based on their current mathematics and reading achievement levels. For other second graders who read independently, MAP could be administered. This level of flexibility in administration helps ensure that each student has the opportunity to demonstrate his or her optimal level of performance.
The MAP for Primary Grades pinpoints where a student is prepared to learn for a given subject or sub-goal of a subject. Given that all students may not be at grade level, MAP serves to identify the instructional level of each child whether at, above, or below grade level. Unlike a statewide summative assessment, MAP poses questions that are not always grade-level questions. The assessment adapts as a student is taking it and is unique to that student. Once a score is determined, teachers are given learning objectives matched to that student’s score. </t>
  </si>
  <si>
    <t>MAP is aligned to a state’s content standards that are published on each state education agency website. MAP measures progress to the standards. Each district has a curriculum that supports those standards.
NWEA researchers and test developers study standards throughout the year to ensure that MAP tests reflect current requirements. 
Each test is aligned to Colorado’s standards. At this time (2012-2013), the tests are aligned with the old CO Model Content Standards. NWEA, the company that creates the MAP tests, is in the process of a realignment study. Recently, NWEA completed a project to connect the scale of Colorado student assessment program mathematics and reading assessments with NWEA’s RIT scale. Information from the state assessments was used in a study to establish performance-level scores on the RIT scale that would indicate a good chance of success on these tests.</t>
  </si>
  <si>
    <t>Instrument Name:</t>
  </si>
  <si>
    <t>Vendor:</t>
  </si>
  <si>
    <t>Purpose:</t>
  </si>
  <si>
    <t>Content Area and Student Population:</t>
  </si>
  <si>
    <t>Frequency:</t>
  </si>
  <si>
    <t>Alignment:</t>
  </si>
  <si>
    <t>MAP (Measures of Academic Progress) in  Reading, Language Usage, and Mathematics; MAP for Primary Grades K-2</t>
  </si>
  <si>
    <t>BEGIN ENTERING DATA BELOW</t>
  </si>
  <si>
    <t>Scantron Performance Series</t>
  </si>
  <si>
    <t>Scantron Incorporated</t>
  </si>
  <si>
    <t xml:space="preserve">Performance Series mathematics scale scores were used to predict the CSAP scale scores using a simple linear regression model. </t>
  </si>
  <si>
    <t>Guidance for Use of English Language Proficiency Growth in the Assessment Transition and the Request for Reconsideration Process</t>
  </si>
  <si>
    <t>Background</t>
  </si>
  <si>
    <t>In 2013, Colorado transitioned to a new English language proficiency (ELP) assessment, ACCESS for ELLs®, developed by the World‐Class Instructional Design and Assessment (WIDA) consortium. The previous ELP assessment (adapted from LAS‐Links) was the Colorado English Language Acquisition Proficiency assessment (CELApro), administered from 2007‐ 2012. The state adopted the WIDA English language proficiency standards in 2009 and, starting in the 2012‐2013 school year, joined the WIDA consortium in administering WIDA’s ACCESS for ELLs.</t>
  </si>
  <si>
    <t>Data Available</t>
  </si>
  <si>
    <t>The Colorado Department of Education calculated the individual and median Student Growth Percentiles for students who had a valid CELApro score in 2012 and a valid score on each ACCESS for ELLs domain in 2013. Student level and median Adequate Growth Percentiles are not available in 2013, as the state does not have information concerning how much growth in the transition, will get students to proficiency over time. Once two years of ACCESS data are available, CDE should be able to calculate Adequate Growth Percentiles.</t>
  </si>
  <si>
    <t>Questions to Consider When Reviewing Growth Results</t>
  </si>
  <si>
    <t>WRITING</t>
  </si>
  <si>
    <t>SCIENCE</t>
  </si>
  <si>
    <t xml:space="preserve">50th Percentile </t>
  </si>
  <si>
    <t>Post-Test Scores</t>
  </si>
  <si>
    <t>Galileo K-12 Online</t>
  </si>
  <si>
    <t>Assessment Technology Incorporated (ATI)</t>
  </si>
  <si>
    <t xml:space="preserve">Galileo K-12 Online  is a fully integrated, web-based instructional improvement and instructional effectiveness system.   Assessments in the system are aligned to state and Common core State Standards. </t>
  </si>
  <si>
    <t>Reading, Writing, and Mathematics (K-8), Science (2-8)</t>
  </si>
  <si>
    <t xml:space="preserve">ATI’s online Benchmark Planner allows the district to determine how many benchmark assessments there will be during the year and, when benchmark testing will occur, which learning standards will be covered in instruction and benchmark assessment, and how many items will be included for each learning standard.  Galileo K-12 Online also includes computerized adaptive assessment, formative assessments, pre- and post-test assessment for use in educator effectiveness initiatives,  interim and end of course examination and screening tools. </t>
  </si>
  <si>
    <t>ATI has significant experience in item construction and the alignment of assessments to state standards. ATI item banks currently contain over 110,000 items which are expanding at the rate of over 800 items per month. The items are constructed, reviewed, and certified to align to state standards via specifications that lay out the format, content, and target skill. The specifications both ensure high quality consistent items, and make it possible to readily deal with changes to standards. The adopted item development procedures are informed by industry standards outlined by the American Educational Research Association, the American Psychological Association, and the National Council on Measurement in Education in The Standards for Educational Testing, 1999.</t>
  </si>
  <si>
    <t>Growth Score</t>
  </si>
  <si>
    <t>1 = Expected Growth NOT maintained, 
2 = Expected Growth Maintained, and 
3 = Expected Growth Exceeded</t>
  </si>
  <si>
    <t>STAR Early Literacy Enterprise™, STAR Reading Enterprise™, and STAR Math Enterprise™</t>
  </si>
  <si>
    <t>Renaissance Learning™, Inc.</t>
  </si>
  <si>
    <t>STAR Early Literacy Enterprise is a student-based, computer adaptive assessment for measuring student achievement in early literacy and numeracy skills. STAR Reading Enterprise is a student-based, computer adaptive assessment for measuring student achievement in reading. STAR Math Enterprise is a student-based, computer adaptive assessment for measuring student achievement in math.</t>
  </si>
  <si>
    <t>Early literacy and numeracy, reading, and math.
STAR Early Literacy: Students in grades pre-K through 3
STAR Reading: Independent readers in grades 1 through 12
STAR Math: Students in grades 1 through 12</t>
  </si>
  <si>
    <t>As an interim assessment, STAR was designed for frequent administration. The STAR Enterprise assessments fit virtually any assessment schedule with minimal impact on instructional time and administrative workload. Educators can administer STAR three times per year in fall, winter, and spring. Educators may also administer STAR as a progress monitoring assessment as often as weekly. To see student growth percentiles (SGPs), students must be tested within one of the following testing windows for the 2013–2014 school year: August 2013–November 2013, December 2013–March 2014, or April 2013–July 2014.</t>
  </si>
  <si>
    <t>The STAR Enterprise assessments are aligned with the Colorado Academic Standards. Renaissance Learning conducted an alignment study and created an alignment report showing how the skills assessed within the assessment align to the skills within the Colorado Academic Standards. The alignment reports present the Colorado Academic Standards for early literacy and numeracy with the aligned: STAR Early Literacy skills indented below each standard, STAR Reading skills indented below each standard, and the STAR Math skills indented below each standard. See http://doc.renlearn.com/KMNet/R0055890DEC35244.pdf for the early literacy alignment report for grades pre-K–3, http://doc.renlearn.com/KMNet/R005599262950854.pdf for the reading alignment report for grades pre-K–12, and http://doc.renlearn.com/KMNet/R0055369C2B6BF05.pdf for the math alignment report for grades pre-K–12.</t>
  </si>
  <si>
    <t>Fall Scale Scores</t>
  </si>
  <si>
    <t>Median Growth Percentile (MGP) Meets Rating</t>
  </si>
  <si>
    <t>Scale Score Growth 
(Fall to Spring)</t>
  </si>
  <si>
    <t>STAR Student Growth Percentile (SGP)</t>
  </si>
  <si>
    <t>Form (A, B, or C)</t>
  </si>
  <si>
    <t>Mean Scale Score</t>
  </si>
  <si>
    <t>ENGLISH LANGUAGE ARTS</t>
  </si>
  <si>
    <t>CTB/McGraw-Hill</t>
  </si>
  <si>
    <t>Acuity Predictive Assessments enable you to: 
• Forecast student performance on your state exam; 
• Focus instructional strategies on content areas most in need of attention; and
• Measure student growth and progress within and across grades.</t>
  </si>
  <si>
    <t>CDE suggests asking the following questions when reviewing the growth results during this assessment transition year:
-Are a student’s individual growth results aligned with that student’s progress over the year, as shown by student work, interim and formative assessments, and teacher observation?
-Is the school’s/district’s Median Growth Percentile affirmed by other data sources?
      o Local data (student work, interim and formative assessments, observations)
      o Previous years’ Median Growth Percentiles?
-If student, school or district results differ noticeably this year from prior years, reflect on potential causes. Were there assessment administration challenges? New teachers in the building? Different instructional methods? Changes in student population?
CDE reminds users to interpret the English language proficiency growth data as one part of a body of evidence in determining how much progress a student, school or district made towards English language proficiency. For improvement planning purposes and student placement, this data should be triangulated with other evidence in order to make sound instructional decisions.</t>
  </si>
  <si>
    <t>Use for Accountability</t>
  </si>
  <si>
    <t xml:space="preserve">After thorough analysis, discussions with the Technical Advisory Panel for Longitudinal Growth, district representatives, and assessment and English language acquisition experts at the department, CDE has determined that we can use the Median Growth Percentiles (MGPs) for improvement planning and in the School and District Performance Frameworks for 2012-13 accountability decisions.  
Given this was the first year of ACCESS and some districts and schools reported training and/or administration issues, CDE is willing to consider requests for reconsideration based on these concerns. This option, if approved, would allow districts to receive the overall SPF or DPF rating calculated by removing the 2 points assigned through English language proficiency growth (the actual data will not be removed on the printed SPF or DPF). </t>
  </si>
  <si>
    <t>K-12, Reading, Language, and Math</t>
  </si>
  <si>
    <t>Predictive Tests (3 per year) that model the state test blueprints, in terms of
content coverage of each standard and sub-content area
Diagnostic Tests (up to 6 times per year)</t>
  </si>
  <si>
    <t>Each state Acuity solution is a uniquely customized offering, specifically aligned to state standards and state exams. Acuity Predictive Assessments reflect state NCLB exams in structure, content, format, and vocabulary. Acuity Diagnostic Assessments align to common pacing guides and state standards to deliver relevant feedback about student performance. Acuity also supports algebra in Grades 6–12 with alignment to the standards outlined by NCTM.</t>
  </si>
  <si>
    <t>Dynamic Measurement Group</t>
  </si>
  <si>
    <t>Dynamic Indicators of Basic Early Literacy Skills (DIBELS)® Next Benchmark Goals and Composite Score</t>
  </si>
  <si>
    <t xml:space="preserve">Six measures that are to be used as indicators of the essential skills that every child must master to become a proficient reader. The measures should be used to indicate which students are experiencing difficulty acquiring basic early literacy skills so that support can be provided early to prevent later reading difficulties. The measures help teachers identify areas to target with instructional support and can be used to monitor the students while they receive targeted supported. The measures can also be used at the classroom, school, and district level to examine the effectiveness of the system of support. </t>
  </si>
  <si>
    <t xml:space="preserve">The authors have recommended administration windows for benchmarking either 3 or 4 times per year, and progress monitoring recommendations vary based on the level of instructional support the child needs. A child with more intensive needs should be monitored as often as weekly, while other students may only need to be progress monitored every other week. Separate progress monitoring probes are provided for this purpose. </t>
  </si>
  <si>
    <t>Early literacy skills related to reading: DIBELS Composite Score, First Sound Fluency (FSF), Letter Naming Fluency (LNF), Phoneme Segmenation Fluency (PSF), Nonsense Word Fluency (NWF), DIBELS Oral Reading Fluency (DORF), Daze; Grades K-6.</t>
  </si>
  <si>
    <t>More Information:</t>
  </si>
  <si>
    <t>DIBELS benchmark goals are empirically derived, criterion-referenced target scores that represent adequate reading progress. A benchmark goal indicates a level of skill where the student is likely to achieve the next DIBELS benchmark goal or reading outcome. Benchmark goals for DIBELS are based on research that examines the predictive validity of a score on a measure at a particular point in time, compared to later DIBELS measures and external outcome assessments. If a student achieves a benchmark goal, then the odds are in favor of that student achieving later reading outcomes if he/she receives research-based instruction from a core classroom curriculum.
The cut points for risk indicate a level of skill below which the student is unlikely to achieve subsequent reading goals without receiving additional, targeted instructional support. Students with scores below the cut point for risk are identified as likely to need intensive support. Intensive support refers to interventions that incorporate something more or something different from the core curriculum or supplemental support.
The DIBELS Composite Score is a combination of multiple DIBELS scores and provides the best overall estimate of the student’s early literacy skills and/or reading proficiency. Benchmark goals and cut points for risk for the DIBELS Composite Score are based on the same logic and procedures as the individual DIBELS measures; however, since the DIBELS Composite Score provides the best overall estimate of a stu dent’s skills, the DIBELS Composite Score should generally be interpreted first. If a student is at or above the benchmark goal on the DIBELS Composite Score, the odds are in the student’s favor of reaching later important reading outcomes. Some students who score at or above the DIBELS Composite Score benchmark goal may still need additional support in one of the basic early literacy skills, as indicated by a below benchmark score on an individual DIBELS Next measure (FSF, PSF, NWF, DORF, or Daze), especially for students whose composite score is close to the benchmark goal.</t>
  </si>
  <si>
    <t># of Students at end of Year At or Above Benchmark</t>
  </si>
  <si>
    <t>Developmental Reading Assessment 2nd edition (DRA2)</t>
  </si>
  <si>
    <t>Pearson</t>
  </si>
  <si>
    <t xml:space="preserve">DRA2 enables primary teachers to systematically observe, record, and evaluate changes in student reading performance. DRA2 provides teachers with information that helps teachers determine each student’s independent reading level and identify what the student needs to learn next. </t>
  </si>
  <si>
    <t xml:space="preserve">The DRA2 does not assess content. It provides a reading level. DRA2 includes a K-3 kit and a 4-8 kit. </t>
  </si>
  <si>
    <t xml:space="preserve">The assessment can be used on a semi-annual or annual basis to monitor and document change over time in each student’s reading. It may be used more frequently with struggling readers to ensure continued progress. Testing windows are set at the local level. </t>
  </si>
  <si>
    <t>Concurrent validity is reported in the technical manual (Page 56): http://assets.pearsonschool.com/asset_mgr/current/20139/DRA2_Technical_Manual_2012.pdf</t>
  </si>
  <si>
    <t xml:space="preserve">Please enter statement below:
</t>
  </si>
  <si>
    <t>Please explain in the box below why your ELP Growth data results are not valid and should not be included in the performance frameworks:</t>
  </si>
  <si>
    <t>Request to Reconsider Template</t>
  </si>
  <si>
    <t>FALL Scores</t>
  </si>
  <si>
    <t>50th Percentile Score (Min. Goal)</t>
  </si>
  <si>
    <t>Mean Score (Starting Score)</t>
  </si>
  <si>
    <t>Spring  Scores</t>
  </si>
  <si>
    <t xml:space="preserve"> Score Growth (Fall to Spring)</t>
  </si>
  <si>
    <t>FALL  Scores</t>
  </si>
  <si>
    <t>Mean  Score (Final  Score)</t>
  </si>
  <si>
    <t>Fall  Score</t>
  </si>
  <si>
    <t>Spring  Score</t>
  </si>
  <si>
    <t xml:space="preserve"> Score Gain</t>
  </si>
  <si>
    <t>Mean  Score (Starting  Score)</t>
  </si>
  <si>
    <t>50th Percentile Gain (Min. Gain)</t>
  </si>
  <si>
    <t>Note: Below is a SAMPLE template for an "other" assessment. Modify the form as to what best suits your assessment keeping in mind Achievement and Growth must be reported.</t>
  </si>
  <si>
    <t>Instructions</t>
  </si>
  <si>
    <t>1. Complete Narrative and Signatures tab.</t>
  </si>
  <si>
    <t>-</t>
  </si>
  <si>
    <t>End of Year Goal: More than 50% of Students on Track on Grade at End of Year (Red=No, Green=Yes)</t>
  </si>
  <si>
    <t>Goal: 50% of Students Meeting Goal (Green=Yes, Red=No)</t>
  </si>
  <si>
    <t>If possible, please copy and paste your letter to the Commissioner in the box below.</t>
  </si>
  <si>
    <t>For more information please go here: School Accreditation and Request to Reconsider Guidance</t>
  </si>
  <si>
    <t>Please generate a statement addressed to the Commissioner that presents the district’s rationale for why the district disagrees with the State’s School Performance Framework plan type for the school, and why the district would propose a different plan type. This statement should:
o   include the condition of the request (per above: (1) body of evidence, (2) major improvement strategies and implementation benchmarks, and/or (3) calculation error); and
o   where applicable, address the key questions and reports in Appendix B in the School Accreditation and Request to Reconsider Guidance (see link below); and
o   be signed by, for charter schools authorized by the Charter School Institute (CSI), the CSI executive director and the CSI board chair; or
o   be signed by the district’s superintendent and local board of education chair; or
o   include an assurance from the district’s superintendent that, for charter schools not authorized by CSI, the charter school’s board chair has been consulted.</t>
  </si>
  <si>
    <t>SOCIAL STUDIES</t>
  </si>
  <si>
    <t># of Students At or Above Grade Level</t>
  </si>
  <si>
    <t>% of Students At or Above Grade Level</t>
  </si>
  <si>
    <t># of Students Proficent &amp; Advanced</t>
  </si>
  <si>
    <t>% of Students Proficent &amp; Advanced</t>
  </si>
  <si>
    <t>Fall Scores</t>
  </si>
  <si>
    <t>Spring Scores</t>
  </si>
  <si>
    <t>%Change in Students At or Above Grade Level</t>
  </si>
  <si>
    <t>% Change in Students Performance Level 3 &amp; 4</t>
  </si>
  <si>
    <t>PREDICTIVE EXAM RESULTS</t>
  </si>
  <si>
    <t>DIAGNOSTIC EXAM RESULTS</t>
  </si>
  <si>
    <t>% of Students at Performance Level 3 &amp; 4</t>
  </si>
  <si>
    <t>% of Students at Tiers 3 &amp; 4</t>
  </si>
  <si>
    <t>Performance Series is a research-based, criterion-referenced computer-adaptive test that lets K-12 educators quickly pinpoint the instructional level of students across a range of subjects, capture immediate results, and produce standards-based reports including suggested learning objectives, on a scaled score.
Performance Series is a fully-integrated computer adaptive diagnostic assessment ideal for predicting performance on the state tests, as well as tracking student growth over time Performance Series enables educators to quickly pinpoint the proficiency levels of students corresponding to state specific standards.  This information then allows teachers to more accurately place students, diagnose instructional needs – including instructional adjustments – and measure student gains.
Performance Series is a computer adaptive on-line assessment that enables educators to quickly pinpoint the proficiency levels of students corresponding to state specific standards.  This information then allows teachers to more accurately place students, diagnose instructional needs – including instructional adjustments – and measure student gains.</t>
  </si>
  <si>
    <t>Performance Series tests are generally given to students at the beginning of each year, or as they enter school, as a diagnostic assessment to accurately measure learning
levels and guide student placement. Performance Series tests are administered again to accurately measure gains and growth.  The Performance Series test can be administered as often as the district or school chooses.  Scantron recommends at least 12 weeks between tests.  Each test is unique to its content which is measured against standards such as state standards or Common Core.  The second and subsequent administrations are not a “retest” of the content of the initial administration.</t>
  </si>
  <si>
    <t>Click here for full instruction on how to submit a Request for Reconsideration.</t>
  </si>
  <si>
    <r>
      <t xml:space="preserve">2. Districts should choose the correct tab(s) for the assessment(s) the school has given and fill in that school's data. Districts submitting a Request for Reconsideration for their District Accreditation rating should roll up all school level data in each assessment tab. </t>
    </r>
    <r>
      <rPr>
        <i/>
        <sz val="11"/>
        <color theme="1"/>
        <rFont val="Calibri"/>
        <family val="2"/>
        <scheme val="minor"/>
      </rPr>
      <t>Disclaimer: CDE has chosen to include external assessments in this template based on previous years' Request for Reconsideration submissions. CDE coordinated with these vendors to determine criteria for review and vetted these assessments for accountability purposes only and in no way does CDE endorse any of these external assessments over another or intentionally exclude an external assessment. If your school is using an external assessment not mentioned in the template, please include your data in the "Other" tab.</t>
    </r>
  </si>
  <si>
    <t>3. Scan and email all forms to Lisa Steffen (steffen_l@cde.state.co.us). Please call Lisa Steffen if you have any technical difficulties: 303-866-6676.  If you have any questions on how to fill out the template, please contact Jessica Knevals, Principal Consultant at knevals_j@cde.state.co.us or 303-866-6778.</t>
  </si>
  <si>
    <t>4. Fill in your student data only in the yellow cells. All other cells will be locked and you cannot adjust them. The exception is for the "narrative and signatures" , "ELP Growth", and "other assessment" tabs.</t>
  </si>
  <si>
    <t>5. CDE discussed appropriate measures, metrics, and cut points with the vendors for each of these assessments. The following spreadsheets indicate the levels of success expected by each vendor for the assessments for accountability. Those cut points are often indicated by "50th percentile" for both academic achievement and growth. If your district or school's aggregate scores are lower than the vendor recommended cut points, your data cells will turn red. If your district or school's aggregate scores are higher than the vendor recommended cut points, your data cells will turn green. These are recommendations from the vendor to indicate success for their assessments. At CDE, we will most likely defer to the vendor recommended cut point to interpret a level of success for your district or school. However, we will also review all your data so do not be deterred if one or more of your indicators are below the vendor recommended cut point.</t>
  </si>
  <si>
    <r>
      <rPr>
        <b/>
        <u/>
        <sz val="14"/>
        <color theme="1"/>
        <rFont val="Calibri"/>
        <family val="2"/>
        <scheme val="minor"/>
      </rPr>
      <t>Acuity Predictive or Diagnostic Exams:</t>
    </r>
    <r>
      <rPr>
        <b/>
        <sz val="14"/>
        <color theme="1"/>
        <rFont val="Calibri"/>
        <family val="2"/>
        <scheme val="minor"/>
      </rPr>
      <t xml:space="preserve">
Acuity Common Core for Grades K-2
Acuity Common Core for Grades 3-8
Acuity Common Core for High School
Acuity State-Aligned Solutions for Grades 3-8</t>
    </r>
  </si>
  <si>
    <t>Reading Foundations</t>
  </si>
  <si>
    <t>Reading, Grades 2-11
Language Arts, Grades 2-8
Life Science, Grades 2-8
Reading Foundations, Grades K-2
Mathematics, Grades 2-10
High School Algebra and Geometry
Math en Espanol, Grades 2-9</t>
  </si>
  <si>
    <t xml:space="preserve">6. CDE will review valid and reliable data that demonstrates the progress your district or school has made in its performance on the State's key performance indicators and in meeting the targets set by the State, the district or the school. The data should supplement, and not supplant, the data provided in the SPF. If there is insufficient state data (due to insufficient N counts for public reporting or lack of K-2 (or K-3 for growth) data in the DPF/SPF report), then the supplementary evidence will hold greater weight. Due to this factor, CDE will not review grades 3-10 achievement data or 4-10 growth data unless the N count was insufficient for TCAP/ACCESS/Lectura/Escritura/CoAlt. In the template, you will see those grades are highlighted in black speckles to remind you CDE will likely not review this data. </t>
  </si>
  <si>
    <r>
      <t xml:space="preserve">7. Note that not all of these assessments listed in this template have been approved by the Colorado Content Collaboratives. The Colorado Content Collaboratives (CCC) members and national researchers selected and reviewed a wide variety of assessments. To check on what assessments were reviewed and their level of recommendation, go to: </t>
    </r>
    <r>
      <rPr>
        <u/>
        <sz val="11"/>
        <color theme="1"/>
        <rFont val="Calibri"/>
        <family val="2"/>
        <scheme val="minor"/>
      </rPr>
      <t>http://www.coloradoplc.org/node/11816</t>
    </r>
    <r>
      <rPr>
        <sz val="11"/>
        <color theme="1"/>
        <rFont val="Calibri"/>
        <family val="2"/>
        <scheme val="minor"/>
      </rPr>
      <t xml:space="preserve"> for each inventory file. Also in the inventory files, assessments that were not recommended and assessments that the content collaborative teams did not have time to review are listed. CDE will take the Colorado Collaboratives recommendations into consideration when reviewing data for Request to Reconsider submissions.</t>
    </r>
  </si>
  <si>
    <t>8. In order to pilot flexibility that will be allowed per SB 13-217 (while board rules are drafted, shared publicly for feedback and approved), CDE is providing  the opportunity to re-evaluate the accreditation category assigned to districts through the District Performance Framework (DPF) for districts that serve a significant amount of students in Alternative Education Campuses (AECs). Those districts may submit a Request for Reconsideration of its DPF rating if it meets both of the following criteria:
(a) If the students enrolled in the Alternative Education Campus(es) in the district are removed from the District Performance Framework calculations, a higher accreditation rating is assigned.
(b) the Alternative Education Campus(es) in the district are assigned an AEC: Performance Plan rating. 
Districts must submit their explanation for request for reconsideration in the narrative and signatures tab. CDE will assist with the data analysis and notify districts if they meet the criteria.</t>
  </si>
  <si>
    <t xml:space="preserve">Welcome to the Request to Reconsider Template! To better assist you in submitting your district or school's additional data to CDE, we have created a template to streamline the process as well as give you an idea of what data we need to collect for the Request to Reconsider process. To submit a Request for Reconsideration of your District or School Performance Framework rating please complete this spreadsheet. Additionally, to verify the data submitted in this form, districts must also submit the official vendor summary reports to CDE on behalf of schools. Districts that wish to submit a Request for Reconsideration (for the district or on behalf of a school) must notify the Department of intent to submit by September 16th and then must submit their request through the School Accreditation and Request to Reconsider Form and the Request to Reconsider Template no later than October 15th of each year (see below for link). A request for reconsideration will not be accepted unless this template is filled out and the official vendor summary reports are sent to CDE by October 15. If a district or school would like CDE to assist with a request to reconsider, we must receive an intent to submit by September 16. The Narrative and Signatures tab, and for schools, at least one of the assessment tabs must be filled out in order for this form to be considered complete. No requests will be accepted after October 15.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</si>
</sst>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sz val="14"/>
      <color rgb="FFFF0000"/>
      <name val="Calibri"/>
      <family val="2"/>
      <scheme val="minor"/>
    </font>
    <font>
      <b/>
      <sz val="14"/>
      <name val="Calibri"/>
      <family val="2"/>
      <scheme val="minor"/>
    </font>
    <font>
      <u/>
      <sz val="11"/>
      <color theme="10"/>
      <name val="Calibri"/>
      <family val="2"/>
      <scheme val="minor"/>
    </font>
    <font>
      <b/>
      <u/>
      <sz val="14"/>
      <color theme="1"/>
      <name val="Calibri"/>
      <family val="2"/>
      <scheme val="minor"/>
    </font>
    <font>
      <i/>
      <sz val="11"/>
      <color theme="1"/>
      <name val="Calibri"/>
      <family val="2"/>
      <scheme val="minor"/>
    </font>
    <font>
      <u/>
      <sz val="11"/>
      <color theme="1"/>
      <name val="Calibri"/>
      <family val="2"/>
      <scheme val="minor"/>
    </font>
  </fonts>
  <fills count="39">
    <fill>
      <patternFill patternType="none"/>
    </fill>
    <fill>
      <patternFill patternType="gray125"/>
    </fill>
    <fill>
      <patternFill patternType="solid">
        <fgColor rgb="FFFFFF00"/>
        <bgColor indexed="64"/>
      </patternFill>
    </fill>
    <fill>
      <patternFill patternType="gray0625"/>
    </fill>
    <fill>
      <patternFill patternType="gray0625">
        <bgColor rgb="FFFFFF00"/>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gray0625">
        <bgColor auto="1"/>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5" tint="-0.249977111117893"/>
        <bgColor indexed="64"/>
      </patternFill>
    </fill>
    <fill>
      <patternFill patternType="gray0625">
        <bgColor theme="5" tint="0.59999389629810485"/>
      </patternFill>
    </fill>
    <fill>
      <patternFill patternType="gray0625">
        <bgColor theme="5" tint="0.39997558519241921"/>
      </patternFill>
    </fill>
    <fill>
      <patternFill patternType="gray0625">
        <bgColor theme="5" tint="0.79998168889431442"/>
      </patternFill>
    </fill>
    <fill>
      <patternFill patternType="solid">
        <fgColor indexed="65"/>
        <bgColor indexed="64"/>
      </patternFill>
    </fill>
    <fill>
      <patternFill patternType="solid">
        <fgColor theme="0" tint="-4.9989318521683403E-2"/>
        <bgColor indexed="64"/>
      </patternFill>
    </fill>
    <fill>
      <patternFill patternType="solid">
        <fgColor theme="0" tint="-0.499984740745262"/>
        <bgColor indexed="64"/>
      </patternFill>
    </fill>
    <fill>
      <patternFill patternType="gray0625">
        <bgColor theme="0" tint="-0.499984740745262"/>
      </patternFill>
    </fill>
    <fill>
      <patternFill patternType="solid">
        <fgColor theme="7" tint="0.39997558519241921"/>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4" tint="0.399975585192419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diagonalUp="1">
      <left/>
      <right style="thin">
        <color indexed="64"/>
      </right>
      <top style="thin">
        <color indexed="64"/>
      </top>
      <bottom/>
      <diagonal style="thin">
        <color indexed="64"/>
      </diagonal>
    </border>
    <border diagonalUp="1">
      <left/>
      <right style="thin">
        <color indexed="64"/>
      </right>
      <top/>
      <bottom style="thin">
        <color indexed="64"/>
      </bottom>
      <diagonal style="thin">
        <color indexed="64"/>
      </diagonal>
    </border>
    <border>
      <left style="thin">
        <color indexed="64"/>
      </left>
      <right/>
      <top/>
      <bottom/>
      <diagonal/>
    </border>
    <border>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diagonalUp="1">
      <left/>
      <right/>
      <top/>
      <bottom style="thin">
        <color indexed="64"/>
      </bottom>
      <diagonal style="thin">
        <color indexed="64"/>
      </diagonal>
    </border>
    <border diagonalUp="1">
      <left/>
      <right/>
      <top/>
      <bottom/>
      <diagonal style="thin">
        <color indexed="64"/>
      </diagonal>
    </border>
  </borders>
  <cellStyleXfs count="2">
    <xf numFmtId="0" fontId="0" fillId="0" borderId="0"/>
    <xf numFmtId="0" fontId="7" fillId="0" borderId="0" applyNumberFormat="0" applyFill="0" applyBorder="0" applyAlignment="0" applyProtection="0"/>
  </cellStyleXfs>
  <cellXfs count="247">
    <xf numFmtId="0" fontId="0" fillId="0" borderId="0" xfId="0"/>
    <xf numFmtId="0" fontId="0" fillId="0" borderId="0" xfId="0" applyAlignment="1"/>
    <xf numFmtId="0" fontId="0" fillId="0" borderId="1" xfId="0" applyBorder="1"/>
    <xf numFmtId="0" fontId="0" fillId="0" borderId="1" xfId="0" applyBorder="1" applyAlignment="1">
      <alignment horizontal="right"/>
    </xf>
    <xf numFmtId="0" fontId="0" fillId="3" borderId="1" xfId="0" applyFill="1" applyBorder="1"/>
    <xf numFmtId="0" fontId="0" fillId="0" borderId="6" xfId="0" applyBorder="1" applyAlignment="1">
      <alignment horizontal="right"/>
    </xf>
    <xf numFmtId="0" fontId="0" fillId="0" borderId="7" xfId="0" applyBorder="1" applyAlignment="1">
      <alignment horizontal="right"/>
    </xf>
    <xf numFmtId="0" fontId="0" fillId="0" borderId="7" xfId="0" applyBorder="1"/>
    <xf numFmtId="0" fontId="0" fillId="0" borderId="8" xfId="0" applyBorder="1" applyAlignment="1">
      <alignment horizontal="right"/>
    </xf>
    <xf numFmtId="0" fontId="0" fillId="0" borderId="6" xfId="0" applyBorder="1"/>
    <xf numFmtId="0" fontId="0" fillId="0" borderId="8" xfId="0" applyBorder="1"/>
    <xf numFmtId="0" fontId="0" fillId="3" borderId="6" xfId="0" applyFill="1" applyBorder="1"/>
    <xf numFmtId="0" fontId="0" fillId="3" borderId="7" xfId="0" applyFill="1" applyBorder="1"/>
    <xf numFmtId="0" fontId="0" fillId="3" borderId="8" xfId="0" applyFill="1" applyBorder="1"/>
    <xf numFmtId="0" fontId="0" fillId="8" borderId="1" xfId="0" applyFill="1" applyBorder="1" applyAlignment="1">
      <alignment wrapText="1"/>
    </xf>
    <xf numFmtId="0" fontId="0" fillId="11" borderId="1" xfId="0" applyFill="1" applyBorder="1" applyAlignment="1">
      <alignment wrapText="1"/>
    </xf>
    <xf numFmtId="0" fontId="0" fillId="13" borderId="1" xfId="0" applyFill="1" applyBorder="1" applyAlignment="1">
      <alignment wrapText="1"/>
    </xf>
    <xf numFmtId="0" fontId="0" fillId="2" borderId="1" xfId="0" applyFill="1" applyBorder="1"/>
    <xf numFmtId="0" fontId="0" fillId="2" borderId="0" xfId="0" applyFill="1"/>
    <xf numFmtId="0" fontId="0" fillId="16" borderId="1" xfId="0" applyFill="1" applyBorder="1" applyAlignment="1">
      <alignment wrapText="1"/>
    </xf>
    <xf numFmtId="2" fontId="0" fillId="0" borderId="1" xfId="0" applyNumberFormat="1" applyBorder="1"/>
    <xf numFmtId="0" fontId="0" fillId="0" borderId="1" xfId="0" applyFill="1" applyBorder="1"/>
    <xf numFmtId="0" fontId="0" fillId="3" borderId="1" xfId="0" applyFill="1" applyBorder="1" applyAlignment="1">
      <alignment horizontal="right"/>
    </xf>
    <xf numFmtId="0" fontId="0" fillId="17" borderId="1" xfId="0" applyFill="1" applyBorder="1"/>
    <xf numFmtId="0" fontId="0" fillId="2" borderId="5" xfId="0" applyFill="1" applyBorder="1"/>
    <xf numFmtId="0" fontId="0" fillId="2" borderId="15" xfId="0" applyFill="1" applyBorder="1"/>
    <xf numFmtId="0" fontId="0" fillId="0" borderId="0" xfId="0" applyFill="1" applyBorder="1"/>
    <xf numFmtId="0" fontId="0" fillId="0" borderId="14" xfId="0" applyBorder="1"/>
    <xf numFmtId="0" fontId="0" fillId="0" borderId="16" xfId="0" applyBorder="1"/>
    <xf numFmtId="0" fontId="0" fillId="0" borderId="17" xfId="0" applyBorder="1"/>
    <xf numFmtId="0" fontId="2" fillId="21" borderId="1" xfId="0" applyFont="1" applyFill="1" applyBorder="1" applyAlignment="1">
      <alignment vertical="top"/>
    </xf>
    <xf numFmtId="0" fontId="0" fillId="0" borderId="18" xfId="0" applyBorder="1"/>
    <xf numFmtId="0" fontId="2" fillId="21" borderId="1" xfId="0" applyFont="1" applyFill="1" applyBorder="1" applyAlignment="1">
      <alignment vertical="top" wrapText="1"/>
    </xf>
    <xf numFmtId="0" fontId="2" fillId="21" borderId="5" xfId="0" applyFont="1" applyFill="1" applyBorder="1" applyAlignment="1">
      <alignment vertical="top" wrapText="1"/>
    </xf>
    <xf numFmtId="0" fontId="0" fillId="0" borderId="20" xfId="0" applyBorder="1"/>
    <xf numFmtId="0" fontId="0" fillId="10" borderId="1" xfId="0" applyFill="1" applyBorder="1" applyAlignment="1">
      <alignment horizontal="center" wrapText="1"/>
    </xf>
    <xf numFmtId="2" fontId="0" fillId="3" borderId="1" xfId="0" applyNumberFormat="1" applyFill="1" applyBorder="1"/>
    <xf numFmtId="0" fontId="0" fillId="23" borderId="1" xfId="0" applyFill="1" applyBorder="1" applyAlignment="1">
      <alignment wrapText="1"/>
    </xf>
    <xf numFmtId="0" fontId="0" fillId="30" borderId="1" xfId="0" applyFill="1" applyBorder="1" applyAlignment="1">
      <alignment wrapText="1"/>
    </xf>
    <xf numFmtId="0" fontId="0" fillId="13" borderId="5" xfId="0" applyFill="1" applyBorder="1" applyAlignment="1">
      <alignment wrapText="1"/>
    </xf>
    <xf numFmtId="0" fontId="0" fillId="0" borderId="20" xfId="0" applyFill="1" applyBorder="1"/>
    <xf numFmtId="0" fontId="0" fillId="31" borderId="1" xfId="0" applyFill="1" applyBorder="1" applyAlignment="1">
      <alignment horizontal="right"/>
    </xf>
    <xf numFmtId="0" fontId="0" fillId="31" borderId="1" xfId="0" applyFill="1" applyBorder="1"/>
    <xf numFmtId="0" fontId="0" fillId="0" borderId="1" xfId="0" applyBorder="1" applyAlignment="1">
      <alignment horizontal="center"/>
    </xf>
    <xf numFmtId="0" fontId="0" fillId="2" borderId="1" xfId="0" applyFill="1" applyBorder="1" applyAlignment="1">
      <alignment horizontal="center"/>
    </xf>
    <xf numFmtId="0" fontId="7" fillId="0" borderId="0" xfId="1"/>
    <xf numFmtId="0" fontId="2" fillId="0" borderId="9" xfId="0" applyFont="1" applyBorder="1" applyAlignment="1">
      <alignment horizontal="right"/>
    </xf>
    <xf numFmtId="0" fontId="2" fillId="0" borderId="10" xfId="0" applyFont="1" applyBorder="1"/>
    <xf numFmtId="0" fontId="2" fillId="0" borderId="9" xfId="0" applyFont="1" applyBorder="1"/>
    <xf numFmtId="0" fontId="2" fillId="3" borderId="9" xfId="0" applyFont="1" applyFill="1" applyBorder="1"/>
    <xf numFmtId="0" fontId="2" fillId="3" borderId="10" xfId="0" applyFont="1" applyFill="1" applyBorder="1"/>
    <xf numFmtId="0" fontId="2" fillId="3" borderId="11" xfId="0" applyFont="1" applyFill="1" applyBorder="1"/>
    <xf numFmtId="0" fontId="2" fillId="3" borderId="12" xfId="0" applyFont="1" applyFill="1" applyBorder="1"/>
    <xf numFmtId="0" fontId="2" fillId="0" borderId="10" xfId="0" applyFont="1" applyFill="1" applyBorder="1"/>
    <xf numFmtId="0" fontId="0" fillId="9" borderId="1" xfId="0" applyFill="1" applyBorder="1" applyAlignment="1">
      <alignment horizontal="center"/>
    </xf>
    <xf numFmtId="0" fontId="0" fillId="15" borderId="1" xfId="0" applyFill="1" applyBorder="1" applyAlignment="1">
      <alignment horizontal="center"/>
    </xf>
    <xf numFmtId="0" fontId="0" fillId="12" borderId="1" xfId="0" applyFill="1" applyBorder="1" applyAlignment="1">
      <alignment horizontal="center" wrapText="1"/>
    </xf>
    <xf numFmtId="0" fontId="0" fillId="33" borderId="24" xfId="0" applyFill="1" applyBorder="1"/>
    <xf numFmtId="0" fontId="0" fillId="33" borderId="25" xfId="0" applyFill="1" applyBorder="1"/>
    <xf numFmtId="0" fontId="0" fillId="33" borderId="18" xfId="0" applyFill="1" applyBorder="1"/>
    <xf numFmtId="0" fontId="0" fillId="33" borderId="26" xfId="0" applyFill="1" applyBorder="1"/>
    <xf numFmtId="0" fontId="2" fillId="33" borderId="18" xfId="0" applyFont="1" applyFill="1" applyBorder="1"/>
    <xf numFmtId="0" fontId="2" fillId="33" borderId="26" xfId="0" applyFont="1" applyFill="1" applyBorder="1"/>
    <xf numFmtId="0" fontId="0" fillId="33" borderId="14" xfId="0" applyFill="1" applyBorder="1"/>
    <xf numFmtId="0" fontId="0" fillId="33" borderId="19" xfId="0" applyFill="1" applyBorder="1"/>
    <xf numFmtId="0" fontId="2" fillId="33" borderId="27" xfId="0" applyFont="1" applyFill="1" applyBorder="1"/>
    <xf numFmtId="0" fontId="2" fillId="33" borderId="28" xfId="0" applyFont="1" applyFill="1" applyBorder="1"/>
    <xf numFmtId="0" fontId="0" fillId="34" borderId="24" xfId="0" applyFill="1" applyBorder="1"/>
    <xf numFmtId="0" fontId="0" fillId="34" borderId="25" xfId="0" applyFill="1" applyBorder="1"/>
    <xf numFmtId="0" fontId="0" fillId="34" borderId="18" xfId="0" applyFill="1" applyBorder="1"/>
    <xf numFmtId="0" fontId="0" fillId="34" borderId="26" xfId="0" applyFill="1" applyBorder="1"/>
    <xf numFmtId="0" fontId="0" fillId="34" borderId="14" xfId="0" applyFill="1" applyBorder="1"/>
    <xf numFmtId="0" fontId="0" fillId="34" borderId="19" xfId="0" applyFill="1" applyBorder="1"/>
    <xf numFmtId="0" fontId="0" fillId="33" borderId="22" xfId="0" applyFill="1" applyBorder="1"/>
    <xf numFmtId="0" fontId="0" fillId="33" borderId="23" xfId="0" applyFill="1" applyBorder="1"/>
    <xf numFmtId="0" fontId="2" fillId="34" borderId="18" xfId="0" applyFont="1" applyFill="1" applyBorder="1"/>
    <xf numFmtId="0" fontId="2" fillId="34" borderId="26" xfId="0" applyFont="1" applyFill="1" applyBorder="1"/>
    <xf numFmtId="0" fontId="2" fillId="34" borderId="27" xfId="0" applyFont="1" applyFill="1" applyBorder="1"/>
    <xf numFmtId="0" fontId="2" fillId="34" borderId="28" xfId="0" applyFont="1" applyFill="1" applyBorder="1"/>
    <xf numFmtId="0" fontId="0" fillId="20" borderId="1" xfId="0" applyFill="1" applyBorder="1" applyAlignment="1">
      <alignment wrapText="1"/>
    </xf>
    <xf numFmtId="0" fontId="0" fillId="0" borderId="0" xfId="0" applyBorder="1"/>
    <xf numFmtId="0" fontId="0" fillId="0" borderId="1" xfId="0" applyFill="1" applyBorder="1" applyAlignment="1">
      <alignment horizontal="right" wrapText="1"/>
    </xf>
    <xf numFmtId="0" fontId="0" fillId="0" borderId="1" xfId="0" applyFill="1" applyBorder="1" applyAlignment="1">
      <alignment wrapText="1"/>
    </xf>
    <xf numFmtId="0" fontId="0" fillId="3" borderId="2" xfId="0" applyFill="1" applyBorder="1"/>
    <xf numFmtId="0" fontId="0" fillId="23" borderId="2" xfId="0" applyFill="1" applyBorder="1" applyAlignment="1">
      <alignment wrapText="1"/>
    </xf>
    <xf numFmtId="2" fontId="0" fillId="0" borderId="2" xfId="0" applyNumberFormat="1" applyBorder="1"/>
    <xf numFmtId="2" fontId="0" fillId="3" borderId="2" xfId="0" applyNumberFormat="1" applyFill="1" applyBorder="1"/>
    <xf numFmtId="0" fontId="0" fillId="11" borderId="2" xfId="0" applyFill="1" applyBorder="1" applyAlignment="1">
      <alignment wrapText="1"/>
    </xf>
    <xf numFmtId="0" fontId="0" fillId="23" borderId="1" xfId="0" applyFill="1" applyBorder="1"/>
    <xf numFmtId="0" fontId="0" fillId="0" borderId="30" xfId="0" applyBorder="1"/>
    <xf numFmtId="0" fontId="0" fillId="0" borderId="29" xfId="0" applyBorder="1"/>
    <xf numFmtId="0" fontId="0" fillId="2" borderId="1" xfId="0" applyFill="1" applyBorder="1" applyProtection="1">
      <protection locked="0"/>
    </xf>
    <xf numFmtId="0" fontId="0" fillId="4" borderId="1" xfId="0" applyFill="1" applyBorder="1" applyProtection="1">
      <protection locked="0"/>
    </xf>
    <xf numFmtId="0" fontId="0" fillId="0" borderId="1" xfId="0" applyBorder="1" applyAlignment="1" applyProtection="1">
      <alignment horizontal="right"/>
      <protection locked="0"/>
    </xf>
    <xf numFmtId="0" fontId="0" fillId="3" borderId="1" xfId="0" applyFill="1" applyBorder="1" applyAlignment="1" applyProtection="1">
      <alignment horizontal="right"/>
      <protection locked="0"/>
    </xf>
    <xf numFmtId="0" fontId="0" fillId="2" borderId="15" xfId="0" applyFill="1" applyBorder="1" applyProtection="1">
      <protection locked="0"/>
    </xf>
    <xf numFmtId="0" fontId="0" fillId="2" borderId="5" xfId="0" applyFill="1" applyBorder="1" applyProtection="1">
      <protection locked="0"/>
    </xf>
    <xf numFmtId="0" fontId="0" fillId="2" borderId="1" xfId="0" applyFill="1" applyBorder="1" applyAlignment="1" applyProtection="1">
      <alignment horizontal="right"/>
      <protection locked="0"/>
    </xf>
    <xf numFmtId="0" fontId="0" fillId="4" borderId="1" xfId="0" applyFill="1" applyBorder="1" applyAlignment="1" applyProtection="1">
      <alignment horizontal="right"/>
      <protection locked="0"/>
    </xf>
    <xf numFmtId="0" fontId="0" fillId="2" borderId="1" xfId="0" applyFill="1" applyBorder="1" applyAlignment="1" applyProtection="1">
      <alignment horizontal="right" wrapText="1"/>
      <protection locked="0"/>
    </xf>
    <xf numFmtId="0" fontId="0" fillId="2" borderId="1" xfId="0" applyFill="1" applyBorder="1" applyAlignment="1" applyProtection="1">
      <alignment wrapText="1"/>
      <protection locked="0"/>
    </xf>
    <xf numFmtId="1" fontId="0" fillId="2" borderId="1" xfId="0" applyNumberFormat="1" applyFill="1" applyBorder="1" applyProtection="1">
      <protection locked="0"/>
    </xf>
    <xf numFmtId="1" fontId="0" fillId="4" borderId="1" xfId="0" applyNumberFormat="1" applyFill="1" applyBorder="1" applyProtection="1">
      <protection locked="0"/>
    </xf>
    <xf numFmtId="0" fontId="0" fillId="0" borderId="1" xfId="0" applyBorder="1" applyProtection="1">
      <protection locked="0"/>
    </xf>
    <xf numFmtId="0" fontId="0" fillId="3" borderId="1" xfId="0" applyFill="1" applyBorder="1" applyProtection="1">
      <protection locked="0"/>
    </xf>
    <xf numFmtId="0" fontId="0" fillId="31" borderId="1" xfId="0" applyFill="1" applyBorder="1" applyAlignment="1" applyProtection="1">
      <alignment horizontal="right"/>
      <protection locked="0"/>
    </xf>
    <xf numFmtId="0" fontId="0" fillId="0" borderId="0" xfId="0" applyProtection="1">
      <protection locked="0"/>
    </xf>
    <xf numFmtId="0" fontId="0" fillId="2" borderId="7" xfId="0" applyFill="1" applyBorder="1" applyProtection="1">
      <protection locked="0"/>
    </xf>
    <xf numFmtId="0" fontId="2" fillId="2" borderId="10" xfId="0" applyFont="1" applyFill="1" applyBorder="1" applyProtection="1">
      <protection locked="0"/>
    </xf>
    <xf numFmtId="0" fontId="0" fillId="4" borderId="7" xfId="0" applyFill="1" applyBorder="1" applyProtection="1">
      <protection locked="0"/>
    </xf>
    <xf numFmtId="0" fontId="2" fillId="4" borderId="10" xfId="0" applyFont="1" applyFill="1" applyBorder="1" applyProtection="1">
      <protection locked="0"/>
    </xf>
    <xf numFmtId="0" fontId="2" fillId="4" borderId="12" xfId="0" applyFont="1" applyFill="1" applyBorder="1" applyProtection="1">
      <protection locked="0"/>
    </xf>
    <xf numFmtId="0" fontId="0" fillId="3" borderId="23" xfId="0" applyFill="1" applyBorder="1"/>
    <xf numFmtId="0" fontId="0" fillId="3" borderId="3" xfId="0" applyFill="1" applyBorder="1"/>
    <xf numFmtId="2" fontId="0" fillId="3" borderId="4" xfId="0" applyNumberFormat="1" applyFill="1" applyBorder="1"/>
    <xf numFmtId="2" fontId="0" fillId="31" borderId="1" xfId="0" applyNumberFormat="1" applyFill="1" applyBorder="1"/>
    <xf numFmtId="0" fontId="0" fillId="4" borderId="2" xfId="0" applyFill="1" applyBorder="1" applyProtection="1">
      <protection locked="0"/>
    </xf>
    <xf numFmtId="0" fontId="0" fillId="4" borderId="3" xfId="0" applyFill="1" applyBorder="1" applyProtection="1">
      <protection locked="0"/>
    </xf>
    <xf numFmtId="0" fontId="0" fillId="31" borderId="1" xfId="0" applyFill="1" applyBorder="1" applyProtection="1">
      <protection locked="0"/>
    </xf>
    <xf numFmtId="0" fontId="2" fillId="21" borderId="1" xfId="0" applyFont="1" applyFill="1" applyBorder="1" applyAlignment="1" applyProtection="1">
      <alignment vertical="top" wrapText="1"/>
      <protection locked="0"/>
    </xf>
    <xf numFmtId="0" fontId="2" fillId="21" borderId="1" xfId="0" applyFont="1" applyFill="1" applyBorder="1" applyAlignment="1" applyProtection="1">
      <alignment vertical="top"/>
      <protection locked="0"/>
    </xf>
    <xf numFmtId="0" fontId="2" fillId="21" borderId="5" xfId="0" applyFont="1" applyFill="1" applyBorder="1" applyAlignment="1" applyProtection="1">
      <alignment vertical="top" wrapText="1"/>
      <protection locked="0"/>
    </xf>
    <xf numFmtId="0" fontId="0" fillId="20" borderId="1" xfId="0" applyFill="1" applyBorder="1" applyAlignment="1">
      <alignment horizontal="left" wrapText="1"/>
    </xf>
    <xf numFmtId="0" fontId="0" fillId="20" borderId="1" xfId="0" applyFill="1" applyBorder="1" applyAlignment="1">
      <alignment horizontal="left"/>
    </xf>
    <xf numFmtId="0" fontId="6" fillId="21" borderId="1" xfId="0" applyFont="1" applyFill="1" applyBorder="1" applyAlignment="1">
      <alignment horizontal="left"/>
    </xf>
    <xf numFmtId="0" fontId="3" fillId="21" borderId="1" xfId="0" applyFont="1" applyFill="1" applyBorder="1" applyAlignment="1">
      <alignment horizontal="left"/>
    </xf>
    <xf numFmtId="0" fontId="7" fillId="20" borderId="1" xfId="1" applyFill="1" applyBorder="1" applyAlignment="1">
      <alignment horizontal="left"/>
    </xf>
    <xf numFmtId="0" fontId="2" fillId="21" borderId="1" xfId="0" applyFont="1" applyFill="1" applyBorder="1" applyAlignment="1">
      <alignment horizontal="left" vertical="top" wrapText="1"/>
    </xf>
    <xf numFmtId="0" fontId="0" fillId="20" borderId="15" xfId="0" applyFont="1" applyFill="1" applyBorder="1" applyAlignment="1">
      <alignment horizontal="left" vertical="top" wrapText="1"/>
    </xf>
    <xf numFmtId="0" fontId="0" fillId="20" borderId="15" xfId="0" applyFont="1" applyFill="1" applyBorder="1" applyAlignment="1">
      <alignment horizontal="left" vertical="top"/>
    </xf>
    <xf numFmtId="0" fontId="0" fillId="20" borderId="1" xfId="0" applyFont="1" applyFill="1" applyBorder="1" applyAlignment="1">
      <alignment horizontal="left" vertical="top"/>
    </xf>
    <xf numFmtId="0" fontId="5" fillId="32" borderId="2" xfId="0" applyFont="1" applyFill="1" applyBorder="1" applyAlignment="1">
      <alignment horizontal="left"/>
    </xf>
    <xf numFmtId="0" fontId="5" fillId="32" borderId="3" xfId="0" applyFont="1" applyFill="1" applyBorder="1" applyAlignment="1">
      <alignment horizontal="left"/>
    </xf>
    <xf numFmtId="0" fontId="5" fillId="32" borderId="4" xfId="0" applyFont="1" applyFill="1" applyBorder="1" applyAlignment="1">
      <alignment horizontal="left"/>
    </xf>
    <xf numFmtId="0" fontId="7" fillId="21" borderId="2" xfId="1" applyFill="1" applyBorder="1" applyAlignment="1">
      <alignment horizontal="left" vertical="top" wrapText="1"/>
    </xf>
    <xf numFmtId="0" fontId="7" fillId="21" borderId="3" xfId="1" applyFill="1" applyBorder="1" applyAlignment="1">
      <alignment horizontal="left" vertical="top" wrapText="1"/>
    </xf>
    <xf numFmtId="0" fontId="7" fillId="21" borderId="4" xfId="1" applyFill="1" applyBorder="1" applyAlignment="1">
      <alignment horizontal="left" vertical="top" wrapText="1"/>
    </xf>
    <xf numFmtId="0" fontId="0" fillId="9" borderId="2" xfId="0" applyFill="1" applyBorder="1" applyAlignment="1">
      <alignment horizontal="center"/>
    </xf>
    <xf numFmtId="0" fontId="0" fillId="9" borderId="3" xfId="0" applyFill="1" applyBorder="1" applyAlignment="1">
      <alignment horizontal="center"/>
    </xf>
    <xf numFmtId="0" fontId="0" fillId="9" borderId="4" xfId="0" applyFill="1" applyBorder="1" applyAlignment="1">
      <alignment horizontal="center"/>
    </xf>
    <xf numFmtId="0" fontId="0" fillId="10" borderId="2" xfId="0" applyFill="1" applyBorder="1" applyAlignment="1">
      <alignment horizontal="center"/>
    </xf>
    <xf numFmtId="0" fontId="0" fillId="10" borderId="3" xfId="0" applyFill="1" applyBorder="1" applyAlignment="1">
      <alignment horizontal="center"/>
    </xf>
    <xf numFmtId="0" fontId="0" fillId="10" borderId="4" xfId="0" applyFill="1" applyBorder="1" applyAlignment="1">
      <alignment horizontal="center"/>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0" fillId="0" borderId="1" xfId="0" applyBorder="1" applyAlignment="1">
      <alignment horizontal="center"/>
    </xf>
    <xf numFmtId="0" fontId="0" fillId="19" borderId="2" xfId="0" applyFill="1" applyBorder="1" applyAlignment="1">
      <alignment horizontal="right"/>
    </xf>
    <xf numFmtId="0" fontId="0" fillId="19" borderId="21" xfId="0" applyFill="1" applyBorder="1" applyAlignment="1">
      <alignment horizontal="right"/>
    </xf>
    <xf numFmtId="0" fontId="0" fillId="19" borderId="23" xfId="0" applyFill="1" applyBorder="1" applyAlignment="1">
      <alignment horizontal="right"/>
    </xf>
    <xf numFmtId="0" fontId="0" fillId="18" borderId="14" xfId="0" applyFill="1" applyBorder="1" applyAlignment="1">
      <alignment horizontal="right"/>
    </xf>
    <xf numFmtId="0" fontId="0" fillId="18" borderId="13" xfId="0" applyFill="1" applyBorder="1" applyAlignment="1">
      <alignment horizontal="right"/>
    </xf>
    <xf numFmtId="0" fontId="0" fillId="18" borderId="19" xfId="0" applyFill="1" applyBorder="1" applyAlignment="1">
      <alignment horizontal="right"/>
    </xf>
    <xf numFmtId="0" fontId="3" fillId="20" borderId="1" xfId="0" applyFont="1" applyFill="1" applyBorder="1" applyAlignment="1" applyProtection="1">
      <alignment horizontal="left"/>
      <protection locked="0"/>
    </xf>
    <xf numFmtId="0" fontId="3" fillId="22" borderId="1" xfId="0" applyFont="1" applyFill="1" applyBorder="1" applyAlignment="1" applyProtection="1">
      <alignment horizontal="left" wrapText="1"/>
      <protection locked="0"/>
    </xf>
    <xf numFmtId="0" fontId="0" fillId="20" borderId="5" xfId="0" applyFill="1" applyBorder="1" applyAlignment="1" applyProtection="1">
      <alignment horizontal="left" wrapText="1"/>
      <protection locked="0"/>
    </xf>
    <xf numFmtId="0" fontId="0" fillId="20" borderId="1" xfId="0" applyFill="1" applyBorder="1" applyAlignment="1" applyProtection="1">
      <alignment horizontal="left"/>
      <protection locked="0"/>
    </xf>
    <xf numFmtId="0" fontId="0" fillId="20" borderId="1" xfId="0" applyFill="1" applyBorder="1" applyAlignment="1" applyProtection="1">
      <alignment horizontal="left" vertical="center" wrapText="1"/>
      <protection locked="0"/>
    </xf>
    <xf numFmtId="0" fontId="0" fillId="20" borderId="1" xfId="0" applyFill="1" applyBorder="1" applyAlignment="1" applyProtection="1">
      <alignment horizontal="left" wrapText="1"/>
      <protection locked="0"/>
    </xf>
    <xf numFmtId="0" fontId="0" fillId="0" borderId="1" xfId="0" applyBorder="1" applyAlignment="1">
      <alignment horizontal="left"/>
    </xf>
    <xf numFmtId="0" fontId="0" fillId="2" borderId="1"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12" borderId="2" xfId="0"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0" fillId="6" borderId="2"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24" borderId="1" xfId="0" applyFill="1" applyBorder="1" applyAlignment="1">
      <alignment horizontal="center"/>
    </xf>
    <xf numFmtId="0" fontId="0" fillId="37" borderId="22" xfId="0" applyFill="1" applyBorder="1" applyAlignment="1">
      <alignment horizontal="center"/>
    </xf>
    <xf numFmtId="0" fontId="0" fillId="37" borderId="21" xfId="0" applyFill="1" applyBorder="1" applyAlignment="1">
      <alignment horizontal="center"/>
    </xf>
    <xf numFmtId="0" fontId="0" fillId="38" borderId="1" xfId="0" applyFill="1" applyBorder="1" applyAlignment="1">
      <alignment horizontal="center"/>
    </xf>
    <xf numFmtId="0" fontId="0" fillId="36" borderId="2" xfId="0" applyFill="1" applyBorder="1" applyAlignment="1">
      <alignment horizontal="center"/>
    </xf>
    <xf numFmtId="0" fontId="0" fillId="36" borderId="4" xfId="0" applyFill="1" applyBorder="1" applyAlignment="1">
      <alignment horizontal="center"/>
    </xf>
    <xf numFmtId="0" fontId="3" fillId="35" borderId="1" xfId="0" applyFont="1" applyFill="1" applyBorder="1" applyAlignment="1">
      <alignment horizontal="left"/>
    </xf>
    <xf numFmtId="0" fontId="0" fillId="26" borderId="0" xfId="0" applyFill="1" applyBorder="1" applyAlignment="1">
      <alignment horizontal="center"/>
    </xf>
    <xf numFmtId="0" fontId="0" fillId="7" borderId="1" xfId="0" applyFill="1" applyBorder="1" applyAlignment="1">
      <alignment horizontal="center"/>
    </xf>
    <xf numFmtId="0" fontId="3" fillId="22" borderId="1" xfId="0" applyFont="1" applyFill="1" applyBorder="1" applyAlignment="1">
      <alignment horizontal="left" wrapText="1"/>
    </xf>
    <xf numFmtId="0" fontId="0" fillId="19" borderId="22" xfId="0" applyFill="1" applyBorder="1" applyAlignment="1">
      <alignment horizontal="right"/>
    </xf>
    <xf numFmtId="0" fontId="3" fillId="20" borderId="1" xfId="0" applyFont="1" applyFill="1" applyBorder="1" applyAlignment="1" applyProtection="1">
      <alignment horizontal="left" wrapText="1"/>
      <protection locked="0"/>
    </xf>
    <xf numFmtId="0" fontId="0" fillId="20" borderId="2" xfId="0" applyFill="1" applyBorder="1" applyAlignment="1" applyProtection="1">
      <alignment horizontal="left" wrapText="1"/>
      <protection locked="0"/>
    </xf>
    <xf numFmtId="0" fontId="0" fillId="20" borderId="3" xfId="0" applyFill="1" applyBorder="1" applyAlignment="1" applyProtection="1">
      <alignment horizontal="left" wrapText="1"/>
      <protection locked="0"/>
    </xf>
    <xf numFmtId="0" fontId="0" fillId="20" borderId="4" xfId="0" applyFill="1" applyBorder="1" applyAlignment="1" applyProtection="1">
      <alignment horizontal="left" wrapText="1"/>
      <protection locked="0"/>
    </xf>
    <xf numFmtId="0" fontId="0" fillId="19" borderId="3" xfId="0" applyFill="1" applyBorder="1" applyAlignment="1">
      <alignment horizontal="right"/>
    </xf>
    <xf numFmtId="0" fontId="0" fillId="19" borderId="4" xfId="0" applyFill="1" applyBorder="1" applyAlignment="1">
      <alignment horizontal="right"/>
    </xf>
    <xf numFmtId="0" fontId="0" fillId="21" borderId="2" xfId="0" applyFill="1" applyBorder="1" applyAlignment="1">
      <alignment horizontal="center"/>
    </xf>
    <xf numFmtId="0" fontId="0" fillId="21" borderId="3" xfId="0" applyFill="1" applyBorder="1" applyAlignment="1">
      <alignment horizontal="center"/>
    </xf>
    <xf numFmtId="0" fontId="0" fillId="21" borderId="4" xfId="0" applyFill="1" applyBorder="1" applyAlignment="1">
      <alignment horizontal="center"/>
    </xf>
    <xf numFmtId="0" fontId="0" fillId="14" borderId="2" xfId="0" applyFill="1" applyBorder="1" applyAlignment="1">
      <alignment horizontal="center"/>
    </xf>
    <xf numFmtId="0" fontId="0" fillId="14" borderId="3" xfId="0" applyFill="1" applyBorder="1" applyAlignment="1">
      <alignment horizontal="center"/>
    </xf>
    <xf numFmtId="0" fontId="0" fillId="14" borderId="4" xfId="0" applyFill="1" applyBorder="1" applyAlignment="1">
      <alignment horizontal="center"/>
    </xf>
    <xf numFmtId="0" fontId="0" fillId="15" borderId="2"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35" borderId="2" xfId="0" applyFill="1" applyBorder="1" applyAlignment="1">
      <alignment horizontal="center"/>
    </xf>
    <xf numFmtId="0" fontId="0" fillId="35" borderId="3" xfId="0" applyFill="1" applyBorder="1" applyAlignment="1">
      <alignment horizontal="center"/>
    </xf>
    <xf numFmtId="0" fontId="0" fillId="35" borderId="4" xfId="0" applyFill="1" applyBorder="1" applyAlignment="1">
      <alignment horizontal="center"/>
    </xf>
    <xf numFmtId="0" fontId="0" fillId="10" borderId="1" xfId="0" applyFill="1" applyBorder="1" applyAlignment="1">
      <alignment horizontal="center"/>
    </xf>
    <xf numFmtId="0" fontId="0" fillId="18" borderId="18" xfId="0" applyFill="1" applyBorder="1" applyAlignment="1">
      <alignment horizontal="right"/>
    </xf>
    <xf numFmtId="0" fontId="0" fillId="18" borderId="0" xfId="0" applyFill="1" applyBorder="1" applyAlignment="1">
      <alignment horizontal="right"/>
    </xf>
    <xf numFmtId="0" fontId="0" fillId="20" borderId="2" xfId="0" applyFill="1" applyBorder="1" applyAlignment="1" applyProtection="1">
      <alignment horizontal="left" vertical="top" wrapText="1"/>
      <protection locked="0"/>
    </xf>
    <xf numFmtId="0" fontId="0" fillId="20" borderId="3" xfId="0" applyFill="1" applyBorder="1" applyAlignment="1" applyProtection="1">
      <alignment horizontal="left" vertical="top" wrapText="1"/>
      <protection locked="0"/>
    </xf>
    <xf numFmtId="0" fontId="0" fillId="20" borderId="4" xfId="0" applyFill="1" applyBorder="1" applyAlignment="1" applyProtection="1">
      <alignment horizontal="left" vertical="top" wrapText="1"/>
      <protection locked="0"/>
    </xf>
    <xf numFmtId="0" fontId="0" fillId="14" borderId="1" xfId="0" applyFill="1" applyBorder="1" applyAlignment="1">
      <alignment horizontal="center"/>
    </xf>
    <xf numFmtId="0" fontId="0" fillId="15" borderId="1" xfId="0" applyFill="1" applyBorder="1" applyAlignment="1">
      <alignment horizontal="center"/>
    </xf>
    <xf numFmtId="0" fontId="0" fillId="19" borderId="14" xfId="0" applyFill="1" applyBorder="1" applyAlignment="1">
      <alignment horizontal="right"/>
    </xf>
    <xf numFmtId="0" fontId="0" fillId="19" borderId="13" xfId="0" applyFill="1" applyBorder="1" applyAlignment="1">
      <alignment horizontal="right"/>
    </xf>
    <xf numFmtId="0" fontId="0" fillId="5" borderId="1" xfId="0" applyFill="1" applyBorder="1" applyAlignment="1">
      <alignment horizontal="center"/>
    </xf>
    <xf numFmtId="0" fontId="0" fillId="12" borderId="1" xfId="0" applyFill="1" applyBorder="1" applyAlignment="1">
      <alignment horizontal="center"/>
    </xf>
    <xf numFmtId="0" fontId="0" fillId="6" borderId="1" xfId="0" applyFill="1" applyBorder="1" applyAlignment="1">
      <alignment horizontal="center"/>
    </xf>
    <xf numFmtId="0" fontId="0" fillId="9" borderId="1" xfId="0" applyFill="1" applyBorder="1" applyAlignment="1">
      <alignment horizontal="center"/>
    </xf>
    <xf numFmtId="0" fontId="0" fillId="10" borderId="2" xfId="0" applyFill="1" applyBorder="1" applyAlignment="1">
      <alignment horizontal="center" wrapText="1"/>
    </xf>
    <xf numFmtId="0" fontId="0" fillId="10" borderId="4" xfId="0" applyFill="1" applyBorder="1" applyAlignment="1">
      <alignment horizontal="center" wrapText="1"/>
    </xf>
    <xf numFmtId="0" fontId="0" fillId="7" borderId="14" xfId="0" applyFill="1" applyBorder="1" applyAlignment="1">
      <alignment horizontal="center"/>
    </xf>
    <xf numFmtId="0" fontId="0" fillId="7" borderId="13" xfId="0" applyFill="1" applyBorder="1" applyAlignment="1">
      <alignment horizontal="center"/>
    </xf>
    <xf numFmtId="0" fontId="0" fillId="9" borderId="2" xfId="0" applyFill="1" applyBorder="1" applyAlignment="1">
      <alignment horizontal="center" wrapText="1"/>
    </xf>
    <xf numFmtId="0" fontId="0" fillId="9" borderId="4" xfId="0" applyFill="1" applyBorder="1" applyAlignment="1">
      <alignment horizontal="center" wrapText="1"/>
    </xf>
    <xf numFmtId="0" fontId="0" fillId="12" borderId="3" xfId="0"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2" fillId="27" borderId="1" xfId="0" applyFont="1" applyFill="1" applyBorder="1" applyAlignment="1">
      <alignment horizontal="center"/>
    </xf>
    <xf numFmtId="0" fontId="0" fillId="2" borderId="3" xfId="0" applyFill="1" applyBorder="1" applyAlignment="1">
      <alignment horizontal="center" wrapText="1"/>
    </xf>
    <xf numFmtId="0" fontId="0" fillId="2" borderId="4" xfId="0" applyFill="1" applyBorder="1" applyAlignment="1">
      <alignment horizontal="center" wrapText="1"/>
    </xf>
    <xf numFmtId="0" fontId="2" fillId="26" borderId="1" xfId="0" applyFont="1" applyFill="1" applyBorder="1" applyAlignment="1">
      <alignment horizontal="center"/>
    </xf>
    <xf numFmtId="0" fontId="0" fillId="10" borderId="1" xfId="0" applyFill="1" applyBorder="1" applyAlignment="1">
      <alignment horizontal="center" wrapText="1"/>
    </xf>
    <xf numFmtId="0" fontId="0" fillId="12" borderId="1" xfId="0" applyFill="1" applyBorder="1" applyAlignment="1">
      <alignment horizontal="center" wrapText="1"/>
    </xf>
    <xf numFmtId="0" fontId="0" fillId="0" borderId="0" xfId="0" applyAlignment="1">
      <alignment wrapText="1"/>
    </xf>
    <xf numFmtId="0" fontId="0" fillId="0" borderId="0" xfId="0" applyAlignment="1"/>
    <xf numFmtId="0" fontId="0" fillId="29" borderId="2" xfId="0" applyFill="1" applyBorder="1" applyAlignment="1">
      <alignment horizontal="center"/>
    </xf>
    <xf numFmtId="0" fontId="0" fillId="29" borderId="3" xfId="0" applyFill="1" applyBorder="1" applyAlignment="1">
      <alignment horizontal="center"/>
    </xf>
    <xf numFmtId="0" fontId="0" fillId="29" borderId="4" xfId="0" applyFill="1" applyBorder="1" applyAlignment="1">
      <alignment horizontal="center"/>
    </xf>
    <xf numFmtId="0" fontId="0" fillId="28" borderId="1" xfId="0" applyFill="1" applyBorder="1" applyAlignment="1">
      <alignment horizontal="center" wrapText="1"/>
    </xf>
    <xf numFmtId="0" fontId="0" fillId="28" borderId="1" xfId="0" applyFill="1" applyBorder="1" applyAlignment="1">
      <alignment horizontal="center"/>
    </xf>
    <xf numFmtId="0" fontId="3" fillId="21" borderId="1" xfId="0" applyFont="1" applyFill="1" applyBorder="1" applyAlignment="1">
      <alignment horizontal="left" wrapText="1"/>
    </xf>
    <xf numFmtId="0" fontId="3" fillId="25" borderId="1" xfId="0" applyFont="1" applyFill="1" applyBorder="1" applyAlignment="1">
      <alignment horizontal="left"/>
    </xf>
    <xf numFmtId="0" fontId="3" fillId="20" borderId="1" xfId="0" applyFont="1" applyFill="1" applyBorder="1" applyAlignment="1">
      <alignment horizontal="left"/>
    </xf>
    <xf numFmtId="0" fontId="0" fillId="20" borderId="1" xfId="0" applyFill="1" applyBorder="1" applyAlignment="1">
      <alignment horizontal="left" vertical="center" wrapText="1"/>
    </xf>
    <xf numFmtId="0" fontId="0" fillId="20" borderId="2" xfId="0" applyFill="1" applyBorder="1" applyAlignment="1">
      <alignment horizontal="left" wrapText="1"/>
    </xf>
    <xf numFmtId="0" fontId="0" fillId="20" borderId="3" xfId="0" applyFill="1" applyBorder="1" applyAlignment="1">
      <alignment horizontal="left" wrapText="1"/>
    </xf>
    <xf numFmtId="0" fontId="0" fillId="20" borderId="4" xfId="0" applyFill="1" applyBorder="1" applyAlignment="1">
      <alignment horizontal="left" wrapText="1"/>
    </xf>
    <xf numFmtId="0" fontId="0" fillId="20" borderId="5" xfId="0" applyFill="1" applyBorder="1" applyAlignment="1">
      <alignment horizontal="left" wrapText="1"/>
    </xf>
    <xf numFmtId="0" fontId="4" fillId="18" borderId="2" xfId="0" applyFont="1" applyFill="1" applyBorder="1" applyAlignment="1">
      <alignment horizontal="left" wrapText="1"/>
    </xf>
    <xf numFmtId="0" fontId="4" fillId="18" borderId="3" xfId="0" applyFont="1" applyFill="1" applyBorder="1" applyAlignment="1">
      <alignment horizontal="left" wrapText="1"/>
    </xf>
    <xf numFmtId="0" fontId="4" fillId="18" borderId="4" xfId="0" applyFont="1" applyFill="1" applyBorder="1" applyAlignment="1">
      <alignment horizontal="left" wrapText="1"/>
    </xf>
  </cellXfs>
  <cellStyles count="2">
    <cellStyle name="Hyperlink" xfId="1" builtinId="8"/>
    <cellStyle name="Normal" xfId="0" builtinId="0"/>
  </cellStyles>
  <dxfs count="261">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gray0625">
          <bgColor rgb="FFFFFF00"/>
        </patternFill>
      </fill>
    </dxf>
    <dxf>
      <fill>
        <patternFill>
          <bgColor rgb="FF92D050"/>
        </patternFill>
      </fill>
    </dxf>
    <dxf>
      <fill>
        <patternFill>
          <bgColor rgb="FFFF0000"/>
        </patternFill>
      </fill>
    </dxf>
    <dxf>
      <fill>
        <patternFill patternType="gray0625">
          <bgColor rgb="FFFFFF00"/>
        </patternFill>
      </fill>
    </dxf>
    <dxf>
      <fill>
        <patternFill>
          <bgColor rgb="FF92D050"/>
        </patternFill>
      </fill>
    </dxf>
    <dxf>
      <fill>
        <patternFill>
          <bgColor rgb="FFFF0000"/>
        </patternFill>
      </fill>
    </dxf>
    <dxf>
      <fill>
        <patternFill patternType="gray0625">
          <bgColor rgb="FFFFFF00"/>
        </patternFill>
      </fill>
    </dxf>
    <dxf>
      <fill>
        <patternFill>
          <bgColor rgb="FF92D050"/>
        </patternFill>
      </fill>
    </dxf>
    <dxf>
      <fill>
        <patternFill>
          <bgColor rgb="FFFF0000"/>
        </patternFill>
      </fill>
    </dxf>
    <dxf>
      <fill>
        <patternFill patternType="gray0625">
          <bgColor rgb="FFFFFF00"/>
        </patternFill>
      </fill>
    </dxf>
    <dxf>
      <fill>
        <patternFill>
          <bgColor rgb="FF92D050"/>
        </patternFill>
      </fill>
    </dxf>
    <dxf>
      <fill>
        <patternFill>
          <bgColor rgb="FFFF0000"/>
        </patternFill>
      </fill>
    </dxf>
    <dxf>
      <fill>
        <patternFill patternType="gray0625">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de.state.co.us/sites/default/files/Submitting%20Accreditation%20Categories%20and%20Requests%20to%20Reconsider_07-30-13.pdf" TargetMode="External"/><Relationship Id="rId1" Type="http://schemas.openxmlformats.org/officeDocument/2006/relationships/hyperlink" Target="http://www.cde.state.co.us/sites/default/files/Submitting%20Accreditation%20Categories%20and%20Requests%20to%20Reconsider_07-30-13.pd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cde.state.co.us/sites/default/files/Submitting%20Accreditation%20Categories%20and%20Requests%20to%20Reconsider_07-30-13.pdf" TargetMode="External"/><Relationship Id="rId1" Type="http://schemas.openxmlformats.org/officeDocument/2006/relationships/hyperlink" Target="../../../../../Temp_Lithopoulos_P/AppData/Local/Microsoft/Windows/Temporary%20Internet%20Files/AppData/Local/Microsoft/Windows/Temporary%20Internet%20Files/Content.Outlook/AppData/Local/Microsoft/Documents/R2Rs/(http:/sites.cde.state.co.us/sites/default/files/Submitting%20Accreditation%20Categories%20and%20Requests%20to%20Reconsider_07-30-13.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12"/>
  <sheetViews>
    <sheetView tabSelected="1" workbookViewId="0">
      <selection sqref="A1:O1"/>
    </sheetView>
  </sheetViews>
  <sheetFormatPr defaultRowHeight="15" x14ac:dyDescent="0.25"/>
  <sheetData>
    <row r="1" spans="1:15" ht="18.75" x14ac:dyDescent="0.3">
      <c r="A1" s="124" t="s">
        <v>151</v>
      </c>
      <c r="B1" s="124"/>
      <c r="C1" s="124"/>
      <c r="D1" s="124"/>
      <c r="E1" s="124"/>
      <c r="F1" s="124"/>
      <c r="G1" s="124"/>
      <c r="H1" s="124"/>
      <c r="I1" s="124"/>
      <c r="J1" s="124"/>
      <c r="K1" s="124"/>
      <c r="L1" s="124"/>
      <c r="M1" s="124"/>
      <c r="N1" s="124"/>
      <c r="O1" s="124"/>
    </row>
    <row r="2" spans="1:15" ht="151.5" customHeight="1" x14ac:dyDescent="0.25">
      <c r="A2" s="122" t="s">
        <v>199</v>
      </c>
      <c r="B2" s="122"/>
      <c r="C2" s="122"/>
      <c r="D2" s="122"/>
      <c r="E2" s="122"/>
      <c r="F2" s="122"/>
      <c r="G2" s="122"/>
      <c r="H2" s="122"/>
      <c r="I2" s="122"/>
      <c r="J2" s="122"/>
      <c r="K2" s="122"/>
      <c r="L2" s="122"/>
      <c r="M2" s="122"/>
      <c r="N2" s="122"/>
      <c r="O2" s="122"/>
    </row>
    <row r="3" spans="1:15" x14ac:dyDescent="0.25">
      <c r="A3" s="126" t="s">
        <v>188</v>
      </c>
      <c r="B3" s="126"/>
      <c r="C3" s="126"/>
      <c r="D3" s="126"/>
      <c r="E3" s="126"/>
      <c r="F3" s="126"/>
      <c r="G3" s="126"/>
      <c r="H3" s="126"/>
      <c r="I3" s="126"/>
      <c r="J3" s="126"/>
      <c r="K3" s="126"/>
      <c r="L3" s="126"/>
      <c r="M3" s="126"/>
      <c r="N3" s="126"/>
      <c r="O3" s="126"/>
    </row>
    <row r="4" spans="1:15" ht="18.75" x14ac:dyDescent="0.3">
      <c r="A4" s="125" t="s">
        <v>165</v>
      </c>
      <c r="B4" s="125"/>
      <c r="C4" s="125"/>
      <c r="D4" s="125"/>
      <c r="E4" s="125"/>
      <c r="F4" s="125"/>
      <c r="G4" s="125"/>
      <c r="H4" s="125"/>
      <c r="I4" s="125"/>
      <c r="J4" s="125"/>
      <c r="K4" s="125"/>
      <c r="L4" s="125"/>
      <c r="M4" s="125"/>
      <c r="N4" s="125"/>
      <c r="O4" s="125"/>
    </row>
    <row r="5" spans="1:15" x14ac:dyDescent="0.25">
      <c r="A5" s="122" t="s">
        <v>166</v>
      </c>
      <c r="B5" s="122"/>
      <c r="C5" s="122"/>
      <c r="D5" s="122"/>
      <c r="E5" s="122"/>
      <c r="F5" s="122"/>
      <c r="G5" s="122"/>
      <c r="H5" s="122"/>
      <c r="I5" s="122"/>
      <c r="J5" s="122"/>
      <c r="K5" s="122"/>
      <c r="L5" s="122"/>
      <c r="M5" s="122"/>
      <c r="N5" s="122"/>
      <c r="O5" s="122"/>
    </row>
    <row r="6" spans="1:15" ht="93.75" customHeight="1" x14ac:dyDescent="0.25">
      <c r="A6" s="122" t="s">
        <v>189</v>
      </c>
      <c r="B6" s="122"/>
      <c r="C6" s="122"/>
      <c r="D6" s="122"/>
      <c r="E6" s="122"/>
      <c r="F6" s="122"/>
      <c r="G6" s="122"/>
      <c r="H6" s="122"/>
      <c r="I6" s="122"/>
      <c r="J6" s="122"/>
      <c r="K6" s="122"/>
      <c r="L6" s="122"/>
      <c r="M6" s="122"/>
      <c r="N6" s="122"/>
      <c r="O6" s="122"/>
    </row>
    <row r="7" spans="1:15" ht="33" customHeight="1" x14ac:dyDescent="0.25">
      <c r="A7" s="122" t="s">
        <v>190</v>
      </c>
      <c r="B7" s="122"/>
      <c r="C7" s="122"/>
      <c r="D7" s="122"/>
      <c r="E7" s="122"/>
      <c r="F7" s="122"/>
      <c r="G7" s="122"/>
      <c r="H7" s="122"/>
      <c r="I7" s="122"/>
      <c r="J7" s="122"/>
      <c r="K7" s="122"/>
      <c r="L7" s="122"/>
      <c r="M7" s="122"/>
      <c r="N7" s="122"/>
      <c r="O7" s="122"/>
    </row>
    <row r="8" spans="1:15" ht="30.75" customHeight="1" x14ac:dyDescent="0.25">
      <c r="A8" s="122" t="s">
        <v>191</v>
      </c>
      <c r="B8" s="122"/>
      <c r="C8" s="122"/>
      <c r="D8" s="122"/>
      <c r="E8" s="122"/>
      <c r="F8" s="122"/>
      <c r="G8" s="122"/>
      <c r="H8" s="122"/>
      <c r="I8" s="122"/>
      <c r="J8" s="122"/>
      <c r="K8" s="122"/>
      <c r="L8" s="122"/>
      <c r="M8" s="122"/>
      <c r="N8" s="122"/>
      <c r="O8" s="122"/>
    </row>
    <row r="9" spans="1:15" ht="109.5" customHeight="1" x14ac:dyDescent="0.25">
      <c r="A9" s="122" t="s">
        <v>192</v>
      </c>
      <c r="B9" s="122"/>
      <c r="C9" s="122"/>
      <c r="D9" s="122"/>
      <c r="E9" s="122"/>
      <c r="F9" s="122"/>
      <c r="G9" s="122"/>
      <c r="H9" s="122"/>
      <c r="I9" s="122"/>
      <c r="J9" s="122"/>
      <c r="K9" s="122"/>
      <c r="L9" s="122"/>
      <c r="M9" s="122"/>
      <c r="N9" s="122"/>
      <c r="O9" s="122"/>
    </row>
    <row r="10" spans="1:15" ht="93" customHeight="1" x14ac:dyDescent="0.25">
      <c r="A10" s="122" t="s">
        <v>196</v>
      </c>
      <c r="B10" s="122"/>
      <c r="C10" s="122"/>
      <c r="D10" s="122"/>
      <c r="E10" s="122"/>
      <c r="F10" s="122"/>
      <c r="G10" s="122"/>
      <c r="H10" s="122"/>
      <c r="I10" s="122"/>
      <c r="J10" s="122"/>
      <c r="K10" s="122"/>
      <c r="L10" s="122"/>
      <c r="M10" s="122"/>
      <c r="N10" s="122"/>
      <c r="O10" s="122"/>
    </row>
    <row r="11" spans="1:15" ht="79.5" customHeight="1" x14ac:dyDescent="0.25">
      <c r="A11" s="122" t="s">
        <v>197</v>
      </c>
      <c r="B11" s="122"/>
      <c r="C11" s="122"/>
      <c r="D11" s="122"/>
      <c r="E11" s="122"/>
      <c r="F11" s="122"/>
      <c r="G11" s="122"/>
      <c r="H11" s="122"/>
      <c r="I11" s="122"/>
      <c r="J11" s="122"/>
      <c r="K11" s="122"/>
      <c r="L11" s="122"/>
      <c r="M11" s="122"/>
      <c r="N11" s="122"/>
      <c r="O11" s="122"/>
    </row>
    <row r="12" spans="1:15" ht="137.25" customHeight="1" x14ac:dyDescent="0.25">
      <c r="A12" s="122" t="s">
        <v>198</v>
      </c>
      <c r="B12" s="123"/>
      <c r="C12" s="123"/>
      <c r="D12" s="123"/>
      <c r="E12" s="123"/>
      <c r="F12" s="123"/>
      <c r="G12" s="123"/>
      <c r="H12" s="123"/>
      <c r="I12" s="123"/>
      <c r="J12" s="123"/>
      <c r="K12" s="123"/>
      <c r="L12" s="123"/>
      <c r="M12" s="123"/>
      <c r="N12" s="123"/>
      <c r="O12" s="123"/>
    </row>
  </sheetData>
  <mergeCells count="12">
    <mergeCell ref="A12:O12"/>
    <mergeCell ref="A1:O1"/>
    <mergeCell ref="A4:O4"/>
    <mergeCell ref="A11:O11"/>
    <mergeCell ref="A10:O10"/>
    <mergeCell ref="A2:O2"/>
    <mergeCell ref="A3:O3"/>
    <mergeCell ref="A9:O9"/>
    <mergeCell ref="A8:O8"/>
    <mergeCell ref="A7:O7"/>
    <mergeCell ref="A6:O6"/>
    <mergeCell ref="A5:O5"/>
  </mergeCells>
  <hyperlinks>
    <hyperlink ref="A3" r:id="rId1" display="For full instruction on how to submit a Request for Reconsideration, please go here: "/>
    <hyperlink ref="A3:O3" r:id="rId2" display="Click here for full instruction on how to submit a Request for Reconsideration."/>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0"/>
  <sheetViews>
    <sheetView workbookViewId="0">
      <selection activeCell="A2" sqref="A2:O2"/>
    </sheetView>
  </sheetViews>
  <sheetFormatPr defaultRowHeight="15" x14ac:dyDescent="0.25"/>
  <cols>
    <col min="16" max="16" width="28" customWidth="1"/>
  </cols>
  <sheetData>
    <row r="1" spans="1:16" ht="18.75" x14ac:dyDescent="0.3">
      <c r="A1" s="131" t="s">
        <v>170</v>
      </c>
      <c r="B1" s="132"/>
      <c r="C1" s="132"/>
      <c r="D1" s="132"/>
      <c r="E1" s="132"/>
      <c r="F1" s="132"/>
      <c r="G1" s="132"/>
      <c r="H1" s="132"/>
      <c r="I1" s="132"/>
      <c r="J1" s="132"/>
      <c r="K1" s="132"/>
      <c r="L1" s="132"/>
      <c r="M1" s="132"/>
      <c r="N1" s="132"/>
      <c r="O1" s="133"/>
    </row>
    <row r="2" spans="1:16" ht="151.5" customHeight="1" x14ac:dyDescent="0.25">
      <c r="A2" s="127" t="s">
        <v>172</v>
      </c>
      <c r="B2" s="127"/>
      <c r="C2" s="127"/>
      <c r="D2" s="127"/>
      <c r="E2" s="127"/>
      <c r="F2" s="127"/>
      <c r="G2" s="127"/>
      <c r="H2" s="127"/>
      <c r="I2" s="127"/>
      <c r="J2" s="127"/>
      <c r="K2" s="127"/>
      <c r="L2" s="127"/>
      <c r="M2" s="127"/>
      <c r="N2" s="127"/>
      <c r="O2" s="127"/>
      <c r="P2" s="45"/>
    </row>
    <row r="3" spans="1:16" x14ac:dyDescent="0.25">
      <c r="A3" s="134" t="s">
        <v>171</v>
      </c>
      <c r="B3" s="135"/>
      <c r="C3" s="135"/>
      <c r="D3" s="135"/>
      <c r="E3" s="135"/>
      <c r="F3" s="135"/>
      <c r="G3" s="135"/>
      <c r="H3" s="135"/>
      <c r="I3" s="135"/>
      <c r="J3" s="135"/>
      <c r="K3" s="135"/>
      <c r="L3" s="135"/>
      <c r="M3" s="135"/>
      <c r="N3" s="135"/>
      <c r="O3" s="136"/>
      <c r="P3" s="45"/>
    </row>
    <row r="4" spans="1:16" x14ac:dyDescent="0.25">
      <c r="A4" s="128" t="s">
        <v>149</v>
      </c>
      <c r="B4" s="129"/>
      <c r="C4" s="129"/>
      <c r="D4" s="129"/>
      <c r="E4" s="129"/>
      <c r="F4" s="129"/>
      <c r="G4" s="129"/>
      <c r="H4" s="130"/>
      <c r="I4" s="130"/>
      <c r="J4" s="130"/>
      <c r="K4" s="130"/>
      <c r="L4" s="130"/>
      <c r="M4" s="130"/>
      <c r="N4" s="130"/>
      <c r="O4" s="130"/>
    </row>
    <row r="5" spans="1:16" x14ac:dyDescent="0.25">
      <c r="A5" s="130"/>
      <c r="B5" s="130"/>
      <c r="C5" s="130"/>
      <c r="D5" s="130"/>
      <c r="E5" s="130"/>
      <c r="F5" s="130"/>
      <c r="G5" s="130"/>
      <c r="H5" s="130"/>
      <c r="I5" s="130"/>
      <c r="J5" s="130"/>
      <c r="K5" s="130"/>
      <c r="L5" s="130"/>
      <c r="M5" s="130"/>
      <c r="N5" s="130"/>
      <c r="O5" s="130"/>
    </row>
    <row r="6" spans="1:16" x14ac:dyDescent="0.25">
      <c r="A6" s="130"/>
      <c r="B6" s="130"/>
      <c r="C6" s="130"/>
      <c r="D6" s="130"/>
      <c r="E6" s="130"/>
      <c r="F6" s="130"/>
      <c r="G6" s="130"/>
      <c r="H6" s="130"/>
      <c r="I6" s="130"/>
      <c r="J6" s="130"/>
      <c r="K6" s="130"/>
      <c r="L6" s="130"/>
      <c r="M6" s="130"/>
      <c r="N6" s="130"/>
      <c r="O6" s="130"/>
    </row>
    <row r="7" spans="1:16" x14ac:dyDescent="0.25">
      <c r="A7" s="130"/>
      <c r="B7" s="130"/>
      <c r="C7" s="130"/>
      <c r="D7" s="130"/>
      <c r="E7" s="130"/>
      <c r="F7" s="130"/>
      <c r="G7" s="130"/>
      <c r="H7" s="130"/>
      <c r="I7" s="130"/>
      <c r="J7" s="130"/>
      <c r="K7" s="130"/>
      <c r="L7" s="130"/>
      <c r="M7" s="130"/>
      <c r="N7" s="130"/>
      <c r="O7" s="130"/>
    </row>
    <row r="8" spans="1:16" x14ac:dyDescent="0.25">
      <c r="A8" s="130"/>
      <c r="B8" s="130"/>
      <c r="C8" s="130"/>
      <c r="D8" s="130"/>
      <c r="E8" s="130"/>
      <c r="F8" s="130"/>
      <c r="G8" s="130"/>
      <c r="H8" s="130"/>
      <c r="I8" s="130"/>
      <c r="J8" s="130"/>
      <c r="K8" s="130"/>
      <c r="L8" s="130"/>
      <c r="M8" s="130"/>
      <c r="N8" s="130"/>
      <c r="O8" s="130"/>
    </row>
    <row r="9" spans="1:16" x14ac:dyDescent="0.25">
      <c r="A9" s="130"/>
      <c r="B9" s="130"/>
      <c r="C9" s="130"/>
      <c r="D9" s="130"/>
      <c r="E9" s="130"/>
      <c r="F9" s="130"/>
      <c r="G9" s="130"/>
      <c r="H9" s="130"/>
      <c r="I9" s="130"/>
      <c r="J9" s="130"/>
      <c r="K9" s="130"/>
      <c r="L9" s="130"/>
      <c r="M9" s="130"/>
      <c r="N9" s="130"/>
      <c r="O9" s="130"/>
    </row>
    <row r="10" spans="1:16" x14ac:dyDescent="0.25">
      <c r="A10" s="130"/>
      <c r="B10" s="130"/>
      <c r="C10" s="130"/>
      <c r="D10" s="130"/>
      <c r="E10" s="130"/>
      <c r="F10" s="130"/>
      <c r="G10" s="130"/>
      <c r="H10" s="130"/>
      <c r="I10" s="130"/>
      <c r="J10" s="130"/>
      <c r="K10" s="130"/>
      <c r="L10" s="130"/>
      <c r="M10" s="130"/>
      <c r="N10" s="130"/>
      <c r="O10" s="130"/>
    </row>
    <row r="11" spans="1:16" x14ac:dyDescent="0.25">
      <c r="A11" s="130"/>
      <c r="B11" s="130"/>
      <c r="C11" s="130"/>
      <c r="D11" s="130"/>
      <c r="E11" s="130"/>
      <c r="F11" s="130"/>
      <c r="G11" s="130"/>
      <c r="H11" s="130"/>
      <c r="I11" s="130"/>
      <c r="J11" s="130"/>
      <c r="K11" s="130"/>
      <c r="L11" s="130"/>
      <c r="M11" s="130"/>
      <c r="N11" s="130"/>
      <c r="O11" s="130"/>
    </row>
    <row r="12" spans="1:16" x14ac:dyDescent="0.25">
      <c r="A12" s="130"/>
      <c r="B12" s="130"/>
      <c r="C12" s="130"/>
      <c r="D12" s="130"/>
      <c r="E12" s="130"/>
      <c r="F12" s="130"/>
      <c r="G12" s="130"/>
      <c r="H12" s="130"/>
      <c r="I12" s="130"/>
      <c r="J12" s="130"/>
      <c r="K12" s="130"/>
      <c r="L12" s="130"/>
      <c r="M12" s="130"/>
      <c r="N12" s="130"/>
      <c r="O12" s="130"/>
    </row>
    <row r="13" spans="1:16" x14ac:dyDescent="0.25">
      <c r="A13" s="130"/>
      <c r="B13" s="130"/>
      <c r="C13" s="130"/>
      <c r="D13" s="130"/>
      <c r="E13" s="130"/>
      <c r="F13" s="130"/>
      <c r="G13" s="130"/>
      <c r="H13" s="130"/>
      <c r="I13" s="130"/>
      <c r="J13" s="130"/>
      <c r="K13" s="130"/>
      <c r="L13" s="130"/>
      <c r="M13" s="130"/>
      <c r="N13" s="130"/>
      <c r="O13" s="130"/>
    </row>
    <row r="14" spans="1:16" x14ac:dyDescent="0.25">
      <c r="A14" s="130"/>
      <c r="B14" s="130"/>
      <c r="C14" s="130"/>
      <c r="D14" s="130"/>
      <c r="E14" s="130"/>
      <c r="F14" s="130"/>
      <c r="G14" s="130"/>
      <c r="H14" s="130"/>
      <c r="I14" s="130"/>
      <c r="J14" s="130"/>
      <c r="K14" s="130"/>
      <c r="L14" s="130"/>
      <c r="M14" s="130"/>
      <c r="N14" s="130"/>
      <c r="O14" s="130"/>
    </row>
    <row r="15" spans="1:16" x14ac:dyDescent="0.25">
      <c r="A15" s="130"/>
      <c r="B15" s="130"/>
      <c r="C15" s="130"/>
      <c r="D15" s="130"/>
      <c r="E15" s="130"/>
      <c r="F15" s="130"/>
      <c r="G15" s="130"/>
      <c r="H15" s="130"/>
      <c r="I15" s="130"/>
      <c r="J15" s="130"/>
      <c r="K15" s="130"/>
      <c r="L15" s="130"/>
      <c r="M15" s="130"/>
      <c r="N15" s="130"/>
      <c r="O15" s="130"/>
    </row>
    <row r="16" spans="1:16" x14ac:dyDescent="0.25">
      <c r="A16" s="130"/>
      <c r="B16" s="130"/>
      <c r="C16" s="130"/>
      <c r="D16" s="130"/>
      <c r="E16" s="130"/>
      <c r="F16" s="130"/>
      <c r="G16" s="130"/>
      <c r="H16" s="130"/>
      <c r="I16" s="130"/>
      <c r="J16" s="130"/>
      <c r="K16" s="130"/>
      <c r="L16" s="130"/>
      <c r="M16" s="130"/>
      <c r="N16" s="130"/>
      <c r="O16" s="130"/>
    </row>
    <row r="17" spans="1:15" x14ac:dyDescent="0.25">
      <c r="A17" s="130"/>
      <c r="B17" s="130"/>
      <c r="C17" s="130"/>
      <c r="D17" s="130"/>
      <c r="E17" s="130"/>
      <c r="F17" s="130"/>
      <c r="G17" s="130"/>
      <c r="H17" s="130"/>
      <c r="I17" s="130"/>
      <c r="J17" s="130"/>
      <c r="K17" s="130"/>
      <c r="L17" s="130"/>
      <c r="M17" s="130"/>
      <c r="N17" s="130"/>
      <c r="O17" s="130"/>
    </row>
    <row r="18" spans="1:15" x14ac:dyDescent="0.25">
      <c r="A18" s="130"/>
      <c r="B18" s="130"/>
      <c r="C18" s="130"/>
      <c r="D18" s="130"/>
      <c r="E18" s="130"/>
      <c r="F18" s="130"/>
      <c r="G18" s="130"/>
      <c r="H18" s="130"/>
      <c r="I18" s="130"/>
      <c r="J18" s="130"/>
      <c r="K18" s="130"/>
      <c r="L18" s="130"/>
      <c r="M18" s="130"/>
      <c r="N18" s="130"/>
      <c r="O18" s="130"/>
    </row>
    <row r="19" spans="1:15" x14ac:dyDescent="0.25">
      <c r="A19" s="130"/>
      <c r="B19" s="130"/>
      <c r="C19" s="130"/>
      <c r="D19" s="130"/>
      <c r="E19" s="130"/>
      <c r="F19" s="130"/>
      <c r="G19" s="130"/>
      <c r="H19" s="130"/>
      <c r="I19" s="130"/>
      <c r="J19" s="130"/>
      <c r="K19" s="130"/>
      <c r="L19" s="130"/>
      <c r="M19" s="130"/>
      <c r="N19" s="130"/>
      <c r="O19" s="130"/>
    </row>
    <row r="20" spans="1:15" x14ac:dyDescent="0.25">
      <c r="A20" s="130"/>
      <c r="B20" s="130"/>
      <c r="C20" s="130"/>
      <c r="D20" s="130"/>
      <c r="E20" s="130"/>
      <c r="F20" s="130"/>
      <c r="G20" s="130"/>
      <c r="H20" s="130"/>
      <c r="I20" s="130"/>
      <c r="J20" s="130"/>
      <c r="K20" s="130"/>
      <c r="L20" s="130"/>
      <c r="M20" s="130"/>
      <c r="N20" s="130"/>
      <c r="O20" s="130"/>
    </row>
    <row r="21" spans="1:15" x14ac:dyDescent="0.25">
      <c r="A21" s="130"/>
      <c r="B21" s="130"/>
      <c r="C21" s="130"/>
      <c r="D21" s="130"/>
      <c r="E21" s="130"/>
      <c r="F21" s="130"/>
      <c r="G21" s="130"/>
      <c r="H21" s="130"/>
      <c r="I21" s="130"/>
      <c r="J21" s="130"/>
      <c r="K21" s="130"/>
      <c r="L21" s="130"/>
      <c r="M21" s="130"/>
      <c r="N21" s="130"/>
      <c r="O21" s="130"/>
    </row>
    <row r="22" spans="1:15" x14ac:dyDescent="0.25">
      <c r="A22" s="130"/>
      <c r="B22" s="130"/>
      <c r="C22" s="130"/>
      <c r="D22" s="130"/>
      <c r="E22" s="130"/>
      <c r="F22" s="130"/>
      <c r="G22" s="130"/>
      <c r="H22" s="130"/>
      <c r="I22" s="130"/>
      <c r="J22" s="130"/>
      <c r="K22" s="130"/>
      <c r="L22" s="130"/>
      <c r="M22" s="130"/>
      <c r="N22" s="130"/>
      <c r="O22" s="130"/>
    </row>
    <row r="23" spans="1:15" x14ac:dyDescent="0.25">
      <c r="A23" s="130"/>
      <c r="B23" s="130"/>
      <c r="C23" s="130"/>
      <c r="D23" s="130"/>
      <c r="E23" s="130"/>
      <c r="F23" s="130"/>
      <c r="G23" s="130"/>
      <c r="H23" s="130"/>
      <c r="I23" s="130"/>
      <c r="J23" s="130"/>
      <c r="K23" s="130"/>
      <c r="L23" s="130"/>
      <c r="M23" s="130"/>
      <c r="N23" s="130"/>
      <c r="O23" s="130"/>
    </row>
    <row r="24" spans="1:15" x14ac:dyDescent="0.25">
      <c r="A24" s="130"/>
      <c r="B24" s="130"/>
      <c r="C24" s="130"/>
      <c r="D24" s="130"/>
      <c r="E24" s="130"/>
      <c r="F24" s="130"/>
      <c r="G24" s="130"/>
      <c r="H24" s="130"/>
      <c r="I24" s="130"/>
      <c r="J24" s="130"/>
      <c r="K24" s="130"/>
      <c r="L24" s="130"/>
      <c r="M24" s="130"/>
      <c r="N24" s="130"/>
      <c r="O24" s="130"/>
    </row>
    <row r="25" spans="1:15" x14ac:dyDescent="0.25">
      <c r="A25" s="130"/>
      <c r="B25" s="130"/>
      <c r="C25" s="130"/>
      <c r="D25" s="130"/>
      <c r="E25" s="130"/>
      <c r="F25" s="130"/>
      <c r="G25" s="130"/>
      <c r="H25" s="130"/>
      <c r="I25" s="130"/>
      <c r="J25" s="130"/>
      <c r="K25" s="130"/>
      <c r="L25" s="130"/>
      <c r="M25" s="130"/>
      <c r="N25" s="130"/>
      <c r="O25" s="130"/>
    </row>
    <row r="26" spans="1:15" x14ac:dyDescent="0.25">
      <c r="A26" s="130"/>
      <c r="B26" s="130"/>
      <c r="C26" s="130"/>
      <c r="D26" s="130"/>
      <c r="E26" s="130"/>
      <c r="F26" s="130"/>
      <c r="G26" s="130"/>
      <c r="H26" s="130"/>
      <c r="I26" s="130"/>
      <c r="J26" s="130"/>
      <c r="K26" s="130"/>
      <c r="L26" s="130"/>
      <c r="M26" s="130"/>
      <c r="N26" s="130"/>
      <c r="O26" s="130"/>
    </row>
    <row r="27" spans="1:15" x14ac:dyDescent="0.25">
      <c r="A27" s="130"/>
      <c r="B27" s="130"/>
      <c r="C27" s="130"/>
      <c r="D27" s="130"/>
      <c r="E27" s="130"/>
      <c r="F27" s="130"/>
      <c r="G27" s="130"/>
      <c r="H27" s="130"/>
      <c r="I27" s="130"/>
      <c r="J27" s="130"/>
      <c r="K27" s="130"/>
      <c r="L27" s="130"/>
      <c r="M27" s="130"/>
      <c r="N27" s="130"/>
      <c r="O27" s="130"/>
    </row>
    <row r="28" spans="1:15" x14ac:dyDescent="0.25">
      <c r="A28" s="130"/>
      <c r="B28" s="130"/>
      <c r="C28" s="130"/>
      <c r="D28" s="130"/>
      <c r="E28" s="130"/>
      <c r="F28" s="130"/>
      <c r="G28" s="130"/>
      <c r="H28" s="130"/>
      <c r="I28" s="130"/>
      <c r="J28" s="130"/>
      <c r="K28" s="130"/>
      <c r="L28" s="130"/>
      <c r="M28" s="130"/>
      <c r="N28" s="130"/>
      <c r="O28" s="130"/>
    </row>
    <row r="29" spans="1:15" x14ac:dyDescent="0.25">
      <c r="A29" s="130"/>
      <c r="B29" s="130"/>
      <c r="C29" s="130"/>
      <c r="D29" s="130"/>
      <c r="E29" s="130"/>
      <c r="F29" s="130"/>
      <c r="G29" s="130"/>
      <c r="H29" s="130"/>
      <c r="I29" s="130"/>
      <c r="J29" s="130"/>
      <c r="K29" s="130"/>
      <c r="L29" s="130"/>
      <c r="M29" s="130"/>
      <c r="N29" s="130"/>
      <c r="O29" s="130"/>
    </row>
    <row r="30" spans="1:15" x14ac:dyDescent="0.25">
      <c r="A30" s="130"/>
      <c r="B30" s="130"/>
      <c r="C30" s="130"/>
      <c r="D30" s="130"/>
      <c r="E30" s="130"/>
      <c r="F30" s="130"/>
      <c r="G30" s="130"/>
      <c r="H30" s="130"/>
      <c r="I30" s="130"/>
      <c r="J30" s="130"/>
      <c r="K30" s="130"/>
      <c r="L30" s="130"/>
      <c r="M30" s="130"/>
      <c r="N30" s="130"/>
      <c r="O30" s="130"/>
    </row>
  </sheetData>
  <mergeCells count="4">
    <mergeCell ref="A2:O2"/>
    <mergeCell ref="A4:O30"/>
    <mergeCell ref="A1:O1"/>
    <mergeCell ref="A3:O3"/>
  </mergeCells>
  <hyperlinks>
    <hyperlink ref="A3" r:id="rId1" display="School Accreditation and Request to Reconsider Guidance"/>
    <hyperlink ref="A3:O3" r:id="rId2" display="For more information please go here: School Accreditation and Request to Reconsider Guidance"/>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S49"/>
  <sheetViews>
    <sheetView zoomScale="90" zoomScaleNormal="90" workbookViewId="0"/>
  </sheetViews>
  <sheetFormatPr defaultRowHeight="15" x14ac:dyDescent="0.25"/>
  <cols>
    <col min="1" max="1" width="11.7109375" customWidth="1"/>
    <col min="2" max="36" width="11.85546875" customWidth="1"/>
    <col min="37" max="82" width="9.140625" customWidth="1"/>
    <col min="84" max="84" width="11" hidden="1" customWidth="1"/>
    <col min="85" max="85" width="13.7109375" hidden="1" customWidth="1"/>
    <col min="86" max="86" width="11" hidden="1" customWidth="1"/>
    <col min="87" max="87" width="13.7109375" hidden="1" customWidth="1"/>
    <col min="88" max="88" width="11" hidden="1" customWidth="1"/>
    <col min="89" max="89" width="13.7109375" hidden="1" customWidth="1"/>
    <col min="90" max="90" width="11" hidden="1" customWidth="1"/>
    <col min="91" max="91" width="13.7109375" hidden="1" customWidth="1"/>
    <col min="92" max="92" width="11" hidden="1" customWidth="1"/>
    <col min="93" max="93" width="13.7109375" hidden="1" customWidth="1"/>
    <col min="94" max="94" width="11" hidden="1" customWidth="1"/>
    <col min="95" max="95" width="13.7109375" hidden="1" customWidth="1"/>
    <col min="96" max="96" width="11" hidden="1" customWidth="1"/>
    <col min="97" max="97" width="13.7109375" hidden="1" customWidth="1"/>
    <col min="98" max="98" width="11" hidden="1" customWidth="1"/>
    <col min="99" max="99" width="13.7109375" hidden="1" customWidth="1"/>
    <col min="100" max="100" width="11" hidden="1" customWidth="1"/>
    <col min="101" max="101" width="13.7109375" hidden="1" customWidth="1"/>
    <col min="102" max="102" width="11" hidden="1" customWidth="1"/>
    <col min="103" max="103" width="13.7109375" hidden="1" customWidth="1"/>
    <col min="104" max="104" width="11" hidden="1" customWidth="1"/>
    <col min="105" max="105" width="13.7109375" hidden="1" customWidth="1"/>
    <col min="106" max="106" width="11" style="18" hidden="1" customWidth="1"/>
    <col min="107" max="107" width="13.7109375" style="18" hidden="1" customWidth="1"/>
    <col min="108" max="108" width="11" style="18" hidden="1" customWidth="1"/>
    <col min="109" max="109" width="13.7109375" style="18" hidden="1" customWidth="1"/>
    <col min="110" max="110" width="11" hidden="1" customWidth="1"/>
    <col min="111" max="111" width="13.7109375" hidden="1" customWidth="1"/>
    <col min="112" max="112" width="11" hidden="1" customWidth="1"/>
    <col min="113" max="113" width="13.7109375" hidden="1" customWidth="1"/>
    <col min="114" max="114" width="11" hidden="1" customWidth="1"/>
    <col min="115" max="115" width="13.7109375" hidden="1" customWidth="1"/>
    <col min="116" max="116" width="11" hidden="1" customWidth="1"/>
    <col min="117" max="117" width="13.7109375" hidden="1" customWidth="1"/>
    <col min="118" max="118" width="11" hidden="1" customWidth="1"/>
    <col min="119" max="119" width="13.7109375" hidden="1" customWidth="1"/>
    <col min="120" max="120" width="11" hidden="1" customWidth="1"/>
    <col min="121" max="121" width="13.7109375" hidden="1" customWidth="1"/>
    <col min="122" max="122" width="11" hidden="1" customWidth="1"/>
    <col min="123" max="123" width="13.7109375" hidden="1" customWidth="1"/>
    <col min="124" max="124" width="11" hidden="1" customWidth="1"/>
    <col min="125" max="125" width="13.7109375" hidden="1" customWidth="1"/>
    <col min="126" max="126" width="11" hidden="1" customWidth="1"/>
    <col min="127" max="127" width="13.7109375" hidden="1" customWidth="1"/>
    <col min="128" max="128" width="11" hidden="1" customWidth="1"/>
    <col min="129" max="129" width="13.7109375" hidden="1" customWidth="1"/>
    <col min="130" max="130" width="11" hidden="1" customWidth="1"/>
    <col min="131" max="131" width="13.7109375" hidden="1" customWidth="1"/>
    <col min="132" max="132" width="11" hidden="1" customWidth="1"/>
    <col min="133" max="133" width="13.7109375" hidden="1" customWidth="1"/>
    <col min="134" max="134" width="11" hidden="1" customWidth="1"/>
    <col min="135" max="135" width="13.7109375" hidden="1" customWidth="1"/>
    <col min="136" max="136" width="11" hidden="1" customWidth="1"/>
    <col min="137" max="137" width="13.7109375" hidden="1" customWidth="1"/>
    <col min="138" max="138" width="11" hidden="1" customWidth="1"/>
    <col min="139" max="139" width="13.7109375" hidden="1" customWidth="1"/>
    <col min="140" max="140" width="11" hidden="1" customWidth="1"/>
    <col min="141" max="141" width="13.7109375" hidden="1" customWidth="1"/>
    <col min="142" max="142" width="11" hidden="1" customWidth="1"/>
    <col min="143" max="143" width="13.7109375" hidden="1" customWidth="1"/>
    <col min="144" max="144" width="11" hidden="1" customWidth="1"/>
    <col min="145" max="145" width="13.7109375" hidden="1" customWidth="1"/>
    <col min="146" max="146" width="11" hidden="1" customWidth="1"/>
    <col min="147" max="147" width="13.7109375" hidden="1" customWidth="1"/>
    <col min="148" max="148" width="11" hidden="1" customWidth="1"/>
    <col min="149" max="149" width="13.7109375" hidden="1" customWidth="1"/>
  </cols>
  <sheetData>
    <row r="1" spans="1:149" ht="30" x14ac:dyDescent="0.3">
      <c r="A1" s="119" t="s">
        <v>85</v>
      </c>
      <c r="B1" s="153" t="s">
        <v>91</v>
      </c>
      <c r="C1" s="153"/>
      <c r="D1" s="153"/>
      <c r="E1" s="153"/>
      <c r="F1" s="153"/>
      <c r="G1" s="153"/>
      <c r="H1" s="153"/>
      <c r="I1" s="153"/>
      <c r="J1" s="153"/>
      <c r="K1" s="153"/>
      <c r="L1" s="153"/>
      <c r="M1" s="153"/>
      <c r="N1" s="153"/>
      <c r="O1" s="153"/>
      <c r="P1" s="153"/>
      <c r="Q1" s="153"/>
      <c r="R1" s="153"/>
      <c r="S1" s="153"/>
      <c r="T1" s="153"/>
      <c r="CF1" s="159" t="s">
        <v>57</v>
      </c>
      <c r="CG1" s="159"/>
      <c r="CH1" s="159"/>
      <c r="CI1" s="159"/>
      <c r="CJ1" s="159"/>
      <c r="CK1" s="159"/>
      <c r="CL1" s="159"/>
      <c r="CM1" s="159"/>
      <c r="CN1" s="159"/>
      <c r="CO1" s="159"/>
      <c r="CP1" s="159"/>
      <c r="CQ1" s="159"/>
      <c r="CR1" s="159"/>
      <c r="CS1" s="159"/>
      <c r="CT1" s="159"/>
      <c r="CU1" s="159"/>
      <c r="CV1" s="159"/>
      <c r="CW1" s="159"/>
      <c r="CX1" s="159"/>
      <c r="CY1" s="159"/>
      <c r="CZ1" s="159"/>
      <c r="DA1" s="159"/>
      <c r="DB1" s="159" t="s">
        <v>58</v>
      </c>
      <c r="DC1" s="159"/>
      <c r="DD1" s="159"/>
      <c r="DE1" s="159"/>
      <c r="DF1" s="159"/>
      <c r="DG1" s="159"/>
      <c r="DH1" s="159"/>
      <c r="DI1" s="159"/>
      <c r="DJ1" s="159"/>
      <c r="DK1" s="159"/>
      <c r="DL1" s="159"/>
      <c r="DM1" s="159"/>
      <c r="DN1" s="159"/>
      <c r="DO1" s="159"/>
      <c r="DP1" s="159"/>
      <c r="DQ1" s="159"/>
      <c r="DR1" s="159"/>
      <c r="DS1" s="159"/>
      <c r="DT1" s="159"/>
      <c r="DU1" s="159"/>
      <c r="DV1" s="159"/>
      <c r="DW1" s="159"/>
      <c r="DX1" s="159" t="s">
        <v>59</v>
      </c>
      <c r="DY1" s="159"/>
      <c r="DZ1" s="159"/>
      <c r="EA1" s="159"/>
      <c r="EB1" s="159"/>
      <c r="EC1" s="159"/>
      <c r="ED1" s="159"/>
      <c r="EE1" s="159"/>
      <c r="EF1" s="159"/>
      <c r="EG1" s="159"/>
      <c r="EH1" s="159"/>
      <c r="EI1" s="159"/>
      <c r="EJ1" s="159"/>
      <c r="EK1" s="159"/>
      <c r="EL1" s="159"/>
      <c r="EM1" s="159"/>
      <c r="EN1" s="159"/>
      <c r="EO1" s="159"/>
      <c r="EP1" s="159"/>
      <c r="EQ1" s="159"/>
      <c r="ER1" s="159"/>
      <c r="ES1" s="159"/>
    </row>
    <row r="2" spans="1:149" ht="18.75" x14ac:dyDescent="0.3">
      <c r="A2" s="119" t="s">
        <v>86</v>
      </c>
      <c r="B2" s="153" t="s">
        <v>80</v>
      </c>
      <c r="C2" s="153"/>
      <c r="D2" s="153"/>
      <c r="E2" s="153"/>
      <c r="F2" s="153"/>
      <c r="G2" s="153"/>
      <c r="H2" s="153"/>
      <c r="I2" s="153"/>
      <c r="J2" s="153"/>
      <c r="K2" s="153"/>
      <c r="L2" s="153"/>
      <c r="M2" s="153"/>
      <c r="N2" s="153"/>
      <c r="O2" s="153"/>
      <c r="P2" s="153"/>
      <c r="Q2" s="153"/>
      <c r="R2" s="153"/>
      <c r="S2" s="153"/>
      <c r="T2" s="153"/>
      <c r="CF2" s="146" t="s">
        <v>44</v>
      </c>
      <c r="CG2" s="146"/>
      <c r="CH2" s="146" t="s">
        <v>47</v>
      </c>
      <c r="CI2" s="146"/>
      <c r="CJ2" s="146" t="s">
        <v>48</v>
      </c>
      <c r="CK2" s="146"/>
      <c r="CL2" s="146" t="s">
        <v>49</v>
      </c>
      <c r="CM2" s="146"/>
      <c r="CN2" s="146" t="s">
        <v>50</v>
      </c>
      <c r="CO2" s="146"/>
      <c r="CP2" s="146" t="s">
        <v>51</v>
      </c>
      <c r="CQ2" s="146"/>
      <c r="CR2" s="146" t="s">
        <v>52</v>
      </c>
      <c r="CS2" s="146"/>
      <c r="CT2" s="146" t="s">
        <v>53</v>
      </c>
      <c r="CU2" s="146"/>
      <c r="CV2" s="146" t="s">
        <v>54</v>
      </c>
      <c r="CW2" s="146"/>
      <c r="CX2" s="146" t="s">
        <v>55</v>
      </c>
      <c r="CY2" s="146"/>
      <c r="CZ2" s="146" t="s">
        <v>56</v>
      </c>
      <c r="DA2" s="146"/>
      <c r="DB2" s="160" t="s">
        <v>44</v>
      </c>
      <c r="DC2" s="160"/>
      <c r="DD2" s="160" t="s">
        <v>47</v>
      </c>
      <c r="DE2" s="160"/>
      <c r="DF2" s="146" t="s">
        <v>48</v>
      </c>
      <c r="DG2" s="146"/>
      <c r="DH2" s="146" t="s">
        <v>49</v>
      </c>
      <c r="DI2" s="146"/>
      <c r="DJ2" s="146" t="s">
        <v>50</v>
      </c>
      <c r="DK2" s="146"/>
      <c r="DL2" s="146" t="s">
        <v>51</v>
      </c>
      <c r="DM2" s="146"/>
      <c r="DN2" s="146" t="s">
        <v>52</v>
      </c>
      <c r="DO2" s="146"/>
      <c r="DP2" s="146" t="s">
        <v>53</v>
      </c>
      <c r="DQ2" s="146"/>
      <c r="DR2" s="146" t="s">
        <v>54</v>
      </c>
      <c r="DS2" s="146"/>
      <c r="DT2" s="146" t="s">
        <v>55</v>
      </c>
      <c r="DU2" s="146"/>
      <c r="DV2" s="146" t="s">
        <v>56</v>
      </c>
      <c r="DW2" s="146"/>
      <c r="DX2" s="146" t="s">
        <v>44</v>
      </c>
      <c r="DY2" s="146"/>
      <c r="DZ2" s="146" t="s">
        <v>47</v>
      </c>
      <c r="EA2" s="146"/>
      <c r="EB2" s="146" t="s">
        <v>48</v>
      </c>
      <c r="EC2" s="146"/>
      <c r="ED2" s="146" t="s">
        <v>49</v>
      </c>
      <c r="EE2" s="146"/>
      <c r="EF2" s="146" t="s">
        <v>50</v>
      </c>
      <c r="EG2" s="146"/>
      <c r="EH2" s="146" t="s">
        <v>51</v>
      </c>
      <c r="EI2" s="146"/>
      <c r="EJ2" s="146" t="s">
        <v>52</v>
      </c>
      <c r="EK2" s="146"/>
      <c r="EL2" s="146" t="s">
        <v>53</v>
      </c>
      <c r="EM2" s="146"/>
      <c r="EN2" s="146" t="s">
        <v>54</v>
      </c>
      <c r="EO2" s="146"/>
      <c r="EP2" s="146" t="s">
        <v>55</v>
      </c>
      <c r="EQ2" s="146"/>
      <c r="ER2" s="146" t="s">
        <v>56</v>
      </c>
      <c r="ES2" s="146"/>
    </row>
    <row r="3" spans="1:149" ht="200.25" customHeight="1" x14ac:dyDescent="0.25">
      <c r="A3" s="120" t="s">
        <v>87</v>
      </c>
      <c r="B3" s="158" t="s">
        <v>83</v>
      </c>
      <c r="C3" s="158"/>
      <c r="D3" s="158"/>
      <c r="E3" s="158"/>
      <c r="F3" s="158"/>
      <c r="G3" s="158"/>
      <c r="H3" s="158"/>
      <c r="I3" s="158"/>
      <c r="J3" s="158"/>
      <c r="K3" s="158"/>
      <c r="L3" s="158"/>
      <c r="M3" s="158"/>
      <c r="N3" s="158"/>
      <c r="O3" s="158"/>
      <c r="P3" s="158"/>
      <c r="Q3" s="158"/>
      <c r="R3" s="158"/>
      <c r="S3" s="158"/>
      <c r="T3" s="158"/>
      <c r="CF3" s="43" t="s">
        <v>45</v>
      </c>
      <c r="CG3" s="43" t="s">
        <v>46</v>
      </c>
      <c r="CH3" s="43" t="s">
        <v>45</v>
      </c>
      <c r="CI3" s="43" t="s">
        <v>46</v>
      </c>
      <c r="CJ3" s="43" t="s">
        <v>45</v>
      </c>
      <c r="CK3" s="43" t="s">
        <v>46</v>
      </c>
      <c r="CL3" s="43" t="s">
        <v>45</v>
      </c>
      <c r="CM3" s="43" t="s">
        <v>46</v>
      </c>
      <c r="CN3" s="43" t="s">
        <v>45</v>
      </c>
      <c r="CO3" s="43" t="s">
        <v>46</v>
      </c>
      <c r="CP3" s="43" t="s">
        <v>45</v>
      </c>
      <c r="CQ3" s="43" t="s">
        <v>46</v>
      </c>
      <c r="CR3" s="43" t="s">
        <v>45</v>
      </c>
      <c r="CS3" s="43" t="s">
        <v>46</v>
      </c>
      <c r="CT3" s="43" t="s">
        <v>45</v>
      </c>
      <c r="CU3" s="43" t="s">
        <v>46</v>
      </c>
      <c r="CV3" s="43" t="s">
        <v>45</v>
      </c>
      <c r="CW3" s="43" t="s">
        <v>46</v>
      </c>
      <c r="CX3" s="43" t="s">
        <v>45</v>
      </c>
      <c r="CY3" s="43" t="s">
        <v>46</v>
      </c>
      <c r="CZ3" s="43" t="s">
        <v>45</v>
      </c>
      <c r="DA3" s="43" t="s">
        <v>46</v>
      </c>
      <c r="DB3" s="44" t="s">
        <v>45</v>
      </c>
      <c r="DC3" s="44" t="s">
        <v>46</v>
      </c>
      <c r="DD3" s="44" t="s">
        <v>45</v>
      </c>
      <c r="DE3" s="44" t="s">
        <v>46</v>
      </c>
      <c r="DF3" s="43" t="s">
        <v>45</v>
      </c>
      <c r="DG3" s="43" t="s">
        <v>46</v>
      </c>
      <c r="DH3" s="43" t="s">
        <v>45</v>
      </c>
      <c r="DI3" s="43" t="s">
        <v>46</v>
      </c>
      <c r="DJ3" s="43" t="s">
        <v>45</v>
      </c>
      <c r="DK3" s="43" t="s">
        <v>46</v>
      </c>
      <c r="DL3" s="43" t="s">
        <v>45</v>
      </c>
      <c r="DM3" s="43" t="s">
        <v>46</v>
      </c>
      <c r="DN3" s="43" t="s">
        <v>45</v>
      </c>
      <c r="DO3" s="43" t="s">
        <v>46</v>
      </c>
      <c r="DP3" s="43" t="s">
        <v>45</v>
      </c>
      <c r="DQ3" s="43" t="s">
        <v>46</v>
      </c>
      <c r="DR3" s="43" t="s">
        <v>45</v>
      </c>
      <c r="DS3" s="43" t="s">
        <v>46</v>
      </c>
      <c r="DT3" s="43" t="s">
        <v>45</v>
      </c>
      <c r="DU3" s="43" t="s">
        <v>46</v>
      </c>
      <c r="DV3" s="43" t="s">
        <v>45</v>
      </c>
      <c r="DW3" s="43" t="s">
        <v>46</v>
      </c>
      <c r="DX3" s="43" t="s">
        <v>45</v>
      </c>
      <c r="DY3" s="43" t="s">
        <v>46</v>
      </c>
      <c r="DZ3" s="43" t="s">
        <v>45</v>
      </c>
      <c r="EA3" s="43" t="s">
        <v>46</v>
      </c>
      <c r="EB3" s="43" t="s">
        <v>45</v>
      </c>
      <c r="EC3" s="43" t="s">
        <v>46</v>
      </c>
      <c r="ED3" s="43" t="s">
        <v>45</v>
      </c>
      <c r="EE3" s="43" t="s">
        <v>46</v>
      </c>
      <c r="EF3" s="43" t="s">
        <v>45</v>
      </c>
      <c r="EG3" s="43" t="s">
        <v>46</v>
      </c>
      <c r="EH3" s="43" t="s">
        <v>45</v>
      </c>
      <c r="EI3" s="43" t="s">
        <v>46</v>
      </c>
      <c r="EJ3" s="43" t="s">
        <v>45</v>
      </c>
      <c r="EK3" s="43" t="s">
        <v>46</v>
      </c>
      <c r="EL3" s="43" t="s">
        <v>45</v>
      </c>
      <c r="EM3" s="43" t="s">
        <v>46</v>
      </c>
      <c r="EN3" s="43" t="s">
        <v>45</v>
      </c>
      <c r="EO3" s="43" t="s">
        <v>46</v>
      </c>
      <c r="EP3" s="43" t="s">
        <v>45</v>
      </c>
      <c r="EQ3" s="43" t="s">
        <v>46</v>
      </c>
      <c r="ER3" s="43" t="s">
        <v>45</v>
      </c>
      <c r="ES3" s="43" t="s">
        <v>46</v>
      </c>
    </row>
    <row r="4" spans="1:149" ht="60" customHeight="1" x14ac:dyDescent="0.25">
      <c r="A4" s="119" t="s">
        <v>88</v>
      </c>
      <c r="B4" s="157" t="s">
        <v>82</v>
      </c>
      <c r="C4" s="157"/>
      <c r="D4" s="157"/>
      <c r="E4" s="157"/>
      <c r="F4" s="157"/>
      <c r="G4" s="157"/>
      <c r="H4" s="157"/>
      <c r="I4" s="157"/>
      <c r="J4" s="157"/>
      <c r="K4" s="157"/>
      <c r="L4" s="157"/>
      <c r="M4" s="157"/>
      <c r="N4" s="157"/>
      <c r="O4" s="157"/>
      <c r="P4" s="157"/>
      <c r="Q4" s="157"/>
      <c r="R4" s="157"/>
      <c r="S4" s="157"/>
      <c r="T4" s="157"/>
      <c r="CF4" s="2">
        <v>129</v>
      </c>
      <c r="CG4" s="2">
        <v>19</v>
      </c>
      <c r="CH4" s="2">
        <v>148</v>
      </c>
      <c r="CI4" s="2">
        <v>18</v>
      </c>
      <c r="CJ4" s="2">
        <v>163</v>
      </c>
      <c r="CK4" s="2">
        <v>18</v>
      </c>
      <c r="CL4" s="2">
        <v>177</v>
      </c>
      <c r="CM4" s="2">
        <v>14</v>
      </c>
      <c r="CN4" s="2">
        <v>187</v>
      </c>
      <c r="CO4" s="2">
        <v>10</v>
      </c>
      <c r="CP4" s="2">
        <v>194</v>
      </c>
      <c r="CQ4" s="2">
        <v>9</v>
      </c>
      <c r="CR4" s="2">
        <v>199</v>
      </c>
      <c r="CS4" s="2">
        <v>8</v>
      </c>
      <c r="CT4" s="2">
        <v>203</v>
      </c>
      <c r="CU4" s="2">
        <v>7</v>
      </c>
      <c r="CV4" s="2">
        <v>206</v>
      </c>
      <c r="CW4" s="2">
        <v>6</v>
      </c>
      <c r="CX4" s="2">
        <v>208</v>
      </c>
      <c r="CY4" s="2">
        <v>5</v>
      </c>
      <c r="CZ4" s="2">
        <v>210</v>
      </c>
      <c r="DA4" s="2">
        <v>5</v>
      </c>
      <c r="DB4" s="17"/>
      <c r="DC4" s="17"/>
      <c r="DD4" s="17"/>
      <c r="DE4" s="17"/>
      <c r="DF4" s="2">
        <v>163</v>
      </c>
      <c r="DG4" s="2">
        <v>18</v>
      </c>
      <c r="DH4" s="2">
        <v>178</v>
      </c>
      <c r="DI4" s="2">
        <v>14</v>
      </c>
      <c r="DJ4" s="2">
        <v>188</v>
      </c>
      <c r="DK4" s="2">
        <v>11</v>
      </c>
      <c r="DL4" s="2">
        <v>195</v>
      </c>
      <c r="DM4" s="2">
        <v>9</v>
      </c>
      <c r="DN4" s="2">
        <v>199</v>
      </c>
      <c r="DO4" s="2">
        <v>8</v>
      </c>
      <c r="DP4" s="2">
        <v>203</v>
      </c>
      <c r="DQ4" s="2">
        <v>6</v>
      </c>
      <c r="DR4" s="2">
        <v>206</v>
      </c>
      <c r="DS4" s="2">
        <v>6</v>
      </c>
      <c r="DT4" s="2">
        <v>208</v>
      </c>
      <c r="DU4" s="2">
        <v>4</v>
      </c>
      <c r="DV4" s="2">
        <v>209</v>
      </c>
      <c r="DW4" s="2">
        <v>4</v>
      </c>
      <c r="DX4" s="2">
        <v>130</v>
      </c>
      <c r="DY4" s="2">
        <v>19</v>
      </c>
      <c r="DZ4" s="2">
        <v>149</v>
      </c>
      <c r="EA4" s="2">
        <v>21</v>
      </c>
      <c r="EB4" s="2">
        <v>165</v>
      </c>
      <c r="EC4" s="2">
        <v>17</v>
      </c>
      <c r="ED4" s="2">
        <v>179</v>
      </c>
      <c r="EE4" s="2">
        <v>14</v>
      </c>
      <c r="EF4" s="2">
        <v>191</v>
      </c>
      <c r="EG4" s="2">
        <v>11</v>
      </c>
      <c r="EH4" s="2">
        <v>200</v>
      </c>
      <c r="EI4" s="2">
        <v>10</v>
      </c>
      <c r="EJ4" s="2">
        <v>207</v>
      </c>
      <c r="EK4" s="2">
        <v>8</v>
      </c>
      <c r="EL4" s="2">
        <v>213</v>
      </c>
      <c r="EM4" s="2">
        <v>7</v>
      </c>
      <c r="EN4" s="21">
        <v>217</v>
      </c>
      <c r="EO4" s="2">
        <v>6</v>
      </c>
      <c r="EP4" s="2">
        <v>221</v>
      </c>
      <c r="EQ4" s="2">
        <v>4</v>
      </c>
      <c r="ER4" s="2">
        <v>221</v>
      </c>
      <c r="ES4" s="2">
        <v>4</v>
      </c>
    </row>
    <row r="5" spans="1:149" x14ac:dyDescent="0.25">
      <c r="A5" s="120" t="s">
        <v>89</v>
      </c>
      <c r="B5" s="156" t="s">
        <v>81</v>
      </c>
      <c r="C5" s="156"/>
      <c r="D5" s="156"/>
      <c r="E5" s="156"/>
      <c r="F5" s="156"/>
      <c r="G5" s="156"/>
      <c r="H5" s="156"/>
      <c r="I5" s="156"/>
      <c r="J5" s="156"/>
      <c r="K5" s="156"/>
      <c r="L5" s="156"/>
      <c r="M5" s="156"/>
      <c r="N5" s="156"/>
      <c r="O5" s="156"/>
      <c r="P5" s="156"/>
      <c r="Q5" s="156"/>
      <c r="R5" s="156"/>
      <c r="S5" s="156"/>
      <c r="T5" s="156"/>
      <c r="CF5" s="2">
        <v>130</v>
      </c>
      <c r="CG5" s="2">
        <v>19</v>
      </c>
      <c r="CH5" s="2">
        <v>149</v>
      </c>
      <c r="CI5" s="2">
        <v>18</v>
      </c>
      <c r="CJ5" s="2">
        <v>164</v>
      </c>
      <c r="CK5" s="2">
        <v>18</v>
      </c>
      <c r="CL5" s="2">
        <v>178</v>
      </c>
      <c r="CM5" s="2">
        <v>14</v>
      </c>
      <c r="CN5" s="2">
        <v>188</v>
      </c>
      <c r="CO5" s="2">
        <v>10</v>
      </c>
      <c r="CP5" s="2">
        <v>195</v>
      </c>
      <c r="CQ5" s="2">
        <v>9</v>
      </c>
      <c r="CR5" s="2">
        <v>200</v>
      </c>
      <c r="CS5" s="2">
        <v>8</v>
      </c>
      <c r="CT5" s="2">
        <v>204</v>
      </c>
      <c r="CU5" s="2">
        <v>7</v>
      </c>
      <c r="CV5" s="2">
        <v>207</v>
      </c>
      <c r="CW5" s="2">
        <v>6</v>
      </c>
      <c r="CX5" s="2">
        <v>209</v>
      </c>
      <c r="CY5" s="2">
        <v>5</v>
      </c>
      <c r="CZ5" s="2">
        <v>211</v>
      </c>
      <c r="DA5" s="2">
        <v>5</v>
      </c>
      <c r="DB5" s="17"/>
      <c r="DC5" s="17"/>
      <c r="DD5" s="17"/>
      <c r="DE5" s="17"/>
      <c r="DF5" s="2">
        <v>164</v>
      </c>
      <c r="DG5" s="2">
        <v>18</v>
      </c>
      <c r="DH5" s="2">
        <v>179</v>
      </c>
      <c r="DI5" s="2">
        <v>14</v>
      </c>
      <c r="DJ5" s="2">
        <v>189</v>
      </c>
      <c r="DK5" s="2">
        <v>11</v>
      </c>
      <c r="DL5" s="2">
        <v>196</v>
      </c>
      <c r="DM5" s="2">
        <v>9</v>
      </c>
      <c r="DN5" s="2">
        <v>200</v>
      </c>
      <c r="DO5" s="2">
        <v>8</v>
      </c>
      <c r="DP5" s="2">
        <v>204</v>
      </c>
      <c r="DQ5" s="2">
        <v>6</v>
      </c>
      <c r="DR5" s="2">
        <v>207</v>
      </c>
      <c r="DS5" s="2">
        <v>6</v>
      </c>
      <c r="DT5" s="2">
        <v>209</v>
      </c>
      <c r="DU5" s="2">
        <v>4</v>
      </c>
      <c r="DV5" s="2">
        <v>210</v>
      </c>
      <c r="DW5" s="2">
        <v>4</v>
      </c>
      <c r="DX5" s="2">
        <v>131</v>
      </c>
      <c r="DY5" s="2">
        <v>19</v>
      </c>
      <c r="DZ5" s="2">
        <v>150</v>
      </c>
      <c r="EA5" s="2">
        <v>21</v>
      </c>
      <c r="EB5" s="2">
        <v>166</v>
      </c>
      <c r="EC5" s="2">
        <v>17</v>
      </c>
      <c r="ED5" s="2">
        <v>180</v>
      </c>
      <c r="EE5" s="2">
        <v>14</v>
      </c>
      <c r="EF5" s="2">
        <v>192</v>
      </c>
      <c r="EG5" s="2">
        <v>11</v>
      </c>
      <c r="EH5" s="2">
        <v>201</v>
      </c>
      <c r="EI5" s="2">
        <v>10</v>
      </c>
      <c r="EJ5" s="2">
        <v>208</v>
      </c>
      <c r="EK5" s="2">
        <v>8</v>
      </c>
      <c r="EL5" s="2">
        <v>214</v>
      </c>
      <c r="EM5" s="2">
        <v>7</v>
      </c>
      <c r="EN5" s="21">
        <v>218</v>
      </c>
      <c r="EO5" s="2">
        <v>6</v>
      </c>
      <c r="EP5" s="2">
        <v>222</v>
      </c>
      <c r="EQ5" s="2">
        <v>4</v>
      </c>
      <c r="ER5" s="2">
        <v>222</v>
      </c>
      <c r="ES5" s="2">
        <v>4</v>
      </c>
    </row>
    <row r="6" spans="1:149" ht="123" customHeight="1" x14ac:dyDescent="0.25">
      <c r="A6" s="121" t="s">
        <v>90</v>
      </c>
      <c r="B6" s="155" t="s">
        <v>84</v>
      </c>
      <c r="C6" s="155"/>
      <c r="D6" s="155"/>
      <c r="E6" s="155"/>
      <c r="F6" s="155"/>
      <c r="G6" s="155"/>
      <c r="H6" s="155"/>
      <c r="I6" s="155"/>
      <c r="J6" s="155"/>
      <c r="K6" s="155"/>
      <c r="L6" s="155"/>
      <c r="M6" s="155"/>
      <c r="N6" s="155"/>
      <c r="O6" s="155"/>
      <c r="P6" s="155"/>
      <c r="Q6" s="155"/>
      <c r="R6" s="155"/>
      <c r="S6" s="155"/>
      <c r="T6" s="155"/>
      <c r="CF6" s="2">
        <v>131</v>
      </c>
      <c r="CG6" s="2">
        <v>19</v>
      </c>
      <c r="CH6" s="2">
        <v>150</v>
      </c>
      <c r="CI6" s="2">
        <v>18</v>
      </c>
      <c r="CJ6" s="2">
        <v>165</v>
      </c>
      <c r="CK6" s="2">
        <v>18</v>
      </c>
      <c r="CL6" s="2">
        <v>179</v>
      </c>
      <c r="CM6" s="2">
        <v>13</v>
      </c>
      <c r="CN6" s="2">
        <v>189</v>
      </c>
      <c r="CO6" s="2">
        <v>10</v>
      </c>
      <c r="CP6" s="2">
        <v>196</v>
      </c>
      <c r="CQ6" s="2">
        <v>9</v>
      </c>
      <c r="CR6" s="2">
        <v>201</v>
      </c>
      <c r="CS6" s="2">
        <v>7</v>
      </c>
      <c r="CT6" s="2">
        <v>205</v>
      </c>
      <c r="CU6" s="2">
        <v>6</v>
      </c>
      <c r="CV6" s="2">
        <v>208</v>
      </c>
      <c r="CW6" s="2">
        <v>6</v>
      </c>
      <c r="CX6" s="2">
        <v>210</v>
      </c>
      <c r="CY6" s="2">
        <v>4</v>
      </c>
      <c r="CZ6" s="2">
        <v>212</v>
      </c>
      <c r="DA6" s="2">
        <v>4</v>
      </c>
      <c r="DB6" s="17"/>
      <c r="DC6" s="17"/>
      <c r="DD6" s="17"/>
      <c r="DE6" s="17"/>
      <c r="DF6" s="2">
        <v>165</v>
      </c>
      <c r="DG6" s="2">
        <v>18</v>
      </c>
      <c r="DH6" s="2">
        <v>180</v>
      </c>
      <c r="DI6" s="2">
        <v>13</v>
      </c>
      <c r="DJ6" s="2">
        <v>190</v>
      </c>
      <c r="DK6" s="2">
        <v>10</v>
      </c>
      <c r="DL6" s="2">
        <v>197</v>
      </c>
      <c r="DM6" s="2">
        <v>9</v>
      </c>
      <c r="DN6" s="2">
        <v>201</v>
      </c>
      <c r="DO6" s="2">
        <v>7</v>
      </c>
      <c r="DP6" s="2">
        <v>205</v>
      </c>
      <c r="DQ6" s="2">
        <v>6</v>
      </c>
      <c r="DR6" s="2">
        <v>208</v>
      </c>
      <c r="DS6" s="2">
        <v>5</v>
      </c>
      <c r="DT6" s="2">
        <v>210</v>
      </c>
      <c r="DU6" s="2">
        <v>4</v>
      </c>
      <c r="DV6" s="2">
        <v>211</v>
      </c>
      <c r="DW6" s="2">
        <v>4</v>
      </c>
      <c r="DX6" s="2">
        <v>132</v>
      </c>
      <c r="DY6" s="2">
        <v>19</v>
      </c>
      <c r="DZ6" s="2">
        <v>151</v>
      </c>
      <c r="EA6" s="2">
        <v>21</v>
      </c>
      <c r="EB6" s="2">
        <v>167</v>
      </c>
      <c r="EC6" s="2">
        <v>17</v>
      </c>
      <c r="ED6" s="2">
        <v>181</v>
      </c>
      <c r="EE6" s="2">
        <v>14</v>
      </c>
      <c r="EF6" s="2">
        <v>193</v>
      </c>
      <c r="EG6" s="2">
        <v>11</v>
      </c>
      <c r="EH6" s="2">
        <v>202</v>
      </c>
      <c r="EI6" s="2">
        <v>10</v>
      </c>
      <c r="EJ6" s="2">
        <v>209</v>
      </c>
      <c r="EK6" s="2">
        <v>8</v>
      </c>
      <c r="EL6" s="2">
        <v>215</v>
      </c>
      <c r="EM6" s="2">
        <v>7</v>
      </c>
      <c r="EN6" s="21">
        <v>219</v>
      </c>
      <c r="EO6" s="2">
        <v>6</v>
      </c>
      <c r="EP6" s="2">
        <v>223</v>
      </c>
      <c r="EQ6" s="2">
        <v>4</v>
      </c>
      <c r="ER6" s="2">
        <v>223</v>
      </c>
      <c r="ES6" s="2">
        <v>4</v>
      </c>
    </row>
    <row r="7" spans="1:149" s="26" customFormat="1" ht="18.75" customHeight="1" x14ac:dyDescent="0.3">
      <c r="A7" s="154" t="s">
        <v>92</v>
      </c>
      <c r="B7" s="154"/>
      <c r="C7" s="154"/>
      <c r="D7" s="154"/>
      <c r="E7" s="154"/>
      <c r="F7" s="154"/>
      <c r="G7" s="154"/>
      <c r="H7" s="154"/>
      <c r="I7" s="154"/>
      <c r="J7" s="154"/>
      <c r="K7" s="154"/>
      <c r="L7" s="154"/>
      <c r="M7" s="154"/>
      <c r="N7" s="154"/>
      <c r="O7" s="154"/>
      <c r="P7" s="154"/>
      <c r="Q7" s="154"/>
      <c r="R7" s="154"/>
      <c r="S7" s="154"/>
      <c r="T7" s="154"/>
      <c r="CF7" s="2">
        <v>132</v>
      </c>
      <c r="CG7" s="2">
        <v>19</v>
      </c>
      <c r="CH7" s="2">
        <v>151</v>
      </c>
      <c r="CI7" s="2">
        <v>18</v>
      </c>
      <c r="CJ7" s="2">
        <v>166</v>
      </c>
      <c r="CK7" s="2">
        <v>18</v>
      </c>
      <c r="CL7" s="2">
        <v>180</v>
      </c>
      <c r="CM7" s="2">
        <v>13</v>
      </c>
      <c r="CN7" s="2">
        <v>190</v>
      </c>
      <c r="CO7" s="2">
        <v>10</v>
      </c>
      <c r="CP7" s="2">
        <v>197</v>
      </c>
      <c r="CQ7" s="2">
        <v>9</v>
      </c>
      <c r="CR7" s="2">
        <v>202</v>
      </c>
      <c r="CS7" s="2">
        <v>7</v>
      </c>
      <c r="CT7" s="2">
        <v>206</v>
      </c>
      <c r="CU7" s="2">
        <v>6</v>
      </c>
      <c r="CV7" s="2">
        <v>209</v>
      </c>
      <c r="CW7" s="2">
        <v>6</v>
      </c>
      <c r="CX7" s="2">
        <v>211</v>
      </c>
      <c r="CY7" s="2">
        <v>4</v>
      </c>
      <c r="CZ7" s="2">
        <v>213</v>
      </c>
      <c r="DA7" s="2">
        <v>4</v>
      </c>
      <c r="DB7" s="17"/>
      <c r="DC7" s="17"/>
      <c r="DD7" s="17"/>
      <c r="DE7" s="17"/>
      <c r="DF7" s="2">
        <v>166</v>
      </c>
      <c r="DG7" s="2">
        <v>18</v>
      </c>
      <c r="DH7" s="2">
        <v>181</v>
      </c>
      <c r="DI7" s="2">
        <v>13</v>
      </c>
      <c r="DJ7" s="2">
        <v>191</v>
      </c>
      <c r="DK7" s="2">
        <v>10</v>
      </c>
      <c r="DL7" s="2">
        <v>198</v>
      </c>
      <c r="DM7" s="2">
        <v>9</v>
      </c>
      <c r="DN7" s="2">
        <v>202</v>
      </c>
      <c r="DO7" s="2">
        <v>7</v>
      </c>
      <c r="DP7" s="2">
        <v>206</v>
      </c>
      <c r="DQ7" s="2">
        <v>6</v>
      </c>
      <c r="DR7" s="2">
        <v>209</v>
      </c>
      <c r="DS7" s="2">
        <v>5</v>
      </c>
      <c r="DT7" s="2">
        <v>211</v>
      </c>
      <c r="DU7" s="2">
        <v>4</v>
      </c>
      <c r="DV7" s="2">
        <v>212</v>
      </c>
      <c r="DW7" s="2">
        <v>4</v>
      </c>
      <c r="DX7" s="2">
        <v>133</v>
      </c>
      <c r="DY7" s="2">
        <v>19</v>
      </c>
      <c r="DZ7" s="2">
        <v>152</v>
      </c>
      <c r="EA7" s="2">
        <v>21</v>
      </c>
      <c r="EB7" s="2">
        <v>168</v>
      </c>
      <c r="EC7" s="2">
        <v>17</v>
      </c>
      <c r="ED7" s="2">
        <v>182</v>
      </c>
      <c r="EE7" s="2">
        <v>14</v>
      </c>
      <c r="EF7" s="2">
        <v>194</v>
      </c>
      <c r="EG7" s="2">
        <v>11</v>
      </c>
      <c r="EH7" s="2">
        <v>203</v>
      </c>
      <c r="EI7" s="2">
        <v>10</v>
      </c>
      <c r="EJ7" s="2">
        <v>210</v>
      </c>
      <c r="EK7" s="2">
        <v>8</v>
      </c>
      <c r="EL7" s="2">
        <v>216</v>
      </c>
      <c r="EM7" s="2">
        <v>7</v>
      </c>
      <c r="EN7" s="21">
        <v>220</v>
      </c>
      <c r="EO7" s="2">
        <v>6</v>
      </c>
      <c r="EP7" s="2">
        <v>224</v>
      </c>
      <c r="EQ7" s="2">
        <v>4</v>
      </c>
      <c r="ER7" s="2">
        <v>224</v>
      </c>
      <c r="ES7" s="2">
        <v>4</v>
      </c>
    </row>
    <row r="8" spans="1:149" x14ac:dyDescent="0.25">
      <c r="A8" s="150" t="s">
        <v>76</v>
      </c>
      <c r="B8" s="151"/>
      <c r="C8" s="151"/>
      <c r="D8" s="151"/>
      <c r="E8" s="152"/>
      <c r="F8" s="95"/>
      <c r="G8" s="31"/>
      <c r="H8" s="80"/>
      <c r="I8" s="80"/>
      <c r="CF8" s="2">
        <v>133</v>
      </c>
      <c r="CG8" s="2">
        <v>19</v>
      </c>
      <c r="CH8" s="2">
        <v>152</v>
      </c>
      <c r="CI8" s="2">
        <v>18</v>
      </c>
      <c r="CJ8" s="2">
        <v>167</v>
      </c>
      <c r="CK8" s="2">
        <v>17</v>
      </c>
      <c r="CL8" s="2">
        <v>181</v>
      </c>
      <c r="CM8" s="2">
        <v>13</v>
      </c>
      <c r="CN8" s="2">
        <v>191</v>
      </c>
      <c r="CO8" s="2">
        <v>10</v>
      </c>
      <c r="CP8" s="2">
        <v>198</v>
      </c>
      <c r="CQ8" s="2">
        <v>8</v>
      </c>
      <c r="CR8" s="2">
        <v>203</v>
      </c>
      <c r="CS8" s="2">
        <v>7</v>
      </c>
      <c r="CT8" s="2">
        <v>207</v>
      </c>
      <c r="CU8" s="2">
        <v>6</v>
      </c>
      <c r="CV8" s="2">
        <v>210</v>
      </c>
      <c r="CW8" s="2">
        <v>5</v>
      </c>
      <c r="CX8" s="2">
        <v>212</v>
      </c>
      <c r="CY8" s="2">
        <v>4</v>
      </c>
      <c r="CZ8" s="2">
        <v>214</v>
      </c>
      <c r="DA8" s="2">
        <v>4</v>
      </c>
      <c r="DB8" s="17"/>
      <c r="DC8" s="17"/>
      <c r="DD8" s="17"/>
      <c r="DE8" s="17"/>
      <c r="DF8" s="2">
        <v>167</v>
      </c>
      <c r="DG8" s="2">
        <v>17</v>
      </c>
      <c r="DH8" s="2">
        <v>182</v>
      </c>
      <c r="DI8" s="2">
        <v>13</v>
      </c>
      <c r="DJ8" s="2">
        <v>192</v>
      </c>
      <c r="DK8" s="2">
        <v>10</v>
      </c>
      <c r="DL8" s="2">
        <v>199</v>
      </c>
      <c r="DM8" s="2">
        <v>8</v>
      </c>
      <c r="DN8" s="2">
        <v>203</v>
      </c>
      <c r="DO8" s="2">
        <v>7</v>
      </c>
      <c r="DP8" s="2">
        <v>207</v>
      </c>
      <c r="DQ8" s="2">
        <v>5</v>
      </c>
      <c r="DR8" s="2">
        <v>210</v>
      </c>
      <c r="DS8" s="2">
        <v>5</v>
      </c>
      <c r="DT8" s="2">
        <v>212</v>
      </c>
      <c r="DU8" s="2">
        <v>3</v>
      </c>
      <c r="DV8" s="2">
        <v>213</v>
      </c>
      <c r="DW8" s="2">
        <v>3</v>
      </c>
      <c r="DX8" s="2">
        <v>134</v>
      </c>
      <c r="DY8" s="2">
        <v>19</v>
      </c>
      <c r="DZ8" s="2">
        <v>153</v>
      </c>
      <c r="EA8" s="2">
        <v>21</v>
      </c>
      <c r="EB8" s="2">
        <v>169</v>
      </c>
      <c r="EC8" s="2">
        <v>16</v>
      </c>
      <c r="ED8" s="2">
        <v>183</v>
      </c>
      <c r="EE8" s="2">
        <v>14</v>
      </c>
      <c r="EF8" s="2">
        <v>195</v>
      </c>
      <c r="EG8" s="2">
        <v>11</v>
      </c>
      <c r="EH8" s="2">
        <v>204</v>
      </c>
      <c r="EI8" s="2">
        <v>10</v>
      </c>
      <c r="EJ8" s="2">
        <v>211</v>
      </c>
      <c r="EK8" s="2">
        <v>8</v>
      </c>
      <c r="EL8" s="2">
        <v>217</v>
      </c>
      <c r="EM8" s="2">
        <v>7</v>
      </c>
      <c r="EN8" s="21">
        <v>221</v>
      </c>
      <c r="EO8" s="2">
        <v>6</v>
      </c>
      <c r="EP8" s="2">
        <v>225</v>
      </c>
      <c r="EQ8" s="2">
        <v>3</v>
      </c>
      <c r="ER8" s="2">
        <v>225</v>
      </c>
      <c r="ES8" s="2">
        <v>4</v>
      </c>
    </row>
    <row r="9" spans="1:149" x14ac:dyDescent="0.25">
      <c r="A9" s="147" t="s">
        <v>77</v>
      </c>
      <c r="B9" s="148"/>
      <c r="C9" s="148"/>
      <c r="D9" s="148"/>
      <c r="E9" s="149"/>
      <c r="F9" s="96"/>
      <c r="G9" s="31"/>
      <c r="H9" s="80"/>
      <c r="I9" s="80"/>
      <c r="CF9" s="2">
        <v>134</v>
      </c>
      <c r="CG9" s="2">
        <v>19</v>
      </c>
      <c r="CH9" s="2">
        <v>153</v>
      </c>
      <c r="CI9" s="2">
        <v>18</v>
      </c>
      <c r="CJ9" s="2">
        <v>168</v>
      </c>
      <c r="CK9" s="2">
        <v>17</v>
      </c>
      <c r="CL9" s="2">
        <v>182</v>
      </c>
      <c r="CM9" s="2">
        <v>12</v>
      </c>
      <c r="CN9" s="2">
        <v>192</v>
      </c>
      <c r="CO9" s="2">
        <v>10</v>
      </c>
      <c r="CP9" s="2">
        <v>199</v>
      </c>
      <c r="CQ9" s="2">
        <v>8</v>
      </c>
      <c r="CR9" s="2">
        <v>204</v>
      </c>
      <c r="CS9" s="2">
        <v>7</v>
      </c>
      <c r="CT9" s="2">
        <v>208</v>
      </c>
      <c r="CU9" s="2">
        <v>6</v>
      </c>
      <c r="CV9" s="2">
        <v>211</v>
      </c>
      <c r="CW9" s="2">
        <v>5</v>
      </c>
      <c r="CX9" s="2">
        <v>213</v>
      </c>
      <c r="CY9" s="2">
        <v>4</v>
      </c>
      <c r="CZ9" s="2">
        <v>215</v>
      </c>
      <c r="DA9" s="2">
        <v>4</v>
      </c>
      <c r="DB9" s="17"/>
      <c r="DC9" s="17"/>
      <c r="DD9" s="17"/>
      <c r="DE9" s="17"/>
      <c r="DF9" s="2">
        <v>168</v>
      </c>
      <c r="DG9" s="2">
        <v>17</v>
      </c>
      <c r="DH9" s="2">
        <v>183</v>
      </c>
      <c r="DI9" s="2">
        <v>13</v>
      </c>
      <c r="DJ9" s="2">
        <v>193</v>
      </c>
      <c r="DK9" s="2">
        <v>10</v>
      </c>
      <c r="DL9" s="2">
        <v>200</v>
      </c>
      <c r="DM9" s="2">
        <v>8</v>
      </c>
      <c r="DN9" s="2">
        <v>204</v>
      </c>
      <c r="DO9" s="2">
        <v>7</v>
      </c>
      <c r="DP9" s="2">
        <v>208</v>
      </c>
      <c r="DQ9" s="2">
        <v>5</v>
      </c>
      <c r="DR9" s="2">
        <v>211</v>
      </c>
      <c r="DS9" s="2">
        <v>5</v>
      </c>
      <c r="DT9" s="2">
        <v>213</v>
      </c>
      <c r="DU9" s="2">
        <v>3</v>
      </c>
      <c r="DV9" s="2">
        <v>214</v>
      </c>
      <c r="DW9" s="2">
        <v>3</v>
      </c>
      <c r="DX9" s="2">
        <v>135</v>
      </c>
      <c r="DY9" s="2">
        <v>19</v>
      </c>
      <c r="DZ9" s="2">
        <v>154</v>
      </c>
      <c r="EA9" s="2">
        <v>21</v>
      </c>
      <c r="EB9" s="2">
        <v>170</v>
      </c>
      <c r="EC9" s="2">
        <v>16</v>
      </c>
      <c r="ED9" s="2">
        <v>184</v>
      </c>
      <c r="EE9" s="2">
        <v>14</v>
      </c>
      <c r="EF9" s="2">
        <v>196</v>
      </c>
      <c r="EG9" s="2">
        <v>11</v>
      </c>
      <c r="EH9" s="2">
        <v>205</v>
      </c>
      <c r="EI9" s="2">
        <v>10</v>
      </c>
      <c r="EJ9" s="2">
        <v>212</v>
      </c>
      <c r="EK9" s="2">
        <v>8</v>
      </c>
      <c r="EL9" s="2">
        <v>218</v>
      </c>
      <c r="EM9" s="2">
        <v>7</v>
      </c>
      <c r="EN9" s="21">
        <v>222</v>
      </c>
      <c r="EO9" s="2">
        <v>6</v>
      </c>
      <c r="EP9" s="2">
        <v>226</v>
      </c>
      <c r="EQ9" s="2">
        <v>3</v>
      </c>
      <c r="ER9" s="2">
        <v>226</v>
      </c>
      <c r="ES9" s="2">
        <v>4</v>
      </c>
    </row>
    <row r="10" spans="1:149" x14ac:dyDescent="0.25">
      <c r="A10" s="28"/>
      <c r="B10" s="143" t="s">
        <v>57</v>
      </c>
      <c r="C10" s="144"/>
      <c r="D10" s="144"/>
      <c r="E10" s="144"/>
      <c r="F10" s="144"/>
      <c r="G10" s="144"/>
      <c r="H10" s="144"/>
      <c r="I10" s="144"/>
      <c r="J10" s="144"/>
      <c r="K10" s="144"/>
      <c r="L10" s="144"/>
      <c r="M10" s="144"/>
      <c r="N10" s="144"/>
      <c r="O10" s="144"/>
      <c r="P10" s="145"/>
      <c r="CF10" s="2">
        <v>135</v>
      </c>
      <c r="CG10" s="2">
        <v>19</v>
      </c>
      <c r="CH10" s="2">
        <v>154</v>
      </c>
      <c r="CI10" s="2">
        <v>18</v>
      </c>
      <c r="CJ10" s="2">
        <v>169</v>
      </c>
      <c r="CK10" s="2">
        <v>16</v>
      </c>
      <c r="CL10" s="2">
        <v>183</v>
      </c>
      <c r="CM10" s="2">
        <v>12</v>
      </c>
      <c r="CN10" s="2">
        <v>193</v>
      </c>
      <c r="CO10" s="2">
        <v>9</v>
      </c>
      <c r="CP10" s="2">
        <v>200</v>
      </c>
      <c r="CQ10" s="2">
        <v>8</v>
      </c>
      <c r="CR10" s="2">
        <v>205</v>
      </c>
      <c r="CS10" s="2">
        <v>6</v>
      </c>
      <c r="CT10" s="2">
        <v>209</v>
      </c>
      <c r="CU10" s="2">
        <v>5</v>
      </c>
      <c r="CV10" s="2">
        <v>212</v>
      </c>
      <c r="CW10" s="2">
        <v>5</v>
      </c>
      <c r="CX10" s="2">
        <v>214</v>
      </c>
      <c r="CY10" s="2">
        <v>2</v>
      </c>
      <c r="CZ10" s="2">
        <v>216</v>
      </c>
      <c r="DA10" s="2">
        <v>3</v>
      </c>
      <c r="DB10" s="17"/>
      <c r="DC10" s="17"/>
      <c r="DD10" s="17"/>
      <c r="DE10" s="17"/>
      <c r="DF10" s="2">
        <v>169</v>
      </c>
      <c r="DG10" s="2">
        <v>17</v>
      </c>
      <c r="DH10" s="2">
        <v>184</v>
      </c>
      <c r="DI10" s="2">
        <v>12</v>
      </c>
      <c r="DJ10" s="2">
        <v>194</v>
      </c>
      <c r="DK10" s="2">
        <v>9</v>
      </c>
      <c r="DL10" s="2">
        <v>201</v>
      </c>
      <c r="DM10" s="2">
        <v>8</v>
      </c>
      <c r="DN10" s="2">
        <v>205</v>
      </c>
      <c r="DO10" s="2">
        <v>6</v>
      </c>
      <c r="DP10" s="2">
        <v>209</v>
      </c>
      <c r="DQ10" s="2">
        <v>5</v>
      </c>
      <c r="DR10" s="2">
        <v>212</v>
      </c>
      <c r="DS10" s="2">
        <v>4</v>
      </c>
      <c r="DT10" s="2">
        <v>214</v>
      </c>
      <c r="DU10" s="2">
        <v>3</v>
      </c>
      <c r="DV10" s="2">
        <v>215</v>
      </c>
      <c r="DW10" s="2">
        <v>3</v>
      </c>
      <c r="DX10" s="2">
        <v>136</v>
      </c>
      <c r="DY10" s="2">
        <v>18</v>
      </c>
      <c r="DZ10" s="2">
        <v>155</v>
      </c>
      <c r="EA10" s="2">
        <v>20</v>
      </c>
      <c r="EB10" s="2">
        <v>171</v>
      </c>
      <c r="EC10" s="2">
        <v>16</v>
      </c>
      <c r="ED10" s="2">
        <v>185</v>
      </c>
      <c r="EE10" s="2">
        <v>13</v>
      </c>
      <c r="EF10" s="2">
        <v>197</v>
      </c>
      <c r="EG10" s="2">
        <v>11</v>
      </c>
      <c r="EH10" s="2">
        <v>206</v>
      </c>
      <c r="EI10" s="2">
        <v>10</v>
      </c>
      <c r="EJ10" s="2">
        <v>213</v>
      </c>
      <c r="EK10" s="2">
        <v>8</v>
      </c>
      <c r="EL10" s="2">
        <v>219</v>
      </c>
      <c r="EM10" s="2">
        <v>6</v>
      </c>
      <c r="EN10" s="21">
        <v>223</v>
      </c>
      <c r="EO10" s="2">
        <v>6</v>
      </c>
      <c r="EP10" s="2">
        <v>227</v>
      </c>
      <c r="EQ10" s="2">
        <v>3</v>
      </c>
      <c r="ER10" s="2">
        <v>227</v>
      </c>
      <c r="ES10" s="2">
        <v>4</v>
      </c>
    </row>
    <row r="11" spans="1:149" x14ac:dyDescent="0.25">
      <c r="A11" s="29"/>
      <c r="B11" s="140" t="s">
        <v>36</v>
      </c>
      <c r="C11" s="141"/>
      <c r="D11" s="141"/>
      <c r="E11" s="141"/>
      <c r="F11" s="142"/>
      <c r="G11" s="140" t="s">
        <v>39</v>
      </c>
      <c r="H11" s="141"/>
      <c r="I11" s="141"/>
      <c r="J11" s="141"/>
      <c r="K11" s="142"/>
      <c r="L11" s="140" t="s">
        <v>40</v>
      </c>
      <c r="M11" s="141"/>
      <c r="N11" s="141"/>
      <c r="O11" s="141"/>
      <c r="P11" s="142"/>
      <c r="CF11" s="2">
        <v>136</v>
      </c>
      <c r="CG11" s="2">
        <v>19</v>
      </c>
      <c r="CH11" s="2">
        <v>155</v>
      </c>
      <c r="CI11" s="2">
        <v>18</v>
      </c>
      <c r="CJ11" s="2">
        <v>170</v>
      </c>
      <c r="CK11" s="2">
        <v>16</v>
      </c>
      <c r="CL11" s="2">
        <v>184</v>
      </c>
      <c r="CM11" s="2">
        <v>12</v>
      </c>
      <c r="CN11" s="2">
        <v>194</v>
      </c>
      <c r="CO11" s="2">
        <v>9</v>
      </c>
      <c r="CP11" s="2">
        <v>201</v>
      </c>
      <c r="CQ11" s="2">
        <v>8</v>
      </c>
      <c r="CR11" s="2">
        <v>206</v>
      </c>
      <c r="CS11" s="2">
        <v>6</v>
      </c>
      <c r="CT11" s="2">
        <v>210</v>
      </c>
      <c r="CU11" s="2">
        <v>5</v>
      </c>
      <c r="CV11" s="2">
        <v>213</v>
      </c>
      <c r="CW11" s="2">
        <v>5</v>
      </c>
      <c r="CX11" s="2">
        <v>215</v>
      </c>
      <c r="CY11" s="2">
        <v>2</v>
      </c>
      <c r="CZ11" s="2">
        <v>217</v>
      </c>
      <c r="DA11" s="2">
        <v>3</v>
      </c>
      <c r="DB11" s="17"/>
      <c r="DC11" s="17"/>
      <c r="DD11" s="17"/>
      <c r="DE11" s="17"/>
      <c r="DF11" s="2">
        <v>170</v>
      </c>
      <c r="DG11" s="2">
        <v>17</v>
      </c>
      <c r="DH11" s="2">
        <v>185</v>
      </c>
      <c r="DI11" s="2">
        <v>12</v>
      </c>
      <c r="DJ11" s="2">
        <v>195</v>
      </c>
      <c r="DK11" s="2">
        <v>9</v>
      </c>
      <c r="DL11" s="2">
        <v>202</v>
      </c>
      <c r="DM11" s="2">
        <v>8</v>
      </c>
      <c r="DN11" s="2">
        <v>206</v>
      </c>
      <c r="DO11" s="2">
        <v>6</v>
      </c>
      <c r="DP11" s="2">
        <v>210</v>
      </c>
      <c r="DQ11" s="2">
        <v>5</v>
      </c>
      <c r="DR11" s="2">
        <v>213</v>
      </c>
      <c r="DS11" s="2">
        <v>4</v>
      </c>
      <c r="DT11" s="2">
        <v>215</v>
      </c>
      <c r="DU11" s="2">
        <v>3</v>
      </c>
      <c r="DV11" s="2">
        <v>216</v>
      </c>
      <c r="DW11" s="2">
        <v>3</v>
      </c>
      <c r="DX11" s="2">
        <v>137</v>
      </c>
      <c r="DY11" s="2">
        <v>18</v>
      </c>
      <c r="DZ11" s="2">
        <v>156</v>
      </c>
      <c r="EA11" s="2">
        <v>20</v>
      </c>
      <c r="EB11" s="2">
        <v>172</v>
      </c>
      <c r="EC11" s="2">
        <v>16</v>
      </c>
      <c r="ED11" s="2">
        <v>186</v>
      </c>
      <c r="EE11" s="2">
        <v>13</v>
      </c>
      <c r="EF11" s="2">
        <v>198</v>
      </c>
      <c r="EG11" s="2">
        <v>11</v>
      </c>
      <c r="EH11" s="2">
        <v>207</v>
      </c>
      <c r="EI11" s="2">
        <v>10</v>
      </c>
      <c r="EJ11" s="2">
        <v>214</v>
      </c>
      <c r="EK11" s="2">
        <v>8</v>
      </c>
      <c r="EL11" s="2">
        <v>220</v>
      </c>
      <c r="EM11" s="2">
        <v>6</v>
      </c>
      <c r="EN11" s="21">
        <v>224</v>
      </c>
      <c r="EO11" s="2">
        <v>6</v>
      </c>
      <c r="EP11" s="2">
        <v>228</v>
      </c>
      <c r="EQ11" s="2">
        <v>3</v>
      </c>
      <c r="ER11" s="2">
        <v>228</v>
      </c>
      <c r="ES11" s="2">
        <v>3</v>
      </c>
    </row>
    <row r="12" spans="1:149" ht="60" x14ac:dyDescent="0.25">
      <c r="A12" s="3" t="s">
        <v>0</v>
      </c>
      <c r="B12" s="15" t="s">
        <v>78</v>
      </c>
      <c r="C12" s="15" t="s">
        <v>174</v>
      </c>
      <c r="D12" s="15" t="s">
        <v>175</v>
      </c>
      <c r="E12" s="15" t="s">
        <v>38</v>
      </c>
      <c r="F12" s="15" t="s">
        <v>63</v>
      </c>
      <c r="G12" s="15" t="s">
        <v>78</v>
      </c>
      <c r="H12" s="15" t="s">
        <v>174</v>
      </c>
      <c r="I12" s="15" t="s">
        <v>175</v>
      </c>
      <c r="J12" s="15" t="s">
        <v>61</v>
      </c>
      <c r="K12" s="15" t="s">
        <v>63</v>
      </c>
      <c r="L12" s="15" t="s">
        <v>180</v>
      </c>
      <c r="M12" s="15" t="s">
        <v>41</v>
      </c>
      <c r="N12" s="15" t="s">
        <v>42</v>
      </c>
      <c r="O12" s="15" t="s">
        <v>43</v>
      </c>
      <c r="P12" s="15" t="s">
        <v>62</v>
      </c>
      <c r="CF12" s="2">
        <v>137</v>
      </c>
      <c r="CG12" s="2">
        <v>18</v>
      </c>
      <c r="CH12" s="2">
        <v>156</v>
      </c>
      <c r="CI12" s="2">
        <v>18</v>
      </c>
      <c r="CJ12" s="2">
        <v>171</v>
      </c>
      <c r="CK12" s="2">
        <v>16</v>
      </c>
      <c r="CL12" s="2">
        <v>185</v>
      </c>
      <c r="CM12" s="2">
        <v>11</v>
      </c>
      <c r="CN12" s="2">
        <v>195</v>
      </c>
      <c r="CO12" s="2">
        <v>9</v>
      </c>
      <c r="CP12" s="2">
        <v>202</v>
      </c>
      <c r="CQ12" s="2">
        <v>7</v>
      </c>
      <c r="CR12" s="2">
        <v>207</v>
      </c>
      <c r="CS12" s="2">
        <v>6</v>
      </c>
      <c r="CT12" s="2">
        <v>211</v>
      </c>
      <c r="CU12" s="2">
        <v>5</v>
      </c>
      <c r="CV12" s="2">
        <v>214</v>
      </c>
      <c r="CW12" s="2">
        <v>5</v>
      </c>
      <c r="CX12" s="2">
        <v>216</v>
      </c>
      <c r="CY12" s="2">
        <v>2</v>
      </c>
      <c r="CZ12" s="2">
        <v>218</v>
      </c>
      <c r="DA12" s="2">
        <v>3</v>
      </c>
      <c r="DB12" s="17"/>
      <c r="DC12" s="17"/>
      <c r="DD12" s="17"/>
      <c r="DE12" s="17"/>
      <c r="DF12" s="2">
        <v>171</v>
      </c>
      <c r="DG12" s="2">
        <v>16</v>
      </c>
      <c r="DH12" s="2">
        <v>186</v>
      </c>
      <c r="DI12" s="2">
        <v>12</v>
      </c>
      <c r="DJ12" s="2">
        <v>196</v>
      </c>
      <c r="DK12" s="2">
        <v>9</v>
      </c>
      <c r="DL12" s="2">
        <v>203</v>
      </c>
      <c r="DM12" s="2">
        <v>7</v>
      </c>
      <c r="DN12" s="2">
        <v>207</v>
      </c>
      <c r="DO12" s="2">
        <v>6</v>
      </c>
      <c r="DP12" s="2">
        <v>211</v>
      </c>
      <c r="DQ12" s="2">
        <v>5</v>
      </c>
      <c r="DR12" s="2">
        <v>214</v>
      </c>
      <c r="DS12" s="2">
        <v>4</v>
      </c>
      <c r="DT12" s="2">
        <v>216</v>
      </c>
      <c r="DU12" s="2">
        <v>2</v>
      </c>
      <c r="DV12" s="2">
        <v>217</v>
      </c>
      <c r="DW12" s="2">
        <v>3</v>
      </c>
      <c r="DX12" s="2">
        <v>138</v>
      </c>
      <c r="DY12" s="2">
        <v>18</v>
      </c>
      <c r="DZ12" s="2">
        <v>157</v>
      </c>
      <c r="EA12" s="2">
        <v>20</v>
      </c>
      <c r="EB12" s="2">
        <v>173</v>
      </c>
      <c r="EC12" s="2">
        <v>15</v>
      </c>
      <c r="ED12" s="2">
        <v>187</v>
      </c>
      <c r="EE12" s="2">
        <v>13</v>
      </c>
      <c r="EF12" s="2">
        <v>199</v>
      </c>
      <c r="EG12" s="2">
        <v>10</v>
      </c>
      <c r="EH12" s="2">
        <v>208</v>
      </c>
      <c r="EI12" s="2">
        <v>10</v>
      </c>
      <c r="EJ12" s="2">
        <v>215</v>
      </c>
      <c r="EK12" s="2">
        <v>8</v>
      </c>
      <c r="EL12" s="2">
        <v>221</v>
      </c>
      <c r="EM12" s="2">
        <v>6</v>
      </c>
      <c r="EN12" s="21">
        <v>225</v>
      </c>
      <c r="EO12" s="2">
        <v>5</v>
      </c>
      <c r="EP12" s="2">
        <v>229</v>
      </c>
      <c r="EQ12" s="2">
        <v>3</v>
      </c>
      <c r="ER12" s="2">
        <v>229</v>
      </c>
      <c r="ES12" s="2">
        <v>3</v>
      </c>
    </row>
    <row r="13" spans="1:149" x14ac:dyDescent="0.25">
      <c r="A13" s="3" t="s">
        <v>1</v>
      </c>
      <c r="B13" s="91"/>
      <c r="C13" s="91"/>
      <c r="D13" s="21" t="e">
        <f>C13/B13</f>
        <v>#DIV/0!</v>
      </c>
      <c r="E13" s="93" t="s">
        <v>167</v>
      </c>
      <c r="F13" s="2">
        <v>142</v>
      </c>
      <c r="G13" s="91"/>
      <c r="H13" s="91"/>
      <c r="I13" s="21" t="e">
        <f>H13/G13</f>
        <v>#DIV/0!</v>
      </c>
      <c r="J13" s="93" t="s">
        <v>167</v>
      </c>
      <c r="K13" s="2">
        <v>156</v>
      </c>
      <c r="L13" s="2" t="e">
        <f>I13-D13</f>
        <v>#DIV/0!</v>
      </c>
      <c r="M13" s="2" t="str">
        <f>E13</f>
        <v>-</v>
      </c>
      <c r="N13" s="2" t="str">
        <f t="shared" ref="N13:N23" si="0">J13</f>
        <v>-</v>
      </c>
      <c r="O13" s="2" t="e">
        <f>N13-M13</f>
        <v>#VALUE!</v>
      </c>
      <c r="P13" s="2" t="e">
        <f>VLOOKUP(M13,$CF$4:$CG$28,2, FALSE)</f>
        <v>#N/A</v>
      </c>
      <c r="CF13" s="2">
        <v>138</v>
      </c>
      <c r="CG13" s="2">
        <v>18</v>
      </c>
      <c r="CH13" s="2">
        <v>157</v>
      </c>
      <c r="CI13" s="2">
        <v>18</v>
      </c>
      <c r="CJ13" s="2">
        <v>172</v>
      </c>
      <c r="CK13" s="2">
        <v>16</v>
      </c>
      <c r="CL13" s="2">
        <v>186</v>
      </c>
      <c r="CM13" s="2">
        <v>11</v>
      </c>
      <c r="CN13" s="2">
        <v>196</v>
      </c>
      <c r="CO13" s="2">
        <v>9</v>
      </c>
      <c r="CP13" s="2">
        <v>203</v>
      </c>
      <c r="CQ13" s="2">
        <v>7</v>
      </c>
      <c r="CR13" s="2">
        <v>208</v>
      </c>
      <c r="CS13" s="2">
        <v>6</v>
      </c>
      <c r="CT13" s="2">
        <v>212</v>
      </c>
      <c r="CU13" s="2">
        <v>5</v>
      </c>
      <c r="CV13" s="2">
        <v>215</v>
      </c>
      <c r="CW13" s="2">
        <v>5</v>
      </c>
      <c r="CX13" s="2">
        <v>217</v>
      </c>
      <c r="CY13" s="2">
        <v>2</v>
      </c>
      <c r="CZ13" s="2">
        <v>219</v>
      </c>
      <c r="DA13" s="2">
        <v>3</v>
      </c>
      <c r="DB13" s="17"/>
      <c r="DC13" s="17"/>
      <c r="DD13" s="17"/>
      <c r="DE13" s="17"/>
      <c r="DF13" s="2">
        <v>172</v>
      </c>
      <c r="DG13" s="2">
        <v>16</v>
      </c>
      <c r="DH13" s="2">
        <v>187</v>
      </c>
      <c r="DI13" s="2">
        <v>12</v>
      </c>
      <c r="DJ13" s="2">
        <v>197</v>
      </c>
      <c r="DK13" s="2">
        <v>9</v>
      </c>
      <c r="DL13" s="2">
        <v>204</v>
      </c>
      <c r="DM13" s="2">
        <v>7</v>
      </c>
      <c r="DN13" s="2">
        <v>208</v>
      </c>
      <c r="DO13" s="2">
        <v>6</v>
      </c>
      <c r="DP13" s="2">
        <v>212</v>
      </c>
      <c r="DQ13" s="2">
        <v>5</v>
      </c>
      <c r="DR13" s="2">
        <v>215</v>
      </c>
      <c r="DS13" s="2">
        <v>4</v>
      </c>
      <c r="DT13" s="2">
        <v>217</v>
      </c>
      <c r="DU13" s="2">
        <v>2</v>
      </c>
      <c r="DV13" s="2">
        <v>218</v>
      </c>
      <c r="DW13" s="2">
        <v>3</v>
      </c>
      <c r="DX13" s="2">
        <v>139</v>
      </c>
      <c r="DY13" s="2">
        <v>18</v>
      </c>
      <c r="DZ13" s="2">
        <v>158</v>
      </c>
      <c r="EA13" s="2">
        <v>20</v>
      </c>
      <c r="EB13" s="2">
        <v>174</v>
      </c>
      <c r="EC13" s="2">
        <v>15</v>
      </c>
      <c r="ED13" s="2">
        <v>188</v>
      </c>
      <c r="EE13" s="2">
        <v>13</v>
      </c>
      <c r="EF13" s="2">
        <v>200</v>
      </c>
      <c r="EG13" s="2">
        <v>10</v>
      </c>
      <c r="EH13" s="2">
        <v>209</v>
      </c>
      <c r="EI13" s="2">
        <v>10</v>
      </c>
      <c r="EJ13" s="2">
        <v>216</v>
      </c>
      <c r="EK13" s="2">
        <v>7</v>
      </c>
      <c r="EL13" s="2">
        <v>222</v>
      </c>
      <c r="EM13" s="2">
        <v>6</v>
      </c>
      <c r="EN13" s="21">
        <v>226</v>
      </c>
      <c r="EO13" s="2">
        <v>5</v>
      </c>
      <c r="EP13" s="2">
        <v>230</v>
      </c>
      <c r="EQ13" s="2">
        <v>3</v>
      </c>
      <c r="ER13" s="2">
        <v>230</v>
      </c>
      <c r="ES13" s="2">
        <v>3</v>
      </c>
    </row>
    <row r="14" spans="1:149" x14ac:dyDescent="0.25">
      <c r="A14" s="3">
        <v>1</v>
      </c>
      <c r="B14" s="91"/>
      <c r="C14" s="91"/>
      <c r="D14" s="21" t="e">
        <f t="shared" ref="D14:D23" si="1">C14/B14</f>
        <v>#DIV/0!</v>
      </c>
      <c r="E14" s="93" t="s">
        <v>167</v>
      </c>
      <c r="F14" s="2">
        <v>160</v>
      </c>
      <c r="G14" s="91"/>
      <c r="H14" s="91"/>
      <c r="I14" s="21" t="e">
        <f t="shared" ref="I14:I23" si="2">H14/G14</f>
        <v>#DIV/0!</v>
      </c>
      <c r="J14" s="93" t="s">
        <v>167</v>
      </c>
      <c r="K14" s="2">
        <v>174</v>
      </c>
      <c r="L14" s="2" t="e">
        <f t="shared" ref="L14:L23" si="3">I14-D14</f>
        <v>#DIV/0!</v>
      </c>
      <c r="M14" s="2" t="str">
        <f>E14</f>
        <v>-</v>
      </c>
      <c r="N14" s="2" t="str">
        <f t="shared" si="0"/>
        <v>-</v>
      </c>
      <c r="O14" s="2" t="e">
        <f t="shared" ref="O14:O23" si="4">N14-M14</f>
        <v>#VALUE!</v>
      </c>
      <c r="P14" s="2" t="e">
        <f>VLOOKUP(M14,$CH$4:$CI$28,2, FALSE)</f>
        <v>#N/A</v>
      </c>
      <c r="CF14" s="2">
        <v>139</v>
      </c>
      <c r="CG14" s="2">
        <v>18</v>
      </c>
      <c r="CH14" s="2">
        <v>158</v>
      </c>
      <c r="CI14" s="2">
        <v>18</v>
      </c>
      <c r="CJ14" s="2">
        <v>173</v>
      </c>
      <c r="CK14" s="2">
        <v>15</v>
      </c>
      <c r="CL14" s="2">
        <v>187</v>
      </c>
      <c r="CM14" s="2">
        <v>11</v>
      </c>
      <c r="CN14" s="2">
        <v>197</v>
      </c>
      <c r="CO14" s="2">
        <v>8</v>
      </c>
      <c r="CP14" s="2">
        <v>204</v>
      </c>
      <c r="CQ14" s="2">
        <v>7</v>
      </c>
      <c r="CR14" s="2">
        <v>209</v>
      </c>
      <c r="CS14" s="2">
        <v>6</v>
      </c>
      <c r="CT14" s="2">
        <v>213</v>
      </c>
      <c r="CU14" s="2">
        <v>5</v>
      </c>
      <c r="CV14" s="2">
        <v>216</v>
      </c>
      <c r="CW14" s="2">
        <v>4</v>
      </c>
      <c r="CX14" s="2">
        <v>218</v>
      </c>
      <c r="CY14" s="2">
        <v>2</v>
      </c>
      <c r="CZ14" s="2">
        <v>220</v>
      </c>
      <c r="DA14" s="2">
        <v>2</v>
      </c>
      <c r="DB14" s="17"/>
      <c r="DC14" s="17"/>
      <c r="DD14" s="17"/>
      <c r="DE14" s="17"/>
      <c r="DF14" s="2">
        <v>173</v>
      </c>
      <c r="DG14" s="2">
        <v>16</v>
      </c>
      <c r="DH14" s="2">
        <v>188</v>
      </c>
      <c r="DI14" s="2">
        <v>11</v>
      </c>
      <c r="DJ14" s="2">
        <v>198</v>
      </c>
      <c r="DK14" s="2">
        <v>8</v>
      </c>
      <c r="DL14" s="2">
        <v>205</v>
      </c>
      <c r="DM14" s="2">
        <v>6</v>
      </c>
      <c r="DN14" s="2">
        <v>209</v>
      </c>
      <c r="DO14" s="2">
        <v>5</v>
      </c>
      <c r="DP14" s="2">
        <v>213</v>
      </c>
      <c r="DQ14" s="2">
        <v>4</v>
      </c>
      <c r="DR14" s="2">
        <v>216</v>
      </c>
      <c r="DS14" s="2">
        <v>4</v>
      </c>
      <c r="DT14" s="2">
        <v>218</v>
      </c>
      <c r="DU14" s="2">
        <v>2</v>
      </c>
      <c r="DV14" s="2">
        <v>219</v>
      </c>
      <c r="DW14" s="2">
        <v>2</v>
      </c>
      <c r="DX14" s="2">
        <v>140</v>
      </c>
      <c r="DY14" s="2">
        <v>18</v>
      </c>
      <c r="DZ14" s="2">
        <v>159</v>
      </c>
      <c r="EA14" s="2">
        <v>19</v>
      </c>
      <c r="EB14" s="2">
        <v>175</v>
      </c>
      <c r="EC14" s="2">
        <v>15</v>
      </c>
      <c r="ED14" s="2">
        <v>189</v>
      </c>
      <c r="EE14" s="2">
        <v>12</v>
      </c>
      <c r="EF14" s="2">
        <v>201</v>
      </c>
      <c r="EG14" s="2">
        <v>10</v>
      </c>
      <c r="EH14" s="2">
        <v>210</v>
      </c>
      <c r="EI14" s="2">
        <v>9</v>
      </c>
      <c r="EJ14" s="2">
        <v>217</v>
      </c>
      <c r="EK14" s="2">
        <v>7</v>
      </c>
      <c r="EL14" s="2">
        <v>223</v>
      </c>
      <c r="EM14" s="2">
        <v>6</v>
      </c>
      <c r="EN14" s="21">
        <v>227</v>
      </c>
      <c r="EO14" s="2">
        <v>5</v>
      </c>
      <c r="EP14" s="2">
        <v>231</v>
      </c>
      <c r="EQ14" s="2">
        <v>3</v>
      </c>
      <c r="ER14" s="2">
        <v>231</v>
      </c>
      <c r="ES14" s="2">
        <v>3</v>
      </c>
    </row>
    <row r="15" spans="1:149" x14ac:dyDescent="0.25">
      <c r="A15" s="3">
        <v>2</v>
      </c>
      <c r="B15" s="91"/>
      <c r="C15" s="91"/>
      <c r="D15" s="21" t="e">
        <f t="shared" si="1"/>
        <v>#DIV/0!</v>
      </c>
      <c r="E15" s="93" t="s">
        <v>167</v>
      </c>
      <c r="F15" s="2">
        <v>176</v>
      </c>
      <c r="G15" s="91"/>
      <c r="H15" s="91"/>
      <c r="I15" s="21" t="e">
        <f t="shared" si="2"/>
        <v>#DIV/0!</v>
      </c>
      <c r="J15" s="93" t="s">
        <v>167</v>
      </c>
      <c r="K15" s="2">
        <v>187</v>
      </c>
      <c r="L15" s="2" t="e">
        <f t="shared" si="3"/>
        <v>#DIV/0!</v>
      </c>
      <c r="M15" s="2" t="str">
        <f t="shared" ref="M15:M23" si="5">E15</f>
        <v>-</v>
      </c>
      <c r="N15" s="2" t="str">
        <f t="shared" si="0"/>
        <v>-</v>
      </c>
      <c r="O15" s="2" t="e">
        <f t="shared" si="4"/>
        <v>#VALUE!</v>
      </c>
      <c r="P15" s="2" t="e">
        <f>VLOOKUP(M15,$CJ$4:$CK$28,2, FALSE)</f>
        <v>#N/A</v>
      </c>
      <c r="CF15" s="2">
        <v>140</v>
      </c>
      <c r="CG15" s="2">
        <v>18</v>
      </c>
      <c r="CH15" s="2">
        <v>159</v>
      </c>
      <c r="CI15" s="2">
        <v>18</v>
      </c>
      <c r="CJ15" s="2">
        <v>174</v>
      </c>
      <c r="CK15" s="2">
        <v>15</v>
      </c>
      <c r="CL15" s="2">
        <v>188</v>
      </c>
      <c r="CM15" s="2">
        <v>11</v>
      </c>
      <c r="CN15" s="2">
        <v>198</v>
      </c>
      <c r="CO15" s="2">
        <v>8</v>
      </c>
      <c r="CP15" s="2">
        <v>205</v>
      </c>
      <c r="CQ15" s="2">
        <v>7</v>
      </c>
      <c r="CR15" s="2">
        <v>210</v>
      </c>
      <c r="CS15" s="2">
        <v>6</v>
      </c>
      <c r="CT15" s="2">
        <v>214</v>
      </c>
      <c r="CU15" s="2">
        <v>5</v>
      </c>
      <c r="CV15" s="2">
        <v>217</v>
      </c>
      <c r="CW15" s="2">
        <v>4</v>
      </c>
      <c r="CX15" s="2">
        <v>219</v>
      </c>
      <c r="CY15" s="2">
        <v>2</v>
      </c>
      <c r="CZ15" s="2">
        <v>221</v>
      </c>
      <c r="DA15" s="2">
        <v>2</v>
      </c>
      <c r="DB15" s="17"/>
      <c r="DC15" s="17"/>
      <c r="DD15" s="17"/>
      <c r="DE15" s="17"/>
      <c r="DF15" s="2">
        <v>174</v>
      </c>
      <c r="DG15" s="2">
        <v>16</v>
      </c>
      <c r="DH15" s="2">
        <v>189</v>
      </c>
      <c r="DI15" s="2">
        <v>11</v>
      </c>
      <c r="DJ15" s="2">
        <v>199</v>
      </c>
      <c r="DK15" s="2">
        <v>8</v>
      </c>
      <c r="DL15" s="2">
        <v>206</v>
      </c>
      <c r="DM15" s="2">
        <v>6</v>
      </c>
      <c r="DN15" s="2">
        <v>210</v>
      </c>
      <c r="DO15" s="2">
        <v>5</v>
      </c>
      <c r="DP15" s="2">
        <v>214</v>
      </c>
      <c r="DQ15" s="2">
        <v>4</v>
      </c>
      <c r="DR15" s="2">
        <v>217</v>
      </c>
      <c r="DS15" s="2">
        <v>4</v>
      </c>
      <c r="DT15" s="2">
        <v>219</v>
      </c>
      <c r="DU15" s="2">
        <v>2</v>
      </c>
      <c r="DV15" s="2">
        <v>220</v>
      </c>
      <c r="DW15" s="2">
        <v>2</v>
      </c>
      <c r="DX15" s="2">
        <v>141</v>
      </c>
      <c r="DY15" s="2">
        <v>18</v>
      </c>
      <c r="DZ15" s="2">
        <v>160</v>
      </c>
      <c r="EA15" s="2">
        <v>19</v>
      </c>
      <c r="EB15" s="2">
        <v>176</v>
      </c>
      <c r="EC15" s="2">
        <v>15</v>
      </c>
      <c r="ED15" s="2">
        <v>190</v>
      </c>
      <c r="EE15" s="2">
        <v>12</v>
      </c>
      <c r="EF15" s="2">
        <v>202</v>
      </c>
      <c r="EG15" s="2">
        <v>10</v>
      </c>
      <c r="EH15" s="2">
        <v>211</v>
      </c>
      <c r="EI15" s="2">
        <v>9</v>
      </c>
      <c r="EJ15" s="2">
        <v>218</v>
      </c>
      <c r="EK15" s="2">
        <v>7</v>
      </c>
      <c r="EL15" s="2">
        <v>224</v>
      </c>
      <c r="EM15" s="2">
        <v>6</v>
      </c>
      <c r="EN15" s="21">
        <v>228</v>
      </c>
      <c r="EO15" s="2">
        <v>5</v>
      </c>
      <c r="EP15" s="2">
        <v>232</v>
      </c>
      <c r="EQ15" s="2">
        <v>3</v>
      </c>
      <c r="ER15" s="2">
        <v>232</v>
      </c>
      <c r="ES15" s="2">
        <v>3</v>
      </c>
    </row>
    <row r="16" spans="1:149" x14ac:dyDescent="0.25">
      <c r="A16" s="22">
        <v>3</v>
      </c>
      <c r="B16" s="92"/>
      <c r="C16" s="92"/>
      <c r="D16" s="4" t="e">
        <f t="shared" si="1"/>
        <v>#DIV/0!</v>
      </c>
      <c r="E16" s="94" t="s">
        <v>167</v>
      </c>
      <c r="F16" s="4">
        <v>190</v>
      </c>
      <c r="G16" s="92"/>
      <c r="H16" s="92"/>
      <c r="I16" s="4" t="e">
        <f>H16/G16</f>
        <v>#DIV/0!</v>
      </c>
      <c r="J16" s="94" t="s">
        <v>167</v>
      </c>
      <c r="K16" s="4">
        <v>198</v>
      </c>
      <c r="L16" s="2" t="e">
        <f t="shared" si="3"/>
        <v>#DIV/0!</v>
      </c>
      <c r="M16" s="2" t="str">
        <f t="shared" si="5"/>
        <v>-</v>
      </c>
      <c r="N16" s="2" t="str">
        <f t="shared" si="0"/>
        <v>-</v>
      </c>
      <c r="O16" s="2" t="e">
        <f t="shared" si="4"/>
        <v>#VALUE!</v>
      </c>
      <c r="P16" s="2" t="e">
        <f>VLOOKUP(M16,$CL$4:$CM$28,2, FALSE)</f>
        <v>#N/A</v>
      </c>
      <c r="CF16" s="2">
        <v>141</v>
      </c>
      <c r="CG16" s="2">
        <v>18</v>
      </c>
      <c r="CH16" s="2">
        <v>160</v>
      </c>
      <c r="CI16" s="2">
        <v>17</v>
      </c>
      <c r="CJ16" s="2">
        <v>175</v>
      </c>
      <c r="CK16" s="2">
        <v>15</v>
      </c>
      <c r="CL16" s="2">
        <v>189</v>
      </c>
      <c r="CM16" s="2">
        <v>10</v>
      </c>
      <c r="CN16" s="2">
        <v>199</v>
      </c>
      <c r="CO16" s="2">
        <v>8</v>
      </c>
      <c r="CP16" s="2">
        <v>206</v>
      </c>
      <c r="CQ16" s="2">
        <v>6</v>
      </c>
      <c r="CR16" s="2">
        <v>211</v>
      </c>
      <c r="CS16" s="2">
        <v>5</v>
      </c>
      <c r="CT16" s="2">
        <v>215</v>
      </c>
      <c r="CU16" s="2">
        <v>4</v>
      </c>
      <c r="CV16" s="2">
        <v>218</v>
      </c>
      <c r="CW16" s="2">
        <v>4</v>
      </c>
      <c r="CX16" s="2">
        <v>220</v>
      </c>
      <c r="CY16" s="2">
        <v>2</v>
      </c>
      <c r="CZ16" s="2">
        <v>222</v>
      </c>
      <c r="DA16" s="2">
        <v>2</v>
      </c>
      <c r="DB16" s="17"/>
      <c r="DC16" s="17"/>
      <c r="DD16" s="17"/>
      <c r="DE16" s="17"/>
      <c r="DF16" s="2">
        <v>175</v>
      </c>
      <c r="DG16" s="2">
        <v>15</v>
      </c>
      <c r="DH16" s="2">
        <v>190</v>
      </c>
      <c r="DI16" s="2">
        <v>11</v>
      </c>
      <c r="DJ16" s="2">
        <v>200</v>
      </c>
      <c r="DK16" s="2">
        <v>8</v>
      </c>
      <c r="DL16" s="2">
        <v>207</v>
      </c>
      <c r="DM16" s="2">
        <v>6</v>
      </c>
      <c r="DN16" s="2">
        <v>211</v>
      </c>
      <c r="DO16" s="2">
        <v>5</v>
      </c>
      <c r="DP16" s="2">
        <v>215</v>
      </c>
      <c r="DQ16" s="2">
        <v>4</v>
      </c>
      <c r="DR16" s="2">
        <v>218</v>
      </c>
      <c r="DS16" s="2">
        <v>3</v>
      </c>
      <c r="DT16" s="2">
        <v>220</v>
      </c>
      <c r="DU16" s="2">
        <v>2</v>
      </c>
      <c r="DV16" s="2">
        <v>221</v>
      </c>
      <c r="DW16" s="2">
        <v>2</v>
      </c>
      <c r="DX16" s="2">
        <v>142</v>
      </c>
      <c r="DY16" s="2">
        <v>18</v>
      </c>
      <c r="DZ16" s="2">
        <v>161</v>
      </c>
      <c r="EA16" s="2">
        <v>19</v>
      </c>
      <c r="EB16" s="2">
        <v>177</v>
      </c>
      <c r="EC16" s="2">
        <v>14</v>
      </c>
      <c r="ED16" s="2">
        <v>191</v>
      </c>
      <c r="EE16" s="2">
        <v>12</v>
      </c>
      <c r="EF16" s="2">
        <v>203</v>
      </c>
      <c r="EG16" s="2">
        <v>10</v>
      </c>
      <c r="EH16" s="2">
        <v>212</v>
      </c>
      <c r="EI16" s="2">
        <v>9</v>
      </c>
      <c r="EJ16" s="2">
        <v>219</v>
      </c>
      <c r="EK16" s="2">
        <v>7</v>
      </c>
      <c r="EL16" s="2">
        <v>225</v>
      </c>
      <c r="EM16" s="2">
        <v>6</v>
      </c>
      <c r="EN16" s="21">
        <v>229</v>
      </c>
      <c r="EO16" s="2">
        <v>5</v>
      </c>
      <c r="EP16" s="2">
        <v>233</v>
      </c>
      <c r="EQ16" s="2">
        <v>3</v>
      </c>
      <c r="ER16" s="2">
        <v>233</v>
      </c>
      <c r="ES16" s="2">
        <v>3</v>
      </c>
    </row>
    <row r="17" spans="1:149" x14ac:dyDescent="0.25">
      <c r="A17" s="22">
        <v>4</v>
      </c>
      <c r="B17" s="92"/>
      <c r="C17" s="92"/>
      <c r="D17" s="4" t="e">
        <f t="shared" si="1"/>
        <v>#DIV/0!</v>
      </c>
      <c r="E17" s="94" t="s">
        <v>167</v>
      </c>
      <c r="F17" s="4">
        <v>199</v>
      </c>
      <c r="G17" s="92"/>
      <c r="H17" s="92"/>
      <c r="I17" s="4" t="e">
        <f t="shared" si="2"/>
        <v>#DIV/0!</v>
      </c>
      <c r="J17" s="94" t="s">
        <v>167</v>
      </c>
      <c r="K17" s="4">
        <v>205</v>
      </c>
      <c r="L17" s="4" t="e">
        <f t="shared" si="3"/>
        <v>#DIV/0!</v>
      </c>
      <c r="M17" s="4" t="str">
        <f t="shared" si="5"/>
        <v>-</v>
      </c>
      <c r="N17" s="4" t="str">
        <f t="shared" si="0"/>
        <v>-</v>
      </c>
      <c r="O17" s="4" t="e">
        <f t="shared" si="4"/>
        <v>#VALUE!</v>
      </c>
      <c r="P17" s="4" t="e">
        <f>VLOOKUP(M17,$CN$4:$CO$28,2, FALSE)</f>
        <v>#N/A</v>
      </c>
      <c r="CF17" s="2">
        <v>142</v>
      </c>
      <c r="CG17" s="2">
        <v>18</v>
      </c>
      <c r="CH17" s="2">
        <v>161</v>
      </c>
      <c r="CI17" s="2">
        <v>17</v>
      </c>
      <c r="CJ17" s="2">
        <v>176</v>
      </c>
      <c r="CK17" s="2">
        <v>15</v>
      </c>
      <c r="CL17" s="2">
        <v>190</v>
      </c>
      <c r="CM17" s="2">
        <v>10</v>
      </c>
      <c r="CN17" s="2">
        <v>200</v>
      </c>
      <c r="CO17" s="2">
        <v>8</v>
      </c>
      <c r="CP17" s="2">
        <v>207</v>
      </c>
      <c r="CQ17" s="2">
        <v>6</v>
      </c>
      <c r="CR17" s="2">
        <v>212</v>
      </c>
      <c r="CS17" s="2">
        <v>5</v>
      </c>
      <c r="CT17" s="2">
        <v>216</v>
      </c>
      <c r="CU17" s="2">
        <v>4</v>
      </c>
      <c r="CV17" s="2">
        <v>219</v>
      </c>
      <c r="CW17" s="2">
        <v>4</v>
      </c>
      <c r="CX17" s="2">
        <v>221</v>
      </c>
      <c r="CY17" s="2">
        <v>2</v>
      </c>
      <c r="CZ17" s="2">
        <v>223</v>
      </c>
      <c r="DA17" s="2">
        <v>2</v>
      </c>
      <c r="DB17" s="17"/>
      <c r="DC17" s="17"/>
      <c r="DD17" s="17"/>
      <c r="DE17" s="17"/>
      <c r="DF17" s="2">
        <v>176</v>
      </c>
      <c r="DG17" s="2">
        <v>15</v>
      </c>
      <c r="DH17" s="2">
        <v>191</v>
      </c>
      <c r="DI17" s="2">
        <v>11</v>
      </c>
      <c r="DJ17" s="2">
        <v>201</v>
      </c>
      <c r="DK17" s="2">
        <v>8</v>
      </c>
      <c r="DL17" s="2">
        <v>208</v>
      </c>
      <c r="DM17" s="2">
        <v>6</v>
      </c>
      <c r="DN17" s="2">
        <v>212</v>
      </c>
      <c r="DO17" s="2">
        <v>5</v>
      </c>
      <c r="DP17" s="2">
        <v>216</v>
      </c>
      <c r="DQ17" s="2">
        <v>4</v>
      </c>
      <c r="DR17" s="2">
        <v>219</v>
      </c>
      <c r="DS17" s="2">
        <v>3</v>
      </c>
      <c r="DT17" s="2">
        <v>221</v>
      </c>
      <c r="DU17" s="2">
        <v>2</v>
      </c>
      <c r="DV17" s="2">
        <v>222</v>
      </c>
      <c r="DW17" s="2">
        <v>2</v>
      </c>
      <c r="DX17" s="2">
        <v>143</v>
      </c>
      <c r="DY17" s="2">
        <v>18</v>
      </c>
      <c r="DZ17" s="2">
        <v>162</v>
      </c>
      <c r="EA17" s="2">
        <v>19</v>
      </c>
      <c r="EB17" s="2">
        <v>178</v>
      </c>
      <c r="EC17" s="2">
        <v>14</v>
      </c>
      <c r="ED17" s="2">
        <v>192</v>
      </c>
      <c r="EE17" s="2">
        <v>12</v>
      </c>
      <c r="EF17" s="2">
        <v>204</v>
      </c>
      <c r="EG17" s="2">
        <v>10</v>
      </c>
      <c r="EH17" s="2">
        <v>213</v>
      </c>
      <c r="EI17" s="2">
        <v>9</v>
      </c>
      <c r="EJ17" s="2">
        <v>220</v>
      </c>
      <c r="EK17" s="2">
        <v>7</v>
      </c>
      <c r="EL17" s="2">
        <v>226</v>
      </c>
      <c r="EM17" s="2">
        <v>6</v>
      </c>
      <c r="EN17" s="21">
        <v>230</v>
      </c>
      <c r="EO17" s="2">
        <v>5</v>
      </c>
      <c r="EP17" s="2">
        <v>234</v>
      </c>
      <c r="EQ17" s="2">
        <v>3</v>
      </c>
      <c r="ER17" s="2">
        <v>234</v>
      </c>
      <c r="ES17" s="2">
        <v>3</v>
      </c>
    </row>
    <row r="18" spans="1:149" x14ac:dyDescent="0.25">
      <c r="A18" s="22">
        <v>5</v>
      </c>
      <c r="B18" s="92"/>
      <c r="C18" s="92"/>
      <c r="D18" s="4" t="e">
        <f t="shared" si="1"/>
        <v>#DIV/0!</v>
      </c>
      <c r="E18" s="94" t="s">
        <v>167</v>
      </c>
      <c r="F18" s="4">
        <v>206</v>
      </c>
      <c r="G18" s="92"/>
      <c r="H18" s="92"/>
      <c r="I18" s="4" t="e">
        <f t="shared" si="2"/>
        <v>#DIV/0!</v>
      </c>
      <c r="J18" s="94" t="s">
        <v>167</v>
      </c>
      <c r="K18" s="4">
        <v>211</v>
      </c>
      <c r="L18" s="4" t="e">
        <f t="shared" si="3"/>
        <v>#DIV/0!</v>
      </c>
      <c r="M18" s="4" t="str">
        <f t="shared" si="5"/>
        <v>-</v>
      </c>
      <c r="N18" s="4" t="str">
        <f t="shared" si="0"/>
        <v>-</v>
      </c>
      <c r="O18" s="4" t="e">
        <f t="shared" si="4"/>
        <v>#VALUE!</v>
      </c>
      <c r="P18" s="4" t="e">
        <f>VLOOKUP(M18,$CP$4:$CQ$28,2, FALSE)</f>
        <v>#N/A</v>
      </c>
      <c r="CF18" s="2">
        <v>143</v>
      </c>
      <c r="CG18" s="2">
        <v>18</v>
      </c>
      <c r="CH18" s="2">
        <v>162</v>
      </c>
      <c r="CI18" s="2">
        <v>17</v>
      </c>
      <c r="CJ18" s="2">
        <v>177</v>
      </c>
      <c r="CK18" s="2">
        <v>14</v>
      </c>
      <c r="CL18" s="2">
        <v>191</v>
      </c>
      <c r="CM18" s="2">
        <v>10</v>
      </c>
      <c r="CN18" s="2">
        <v>201</v>
      </c>
      <c r="CO18" s="2">
        <v>7</v>
      </c>
      <c r="CP18" s="2">
        <v>208</v>
      </c>
      <c r="CQ18" s="2">
        <v>6</v>
      </c>
      <c r="CR18" s="2">
        <v>213</v>
      </c>
      <c r="CS18" s="2">
        <v>5</v>
      </c>
      <c r="CT18" s="2">
        <v>217</v>
      </c>
      <c r="CU18" s="2">
        <v>3</v>
      </c>
      <c r="CV18" s="2">
        <v>220</v>
      </c>
      <c r="CW18" s="2">
        <v>3</v>
      </c>
      <c r="CX18" s="2">
        <v>222</v>
      </c>
      <c r="CY18" s="2">
        <v>2</v>
      </c>
      <c r="CZ18" s="2">
        <v>224</v>
      </c>
      <c r="DA18" s="2">
        <v>2</v>
      </c>
      <c r="DB18" s="17"/>
      <c r="DC18" s="17"/>
      <c r="DD18" s="17"/>
      <c r="DE18" s="17"/>
      <c r="DF18" s="2">
        <v>177</v>
      </c>
      <c r="DG18" s="2">
        <v>15</v>
      </c>
      <c r="DH18" s="2">
        <v>192</v>
      </c>
      <c r="DI18" s="2">
        <v>10</v>
      </c>
      <c r="DJ18" s="2">
        <v>202</v>
      </c>
      <c r="DK18" s="2">
        <v>7</v>
      </c>
      <c r="DL18" s="2">
        <v>209</v>
      </c>
      <c r="DM18" s="2">
        <v>5</v>
      </c>
      <c r="DN18" s="2">
        <v>213</v>
      </c>
      <c r="DO18" s="2">
        <v>4</v>
      </c>
      <c r="DP18" s="2">
        <v>217</v>
      </c>
      <c r="DQ18" s="2">
        <v>3</v>
      </c>
      <c r="DR18" s="2">
        <v>220</v>
      </c>
      <c r="DS18" s="2">
        <v>3</v>
      </c>
      <c r="DT18" s="2">
        <v>222</v>
      </c>
      <c r="DU18" s="2">
        <v>1</v>
      </c>
      <c r="DV18" s="2">
        <v>223</v>
      </c>
      <c r="DW18" s="2">
        <v>1</v>
      </c>
      <c r="DX18" s="2">
        <v>144</v>
      </c>
      <c r="DY18" s="2">
        <v>17</v>
      </c>
      <c r="DZ18" s="2">
        <v>163</v>
      </c>
      <c r="EA18" s="2">
        <v>18</v>
      </c>
      <c r="EB18" s="2">
        <v>179</v>
      </c>
      <c r="EC18" s="2">
        <v>14</v>
      </c>
      <c r="ED18" s="2">
        <v>193</v>
      </c>
      <c r="EE18" s="2">
        <v>12</v>
      </c>
      <c r="EF18" s="2">
        <v>205</v>
      </c>
      <c r="EG18" s="2">
        <v>10</v>
      </c>
      <c r="EH18" s="2">
        <v>214</v>
      </c>
      <c r="EI18" s="2">
        <v>9</v>
      </c>
      <c r="EJ18" s="2">
        <v>221</v>
      </c>
      <c r="EK18" s="2">
        <v>7</v>
      </c>
      <c r="EL18" s="2">
        <v>227</v>
      </c>
      <c r="EM18" s="2">
        <v>6</v>
      </c>
      <c r="EN18" s="21">
        <v>231</v>
      </c>
      <c r="EO18" s="2">
        <v>5</v>
      </c>
      <c r="EP18" s="2">
        <v>235</v>
      </c>
      <c r="EQ18" s="2">
        <v>3</v>
      </c>
      <c r="ER18" s="2">
        <v>235</v>
      </c>
      <c r="ES18" s="2">
        <v>3</v>
      </c>
    </row>
    <row r="19" spans="1:149" x14ac:dyDescent="0.25">
      <c r="A19" s="22">
        <v>6</v>
      </c>
      <c r="B19" s="92"/>
      <c r="C19" s="92"/>
      <c r="D19" s="4" t="e">
        <f t="shared" si="1"/>
        <v>#DIV/0!</v>
      </c>
      <c r="E19" s="94" t="s">
        <v>167</v>
      </c>
      <c r="F19" s="4">
        <v>212</v>
      </c>
      <c r="G19" s="92"/>
      <c r="H19" s="92"/>
      <c r="I19" s="4" t="e">
        <f t="shared" si="2"/>
        <v>#DIV/0!</v>
      </c>
      <c r="J19" s="94" t="s">
        <v>167</v>
      </c>
      <c r="K19" s="4">
        <v>216</v>
      </c>
      <c r="L19" s="4" t="e">
        <f t="shared" si="3"/>
        <v>#DIV/0!</v>
      </c>
      <c r="M19" s="4" t="str">
        <f t="shared" si="5"/>
        <v>-</v>
      </c>
      <c r="N19" s="4" t="str">
        <f t="shared" si="0"/>
        <v>-</v>
      </c>
      <c r="O19" s="4" t="e">
        <f t="shared" si="4"/>
        <v>#VALUE!</v>
      </c>
      <c r="P19" s="4" t="e">
        <f>VLOOKUP(M19,$CR$4:$CS$28,2, FALSE)</f>
        <v>#N/A</v>
      </c>
      <c r="CF19" s="2">
        <v>144</v>
      </c>
      <c r="CG19" s="2">
        <v>18</v>
      </c>
      <c r="CH19" s="2">
        <v>163</v>
      </c>
      <c r="CI19" s="2">
        <v>17</v>
      </c>
      <c r="CJ19" s="2">
        <v>178</v>
      </c>
      <c r="CK19" s="2">
        <v>14</v>
      </c>
      <c r="CL19" s="2">
        <v>192</v>
      </c>
      <c r="CM19" s="2">
        <v>10</v>
      </c>
      <c r="CN19" s="2">
        <v>202</v>
      </c>
      <c r="CO19" s="2">
        <v>7</v>
      </c>
      <c r="CP19" s="2">
        <v>209</v>
      </c>
      <c r="CQ19" s="2">
        <v>6</v>
      </c>
      <c r="CR19" s="2">
        <v>214</v>
      </c>
      <c r="CS19" s="2">
        <v>5</v>
      </c>
      <c r="CT19" s="2">
        <v>218</v>
      </c>
      <c r="CU19" s="2">
        <v>3</v>
      </c>
      <c r="CV19" s="2">
        <v>221</v>
      </c>
      <c r="CW19" s="2">
        <v>3</v>
      </c>
      <c r="CX19" s="2">
        <v>223</v>
      </c>
      <c r="CY19" s="2">
        <v>2</v>
      </c>
      <c r="CZ19" s="2">
        <v>225</v>
      </c>
      <c r="DA19" s="2">
        <v>2</v>
      </c>
      <c r="DB19" s="17"/>
      <c r="DC19" s="17"/>
      <c r="DD19" s="17"/>
      <c r="DE19" s="17"/>
      <c r="DF19" s="2">
        <v>178</v>
      </c>
      <c r="DG19" s="2">
        <v>15</v>
      </c>
      <c r="DH19" s="2">
        <v>193</v>
      </c>
      <c r="DI19" s="2">
        <v>10</v>
      </c>
      <c r="DJ19" s="2">
        <v>203</v>
      </c>
      <c r="DK19" s="2">
        <v>7</v>
      </c>
      <c r="DL19" s="2">
        <v>210</v>
      </c>
      <c r="DM19" s="2">
        <v>5</v>
      </c>
      <c r="DN19" s="2">
        <v>214</v>
      </c>
      <c r="DO19" s="2">
        <v>4</v>
      </c>
      <c r="DP19" s="2">
        <v>218</v>
      </c>
      <c r="DQ19" s="2">
        <v>3</v>
      </c>
      <c r="DR19" s="2">
        <v>221</v>
      </c>
      <c r="DS19" s="2">
        <v>3</v>
      </c>
      <c r="DT19" s="2">
        <v>223</v>
      </c>
      <c r="DU19" s="2">
        <v>1</v>
      </c>
      <c r="DV19" s="2">
        <v>224</v>
      </c>
      <c r="DW19" s="2">
        <v>1</v>
      </c>
      <c r="DX19" s="2">
        <v>145</v>
      </c>
      <c r="DY19" s="2">
        <v>17</v>
      </c>
      <c r="DZ19" s="2">
        <v>164</v>
      </c>
      <c r="EA19" s="2">
        <v>18</v>
      </c>
      <c r="EB19" s="2">
        <v>180</v>
      </c>
      <c r="EC19" s="2">
        <v>14</v>
      </c>
      <c r="ED19" s="2">
        <v>194</v>
      </c>
      <c r="EE19" s="2">
        <v>12</v>
      </c>
      <c r="EF19" s="2">
        <v>206</v>
      </c>
      <c r="EG19" s="2">
        <v>10</v>
      </c>
      <c r="EH19" s="2">
        <v>215</v>
      </c>
      <c r="EI19" s="2">
        <v>9</v>
      </c>
      <c r="EJ19" s="2">
        <v>222</v>
      </c>
      <c r="EK19" s="2">
        <v>7</v>
      </c>
      <c r="EL19" s="2">
        <v>228</v>
      </c>
      <c r="EM19" s="2">
        <v>6</v>
      </c>
      <c r="EN19" s="21">
        <v>232</v>
      </c>
      <c r="EO19" s="2">
        <v>5</v>
      </c>
      <c r="EP19" s="2">
        <v>236</v>
      </c>
      <c r="EQ19" s="2">
        <v>3</v>
      </c>
      <c r="ER19" s="2">
        <v>236</v>
      </c>
      <c r="ES19" s="2">
        <v>3</v>
      </c>
    </row>
    <row r="20" spans="1:149" x14ac:dyDescent="0.25">
      <c r="A20" s="22">
        <v>7</v>
      </c>
      <c r="B20" s="92"/>
      <c r="C20" s="92"/>
      <c r="D20" s="4" t="e">
        <f t="shared" si="1"/>
        <v>#DIV/0!</v>
      </c>
      <c r="E20" s="94" t="s">
        <v>167</v>
      </c>
      <c r="F20" s="4">
        <v>216</v>
      </c>
      <c r="G20" s="92"/>
      <c r="H20" s="92"/>
      <c r="I20" s="4" t="e">
        <f t="shared" si="2"/>
        <v>#DIV/0!</v>
      </c>
      <c r="J20" s="94" t="s">
        <v>167</v>
      </c>
      <c r="K20" s="4">
        <v>219</v>
      </c>
      <c r="L20" s="4" t="e">
        <f t="shared" si="3"/>
        <v>#DIV/0!</v>
      </c>
      <c r="M20" s="4" t="str">
        <f t="shared" si="5"/>
        <v>-</v>
      </c>
      <c r="N20" s="4" t="str">
        <f t="shared" si="0"/>
        <v>-</v>
      </c>
      <c r="O20" s="4" t="e">
        <f t="shared" si="4"/>
        <v>#VALUE!</v>
      </c>
      <c r="P20" s="4" t="e">
        <f>VLOOKUP(M20,$CT$4:$CU$28,2, FALSE)</f>
        <v>#N/A</v>
      </c>
      <c r="CF20" s="2">
        <v>145</v>
      </c>
      <c r="CG20" s="2">
        <v>17</v>
      </c>
      <c r="CH20" s="2">
        <v>164</v>
      </c>
      <c r="CI20" s="2">
        <v>17</v>
      </c>
      <c r="CJ20" s="2">
        <v>179</v>
      </c>
      <c r="CK20" s="2">
        <v>14</v>
      </c>
      <c r="CL20" s="2">
        <v>193</v>
      </c>
      <c r="CM20" s="2">
        <v>9</v>
      </c>
      <c r="CN20" s="2">
        <v>203</v>
      </c>
      <c r="CO20" s="2">
        <v>7</v>
      </c>
      <c r="CP20" s="2">
        <v>210</v>
      </c>
      <c r="CQ20" s="2">
        <v>5</v>
      </c>
      <c r="CR20" s="2">
        <v>215</v>
      </c>
      <c r="CS20" s="2">
        <v>4</v>
      </c>
      <c r="CT20" s="2">
        <v>219</v>
      </c>
      <c r="CU20" s="2">
        <v>3</v>
      </c>
      <c r="CV20" s="2">
        <v>222</v>
      </c>
      <c r="CW20" s="2">
        <v>3</v>
      </c>
      <c r="CX20" s="2">
        <v>224</v>
      </c>
      <c r="CY20" s="2">
        <v>1</v>
      </c>
      <c r="CZ20" s="2">
        <v>226</v>
      </c>
      <c r="DA20" s="2">
        <v>1</v>
      </c>
      <c r="DB20" s="17"/>
      <c r="DC20" s="17"/>
      <c r="DD20" s="17"/>
      <c r="DE20" s="17"/>
      <c r="DF20" s="2">
        <v>179</v>
      </c>
      <c r="DG20" s="2">
        <v>14</v>
      </c>
      <c r="DH20" s="2">
        <v>194</v>
      </c>
      <c r="DI20" s="2">
        <v>9</v>
      </c>
      <c r="DJ20" s="2">
        <v>204</v>
      </c>
      <c r="DK20" s="2">
        <v>7</v>
      </c>
      <c r="DL20" s="2">
        <v>211</v>
      </c>
      <c r="DM20" s="2">
        <v>5</v>
      </c>
      <c r="DN20" s="2">
        <v>215</v>
      </c>
      <c r="DO20" s="2">
        <v>4</v>
      </c>
      <c r="DP20" s="2">
        <v>219</v>
      </c>
      <c r="DQ20" s="2">
        <v>3</v>
      </c>
      <c r="DR20" s="2">
        <v>222</v>
      </c>
      <c r="DS20" s="2">
        <v>2</v>
      </c>
      <c r="DT20" s="2">
        <v>224</v>
      </c>
      <c r="DU20" s="2">
        <v>1</v>
      </c>
      <c r="DV20" s="2">
        <v>225</v>
      </c>
      <c r="DW20" s="2">
        <v>1</v>
      </c>
      <c r="DX20" s="2">
        <v>146</v>
      </c>
      <c r="DY20" s="2">
        <v>17</v>
      </c>
      <c r="DZ20" s="2">
        <v>165</v>
      </c>
      <c r="EA20" s="2">
        <v>18</v>
      </c>
      <c r="EB20" s="2">
        <v>181</v>
      </c>
      <c r="EC20" s="2">
        <v>13</v>
      </c>
      <c r="ED20" s="2">
        <v>195</v>
      </c>
      <c r="EE20" s="2">
        <v>11</v>
      </c>
      <c r="EF20" s="2">
        <v>207</v>
      </c>
      <c r="EG20" s="2">
        <v>9</v>
      </c>
      <c r="EH20" s="2">
        <v>216</v>
      </c>
      <c r="EI20" s="2">
        <v>9</v>
      </c>
      <c r="EJ20" s="2">
        <v>223</v>
      </c>
      <c r="EK20" s="2">
        <v>7</v>
      </c>
      <c r="EL20" s="2">
        <v>229</v>
      </c>
      <c r="EM20" s="2">
        <v>6</v>
      </c>
      <c r="EN20" s="21">
        <v>233</v>
      </c>
      <c r="EO20" s="2">
        <v>5</v>
      </c>
      <c r="EP20" s="2">
        <v>237</v>
      </c>
      <c r="EQ20" s="2">
        <v>2</v>
      </c>
      <c r="ER20" s="2">
        <v>237</v>
      </c>
      <c r="ES20" s="2">
        <v>3</v>
      </c>
    </row>
    <row r="21" spans="1:149" x14ac:dyDescent="0.25">
      <c r="A21" s="22">
        <v>8</v>
      </c>
      <c r="B21" s="92"/>
      <c r="C21" s="92"/>
      <c r="D21" s="4" t="e">
        <f t="shared" si="1"/>
        <v>#DIV/0!</v>
      </c>
      <c r="E21" s="94" t="s">
        <v>167</v>
      </c>
      <c r="F21" s="4">
        <v>219</v>
      </c>
      <c r="G21" s="92"/>
      <c r="H21" s="92"/>
      <c r="I21" s="4" t="e">
        <f t="shared" si="2"/>
        <v>#DIV/0!</v>
      </c>
      <c r="J21" s="94" t="s">
        <v>167</v>
      </c>
      <c r="K21" s="4">
        <v>222</v>
      </c>
      <c r="L21" s="4" t="e">
        <f t="shared" si="3"/>
        <v>#DIV/0!</v>
      </c>
      <c r="M21" s="4" t="str">
        <f t="shared" si="5"/>
        <v>-</v>
      </c>
      <c r="N21" s="4" t="str">
        <f t="shared" si="0"/>
        <v>-</v>
      </c>
      <c r="O21" s="4" t="e">
        <f t="shared" si="4"/>
        <v>#VALUE!</v>
      </c>
      <c r="P21" s="4" t="e">
        <f>VLOOKUP(M21,$CV$4:$CW$28,2, FALSE)</f>
        <v>#N/A</v>
      </c>
      <c r="CF21" s="2">
        <v>146</v>
      </c>
      <c r="CG21" s="2">
        <v>17</v>
      </c>
      <c r="CH21" s="2">
        <v>165</v>
      </c>
      <c r="CI21" s="2">
        <v>17</v>
      </c>
      <c r="CJ21" s="2">
        <v>180</v>
      </c>
      <c r="CK21" s="2">
        <v>14</v>
      </c>
      <c r="CL21" s="2">
        <v>194</v>
      </c>
      <c r="CM21" s="2">
        <v>9</v>
      </c>
      <c r="CN21" s="2">
        <v>204</v>
      </c>
      <c r="CO21" s="2">
        <v>7</v>
      </c>
      <c r="CP21" s="2">
        <v>211</v>
      </c>
      <c r="CQ21" s="2">
        <v>5</v>
      </c>
      <c r="CR21" s="2">
        <v>216</v>
      </c>
      <c r="CS21" s="2">
        <v>4</v>
      </c>
      <c r="CT21" s="2">
        <v>220</v>
      </c>
      <c r="CU21" s="2">
        <v>3</v>
      </c>
      <c r="CV21" s="2">
        <v>223</v>
      </c>
      <c r="CW21" s="2">
        <v>3</v>
      </c>
      <c r="CX21" s="2">
        <v>225</v>
      </c>
      <c r="CY21" s="2">
        <v>1</v>
      </c>
      <c r="CZ21" s="2">
        <v>227</v>
      </c>
      <c r="DA21" s="2">
        <v>1</v>
      </c>
      <c r="DB21" s="17"/>
      <c r="DC21" s="17"/>
      <c r="DD21" s="17"/>
      <c r="DE21" s="17"/>
      <c r="DF21" s="2">
        <v>180</v>
      </c>
      <c r="DG21" s="2">
        <v>14</v>
      </c>
      <c r="DH21" s="2">
        <v>195</v>
      </c>
      <c r="DI21" s="2">
        <v>9</v>
      </c>
      <c r="DJ21" s="2">
        <v>205</v>
      </c>
      <c r="DK21" s="2">
        <v>7</v>
      </c>
      <c r="DL21" s="2">
        <v>212</v>
      </c>
      <c r="DM21" s="2">
        <v>5</v>
      </c>
      <c r="DN21" s="2">
        <v>216</v>
      </c>
      <c r="DO21" s="2">
        <v>4</v>
      </c>
      <c r="DP21" s="2">
        <v>220</v>
      </c>
      <c r="DQ21" s="2">
        <v>3</v>
      </c>
      <c r="DR21" s="2">
        <v>223</v>
      </c>
      <c r="DS21" s="2">
        <v>2</v>
      </c>
      <c r="DT21" s="2">
        <v>225</v>
      </c>
      <c r="DU21" s="2">
        <v>1</v>
      </c>
      <c r="DV21" s="2">
        <v>226</v>
      </c>
      <c r="DW21" s="2">
        <v>1</v>
      </c>
      <c r="DX21" s="2">
        <v>147</v>
      </c>
      <c r="DY21" s="2">
        <v>17</v>
      </c>
      <c r="DZ21" s="2">
        <v>166</v>
      </c>
      <c r="EA21" s="2">
        <v>18</v>
      </c>
      <c r="EB21" s="2">
        <v>182</v>
      </c>
      <c r="EC21" s="2">
        <v>13</v>
      </c>
      <c r="ED21" s="2">
        <v>196</v>
      </c>
      <c r="EE21" s="2">
        <v>11</v>
      </c>
      <c r="EF21" s="2">
        <v>208</v>
      </c>
      <c r="EG21" s="2">
        <v>9</v>
      </c>
      <c r="EH21" s="2">
        <v>217</v>
      </c>
      <c r="EI21" s="2">
        <v>9</v>
      </c>
      <c r="EJ21" s="2">
        <v>224</v>
      </c>
      <c r="EK21" s="2">
        <v>7</v>
      </c>
      <c r="EL21" s="2">
        <v>230</v>
      </c>
      <c r="EM21" s="2">
        <v>6</v>
      </c>
      <c r="EN21" s="21">
        <v>234</v>
      </c>
      <c r="EO21" s="2">
        <v>5</v>
      </c>
      <c r="EP21" s="2">
        <v>238</v>
      </c>
      <c r="EQ21" s="2">
        <v>2</v>
      </c>
      <c r="ER21" s="2">
        <v>238</v>
      </c>
      <c r="ES21" s="2">
        <v>3</v>
      </c>
    </row>
    <row r="22" spans="1:149" x14ac:dyDescent="0.25">
      <c r="A22" s="22">
        <v>9</v>
      </c>
      <c r="B22" s="92"/>
      <c r="C22" s="92"/>
      <c r="D22" s="4" t="e">
        <f t="shared" si="1"/>
        <v>#DIV/0!</v>
      </c>
      <c r="E22" s="94" t="s">
        <v>167</v>
      </c>
      <c r="F22" s="4">
        <v>221</v>
      </c>
      <c r="G22" s="92"/>
      <c r="H22" s="92"/>
      <c r="I22" s="4" t="e">
        <f t="shared" si="2"/>
        <v>#DIV/0!</v>
      </c>
      <c r="J22" s="94" t="s">
        <v>167</v>
      </c>
      <c r="K22" s="4">
        <v>225</v>
      </c>
      <c r="L22" s="4" t="e">
        <f t="shared" si="3"/>
        <v>#DIV/0!</v>
      </c>
      <c r="M22" s="4" t="str">
        <f t="shared" si="5"/>
        <v>-</v>
      </c>
      <c r="N22" s="4" t="str">
        <f t="shared" si="0"/>
        <v>-</v>
      </c>
      <c r="O22" s="4" t="e">
        <f t="shared" si="4"/>
        <v>#VALUE!</v>
      </c>
      <c r="P22" s="4" t="e">
        <f>VLOOKUP(M22,$CX$4:$CY$28,2, FALSE)</f>
        <v>#N/A</v>
      </c>
      <c r="CF22" s="2">
        <v>147</v>
      </c>
      <c r="CG22" s="2">
        <v>17</v>
      </c>
      <c r="CH22" s="2">
        <v>166</v>
      </c>
      <c r="CI22" s="2">
        <v>17</v>
      </c>
      <c r="CJ22" s="2">
        <v>181</v>
      </c>
      <c r="CK22" s="2">
        <v>13</v>
      </c>
      <c r="CL22" s="2">
        <v>195</v>
      </c>
      <c r="CM22" s="2">
        <v>9</v>
      </c>
      <c r="CN22" s="2">
        <v>205</v>
      </c>
      <c r="CO22" s="2">
        <v>6</v>
      </c>
      <c r="CP22" s="2">
        <v>212</v>
      </c>
      <c r="CQ22" s="2">
        <v>5</v>
      </c>
      <c r="CR22" s="2">
        <v>217</v>
      </c>
      <c r="CS22" s="2">
        <v>4</v>
      </c>
      <c r="CT22" s="2">
        <v>221</v>
      </c>
      <c r="CU22" s="2">
        <v>3</v>
      </c>
      <c r="CV22" s="2">
        <v>224</v>
      </c>
      <c r="CW22" s="2">
        <v>2</v>
      </c>
      <c r="CX22" s="2">
        <v>226</v>
      </c>
      <c r="CY22" s="2">
        <v>1</v>
      </c>
      <c r="CZ22" s="2">
        <v>228</v>
      </c>
      <c r="DA22" s="2">
        <v>1</v>
      </c>
      <c r="DB22" s="17"/>
      <c r="DC22" s="17"/>
      <c r="DD22" s="17"/>
      <c r="DE22" s="17"/>
      <c r="DF22" s="2">
        <v>181</v>
      </c>
      <c r="DG22" s="2">
        <v>14</v>
      </c>
      <c r="DH22" s="2">
        <v>196</v>
      </c>
      <c r="DI22" s="2">
        <v>9</v>
      </c>
      <c r="DJ22" s="2">
        <v>206</v>
      </c>
      <c r="DK22" s="2">
        <v>6</v>
      </c>
      <c r="DL22" s="2">
        <v>213</v>
      </c>
      <c r="DM22" s="2">
        <v>5</v>
      </c>
      <c r="DN22" s="2">
        <v>217</v>
      </c>
      <c r="DO22" s="2">
        <v>3</v>
      </c>
      <c r="DP22" s="2">
        <v>221</v>
      </c>
      <c r="DQ22" s="2">
        <v>2</v>
      </c>
      <c r="DR22" s="2">
        <v>224</v>
      </c>
      <c r="DS22" s="2">
        <v>2</v>
      </c>
      <c r="DT22" s="2">
        <v>226</v>
      </c>
      <c r="DU22" s="2">
        <v>1</v>
      </c>
      <c r="DV22" s="2">
        <v>227</v>
      </c>
      <c r="DW22" s="2">
        <v>0</v>
      </c>
      <c r="DX22" s="2">
        <v>148</v>
      </c>
      <c r="DY22" s="2">
        <v>17</v>
      </c>
      <c r="DZ22" s="2">
        <v>167</v>
      </c>
      <c r="EA22" s="2">
        <v>17</v>
      </c>
      <c r="EB22" s="2">
        <v>183</v>
      </c>
      <c r="EC22" s="2">
        <v>13</v>
      </c>
      <c r="ED22" s="2">
        <v>197</v>
      </c>
      <c r="EE22" s="2">
        <v>11</v>
      </c>
      <c r="EF22" s="2">
        <v>209</v>
      </c>
      <c r="EG22" s="2">
        <v>9</v>
      </c>
      <c r="EH22" s="2">
        <v>218</v>
      </c>
      <c r="EI22" s="2">
        <v>9</v>
      </c>
      <c r="EJ22" s="2">
        <v>225</v>
      </c>
      <c r="EK22" s="2">
        <v>7</v>
      </c>
      <c r="EL22" s="2">
        <v>231</v>
      </c>
      <c r="EM22" s="2">
        <v>5</v>
      </c>
      <c r="EN22" s="21">
        <v>235</v>
      </c>
      <c r="EO22" s="2">
        <v>4</v>
      </c>
      <c r="EP22" s="2">
        <v>239</v>
      </c>
      <c r="EQ22" s="2">
        <v>2</v>
      </c>
      <c r="ER22" s="2">
        <v>239</v>
      </c>
      <c r="ES22" s="2">
        <v>2</v>
      </c>
    </row>
    <row r="23" spans="1:149" x14ac:dyDescent="0.25">
      <c r="A23" s="22">
        <v>10</v>
      </c>
      <c r="B23" s="92"/>
      <c r="C23" s="92"/>
      <c r="D23" s="4" t="e">
        <f t="shared" si="1"/>
        <v>#DIV/0!</v>
      </c>
      <c r="E23" s="94" t="s">
        <v>167</v>
      </c>
      <c r="F23" s="4">
        <v>222</v>
      </c>
      <c r="G23" s="92"/>
      <c r="H23" s="92"/>
      <c r="I23" s="4" t="e">
        <f t="shared" si="2"/>
        <v>#DIV/0!</v>
      </c>
      <c r="J23" s="94" t="s">
        <v>167</v>
      </c>
      <c r="K23" s="4">
        <v>225</v>
      </c>
      <c r="L23" s="4" t="e">
        <f t="shared" si="3"/>
        <v>#DIV/0!</v>
      </c>
      <c r="M23" s="4" t="str">
        <f t="shared" si="5"/>
        <v>-</v>
      </c>
      <c r="N23" s="4" t="str">
        <f t="shared" si="0"/>
        <v>-</v>
      </c>
      <c r="O23" s="4" t="e">
        <f t="shared" si="4"/>
        <v>#VALUE!</v>
      </c>
      <c r="P23" s="4" t="e">
        <f>VLOOKUP(M23,$CZ$4:$DA$28,2, FALSE)</f>
        <v>#N/A</v>
      </c>
      <c r="CF23" s="2">
        <v>148</v>
      </c>
      <c r="CG23" s="2">
        <v>17</v>
      </c>
      <c r="CH23" s="2">
        <v>167</v>
      </c>
      <c r="CI23" s="2">
        <v>17</v>
      </c>
      <c r="CJ23" s="2">
        <v>182</v>
      </c>
      <c r="CK23" s="2">
        <v>13</v>
      </c>
      <c r="CL23" s="2">
        <v>196</v>
      </c>
      <c r="CM23" s="2">
        <v>9</v>
      </c>
      <c r="CN23" s="2">
        <v>206</v>
      </c>
      <c r="CO23" s="2">
        <v>6</v>
      </c>
      <c r="CP23" s="2">
        <v>213</v>
      </c>
      <c r="CQ23" s="2">
        <v>5</v>
      </c>
      <c r="CR23" s="2">
        <v>218</v>
      </c>
      <c r="CS23" s="2">
        <v>4</v>
      </c>
      <c r="CT23" s="2">
        <v>222</v>
      </c>
      <c r="CU23" s="2">
        <v>3</v>
      </c>
      <c r="CV23" s="2">
        <v>225</v>
      </c>
      <c r="CW23" s="2">
        <v>2</v>
      </c>
      <c r="CX23" s="2">
        <v>227</v>
      </c>
      <c r="CY23" s="2">
        <v>1</v>
      </c>
      <c r="CZ23" s="2">
        <v>229</v>
      </c>
      <c r="DA23" s="2">
        <v>1</v>
      </c>
      <c r="DB23" s="17"/>
      <c r="DC23" s="17"/>
      <c r="DD23" s="17"/>
      <c r="DE23" s="17"/>
      <c r="DF23" s="2">
        <v>182</v>
      </c>
      <c r="DG23" s="2">
        <v>14</v>
      </c>
      <c r="DH23" s="2">
        <v>197</v>
      </c>
      <c r="DI23" s="2">
        <v>9</v>
      </c>
      <c r="DJ23" s="2">
        <v>207</v>
      </c>
      <c r="DK23" s="2">
        <v>6</v>
      </c>
      <c r="DL23" s="2">
        <v>214</v>
      </c>
      <c r="DM23" s="2">
        <v>5</v>
      </c>
      <c r="DN23" s="2">
        <v>218</v>
      </c>
      <c r="DO23" s="2">
        <v>3</v>
      </c>
      <c r="DP23" s="2">
        <v>222</v>
      </c>
      <c r="DQ23" s="2">
        <v>2</v>
      </c>
      <c r="DR23" s="2">
        <v>225</v>
      </c>
      <c r="DS23" s="2">
        <v>2</v>
      </c>
      <c r="DT23" s="2">
        <v>227</v>
      </c>
      <c r="DU23" s="2">
        <v>1</v>
      </c>
      <c r="DV23" s="2">
        <v>228</v>
      </c>
      <c r="DW23" s="2">
        <v>0</v>
      </c>
      <c r="DX23" s="2">
        <v>149</v>
      </c>
      <c r="DY23" s="2">
        <v>17</v>
      </c>
      <c r="DZ23" s="2">
        <v>168</v>
      </c>
      <c r="EA23" s="2">
        <v>17</v>
      </c>
      <c r="EB23" s="2">
        <v>184</v>
      </c>
      <c r="EC23" s="2">
        <v>13</v>
      </c>
      <c r="ED23" s="2">
        <v>198</v>
      </c>
      <c r="EE23" s="2">
        <v>11</v>
      </c>
      <c r="EF23" s="2">
        <v>210</v>
      </c>
      <c r="EG23" s="2">
        <v>9</v>
      </c>
      <c r="EH23" s="2">
        <v>219</v>
      </c>
      <c r="EI23" s="2">
        <v>9</v>
      </c>
      <c r="EJ23" s="2">
        <v>226</v>
      </c>
      <c r="EK23" s="2">
        <v>7</v>
      </c>
      <c r="EL23" s="2">
        <v>232</v>
      </c>
      <c r="EM23" s="2">
        <v>5</v>
      </c>
      <c r="EN23" s="21">
        <v>236</v>
      </c>
      <c r="EO23" s="2">
        <v>4</v>
      </c>
      <c r="EP23" s="2">
        <v>240</v>
      </c>
      <c r="EQ23" s="2">
        <v>2</v>
      </c>
      <c r="ER23" s="2">
        <v>240</v>
      </c>
      <c r="ES23" s="2">
        <v>2</v>
      </c>
    </row>
    <row r="24" spans="1:149" x14ac:dyDescent="0.25">
      <c r="A24" s="28"/>
      <c r="B24" s="161" t="s">
        <v>58</v>
      </c>
      <c r="C24" s="162"/>
      <c r="D24" s="162"/>
      <c r="E24" s="162"/>
      <c r="F24" s="162"/>
      <c r="G24" s="162"/>
      <c r="H24" s="162"/>
      <c r="I24" s="162"/>
      <c r="J24" s="162"/>
      <c r="K24" s="162"/>
      <c r="L24" s="162"/>
      <c r="M24" s="162"/>
      <c r="N24" s="162"/>
      <c r="O24" s="162"/>
      <c r="P24" s="163"/>
      <c r="CF24" s="2">
        <v>149</v>
      </c>
      <c r="CG24" s="2">
        <v>17</v>
      </c>
      <c r="CH24" s="2">
        <v>168</v>
      </c>
      <c r="CI24" s="2">
        <v>17</v>
      </c>
      <c r="CJ24" s="2">
        <v>183</v>
      </c>
      <c r="CK24" s="2">
        <v>12</v>
      </c>
      <c r="CL24" s="2">
        <v>197</v>
      </c>
      <c r="CM24" s="2">
        <v>8</v>
      </c>
      <c r="CN24" s="2">
        <v>207</v>
      </c>
      <c r="CO24" s="2">
        <v>6</v>
      </c>
      <c r="CP24" s="2">
        <v>214</v>
      </c>
      <c r="CQ24" s="2">
        <v>5</v>
      </c>
      <c r="CR24" s="2">
        <v>219</v>
      </c>
      <c r="CS24" s="2">
        <v>3</v>
      </c>
      <c r="CT24" s="2">
        <v>223</v>
      </c>
      <c r="CU24" s="2">
        <v>2</v>
      </c>
      <c r="CV24" s="2">
        <v>226</v>
      </c>
      <c r="CW24" s="2">
        <v>2</v>
      </c>
      <c r="CX24" s="2">
        <v>228</v>
      </c>
      <c r="CY24" s="2">
        <v>0</v>
      </c>
      <c r="CZ24" s="2">
        <v>230</v>
      </c>
      <c r="DA24" s="2">
        <v>0</v>
      </c>
      <c r="DB24" s="17"/>
      <c r="DC24" s="17"/>
      <c r="DD24" s="17"/>
      <c r="DE24" s="17"/>
      <c r="DF24" s="2">
        <v>183</v>
      </c>
      <c r="DG24" s="2">
        <v>13</v>
      </c>
      <c r="DH24" s="2">
        <v>198</v>
      </c>
      <c r="DI24" s="2">
        <v>8</v>
      </c>
      <c r="DJ24" s="2">
        <v>208</v>
      </c>
      <c r="DK24" s="2">
        <v>6</v>
      </c>
      <c r="DL24" s="2">
        <v>215</v>
      </c>
      <c r="DM24" s="2">
        <v>4</v>
      </c>
      <c r="DN24" s="2">
        <v>219</v>
      </c>
      <c r="DO24" s="2">
        <v>3</v>
      </c>
      <c r="DP24" s="2">
        <v>223</v>
      </c>
      <c r="DQ24" s="2">
        <v>2</v>
      </c>
      <c r="DR24" s="2">
        <v>226</v>
      </c>
      <c r="DS24" s="2">
        <v>2</v>
      </c>
      <c r="DT24" s="2">
        <v>228</v>
      </c>
      <c r="DU24" s="2">
        <v>0</v>
      </c>
      <c r="DV24" s="2">
        <v>229</v>
      </c>
      <c r="DW24" s="2">
        <v>0</v>
      </c>
      <c r="DX24" s="2">
        <v>150</v>
      </c>
      <c r="DY24" s="2">
        <v>17</v>
      </c>
      <c r="DZ24" s="2">
        <v>169</v>
      </c>
      <c r="EA24" s="2">
        <v>17</v>
      </c>
      <c r="EB24" s="2">
        <v>185</v>
      </c>
      <c r="EC24" s="2">
        <v>12</v>
      </c>
      <c r="ED24" s="2">
        <v>199</v>
      </c>
      <c r="EE24" s="2">
        <v>11</v>
      </c>
      <c r="EF24" s="2">
        <v>211</v>
      </c>
      <c r="EG24" s="2">
        <v>9</v>
      </c>
      <c r="EH24" s="2">
        <v>220</v>
      </c>
      <c r="EI24" s="2">
        <v>9</v>
      </c>
      <c r="EJ24" s="2">
        <v>227</v>
      </c>
      <c r="EK24" s="2">
        <v>7</v>
      </c>
      <c r="EL24" s="2">
        <v>233</v>
      </c>
      <c r="EM24" s="2">
        <v>5</v>
      </c>
      <c r="EN24" s="21">
        <v>237</v>
      </c>
      <c r="EO24" s="2">
        <v>4</v>
      </c>
      <c r="EP24" s="2">
        <v>241</v>
      </c>
      <c r="EQ24" s="2">
        <v>2</v>
      </c>
      <c r="ER24" s="2">
        <v>241</v>
      </c>
      <c r="ES24" s="2">
        <v>2</v>
      </c>
    </row>
    <row r="25" spans="1:149" x14ac:dyDescent="0.25">
      <c r="A25" s="29"/>
      <c r="B25" s="164" t="s">
        <v>36</v>
      </c>
      <c r="C25" s="165"/>
      <c r="D25" s="165"/>
      <c r="E25" s="165"/>
      <c r="F25" s="166"/>
      <c r="G25" s="164" t="s">
        <v>39</v>
      </c>
      <c r="H25" s="165"/>
      <c r="I25" s="165"/>
      <c r="J25" s="165"/>
      <c r="K25" s="166"/>
      <c r="L25" s="164" t="s">
        <v>40</v>
      </c>
      <c r="M25" s="165"/>
      <c r="N25" s="165"/>
      <c r="O25" s="165"/>
      <c r="P25" s="166"/>
      <c r="CF25" s="2">
        <v>150</v>
      </c>
      <c r="CG25" s="2">
        <v>17</v>
      </c>
      <c r="CH25" s="2">
        <v>169</v>
      </c>
      <c r="CI25" s="2">
        <v>17</v>
      </c>
      <c r="CJ25" s="2">
        <v>184</v>
      </c>
      <c r="CK25" s="2">
        <v>12</v>
      </c>
      <c r="CL25" s="2">
        <v>198</v>
      </c>
      <c r="CM25" s="2">
        <v>8</v>
      </c>
      <c r="CN25" s="2">
        <v>208</v>
      </c>
      <c r="CO25" s="2">
        <v>6</v>
      </c>
      <c r="CP25" s="2">
        <v>215</v>
      </c>
      <c r="CQ25" s="2">
        <v>5</v>
      </c>
      <c r="CR25" s="2">
        <v>220</v>
      </c>
      <c r="CS25" s="2">
        <v>3</v>
      </c>
      <c r="CT25" s="2">
        <v>224</v>
      </c>
      <c r="CU25" s="2">
        <v>2</v>
      </c>
      <c r="CV25" s="2">
        <v>227</v>
      </c>
      <c r="CW25" s="2">
        <v>2</v>
      </c>
      <c r="CX25" s="2">
        <v>229</v>
      </c>
      <c r="CY25" s="2">
        <v>0</v>
      </c>
      <c r="CZ25" s="2">
        <v>231</v>
      </c>
      <c r="DA25" s="2">
        <v>0</v>
      </c>
      <c r="DB25" s="17"/>
      <c r="DC25" s="17"/>
      <c r="DD25" s="17"/>
      <c r="DE25" s="17"/>
      <c r="DF25" s="2">
        <v>184</v>
      </c>
      <c r="DG25" s="2">
        <v>13</v>
      </c>
      <c r="DH25" s="2">
        <v>199</v>
      </c>
      <c r="DI25" s="2">
        <v>8</v>
      </c>
      <c r="DJ25" s="2">
        <v>209</v>
      </c>
      <c r="DK25" s="2">
        <v>6</v>
      </c>
      <c r="DL25" s="2">
        <v>216</v>
      </c>
      <c r="DM25" s="2">
        <v>4</v>
      </c>
      <c r="DN25" s="2">
        <v>220</v>
      </c>
      <c r="DO25" s="2">
        <v>3</v>
      </c>
      <c r="DP25" s="2">
        <v>224</v>
      </c>
      <c r="DQ25" s="2">
        <v>2</v>
      </c>
      <c r="DR25" s="2">
        <v>227</v>
      </c>
      <c r="DS25" s="2">
        <v>2</v>
      </c>
      <c r="DT25" s="2">
        <v>229</v>
      </c>
      <c r="DU25" s="2">
        <v>0</v>
      </c>
      <c r="DV25" s="2">
        <v>230</v>
      </c>
      <c r="DW25" s="2">
        <v>0</v>
      </c>
      <c r="DX25" s="2">
        <v>151</v>
      </c>
      <c r="DY25" s="2">
        <v>17</v>
      </c>
      <c r="DZ25" s="2">
        <v>170</v>
      </c>
      <c r="EA25" s="2">
        <v>17</v>
      </c>
      <c r="EB25" s="2">
        <v>186</v>
      </c>
      <c r="EC25" s="2">
        <v>12</v>
      </c>
      <c r="ED25" s="2">
        <v>200</v>
      </c>
      <c r="EE25" s="2">
        <v>11</v>
      </c>
      <c r="EF25" s="2">
        <v>212</v>
      </c>
      <c r="EG25" s="2">
        <v>9</v>
      </c>
      <c r="EH25" s="2">
        <v>221</v>
      </c>
      <c r="EI25" s="2">
        <v>9</v>
      </c>
      <c r="EJ25" s="2">
        <v>228</v>
      </c>
      <c r="EK25" s="2">
        <v>7</v>
      </c>
      <c r="EL25" s="2">
        <v>234</v>
      </c>
      <c r="EM25" s="2">
        <v>5</v>
      </c>
      <c r="EN25" s="21">
        <v>238</v>
      </c>
      <c r="EO25" s="2">
        <v>4</v>
      </c>
      <c r="EP25" s="2">
        <v>242</v>
      </c>
      <c r="EQ25" s="2">
        <v>2</v>
      </c>
      <c r="ER25" s="2">
        <v>242</v>
      </c>
      <c r="ES25" s="2">
        <v>2</v>
      </c>
    </row>
    <row r="26" spans="1:149" ht="60" x14ac:dyDescent="0.25">
      <c r="A26" s="3" t="s">
        <v>0</v>
      </c>
      <c r="B26" s="16" t="s">
        <v>78</v>
      </c>
      <c r="C26" s="16" t="s">
        <v>174</v>
      </c>
      <c r="D26" s="16" t="s">
        <v>175</v>
      </c>
      <c r="E26" s="16" t="s">
        <v>38</v>
      </c>
      <c r="F26" s="16" t="s">
        <v>63</v>
      </c>
      <c r="G26" s="16" t="s">
        <v>78</v>
      </c>
      <c r="H26" s="16" t="s">
        <v>174</v>
      </c>
      <c r="I26" s="16" t="s">
        <v>175</v>
      </c>
      <c r="J26" s="16" t="s">
        <v>61</v>
      </c>
      <c r="K26" s="16" t="s">
        <v>63</v>
      </c>
      <c r="L26" s="16" t="s">
        <v>180</v>
      </c>
      <c r="M26" s="16" t="s">
        <v>41</v>
      </c>
      <c r="N26" s="16" t="s">
        <v>42</v>
      </c>
      <c r="O26" s="16" t="s">
        <v>43</v>
      </c>
      <c r="P26" s="16" t="s">
        <v>62</v>
      </c>
      <c r="CF26" s="2">
        <v>151</v>
      </c>
      <c r="CG26" s="2">
        <v>17</v>
      </c>
      <c r="CH26" s="2">
        <v>170</v>
      </c>
      <c r="CI26" s="2">
        <v>17</v>
      </c>
      <c r="CJ26" s="2">
        <v>185</v>
      </c>
      <c r="CK26" s="2">
        <v>12</v>
      </c>
      <c r="CL26" s="2">
        <v>199</v>
      </c>
      <c r="CM26" s="2">
        <v>8</v>
      </c>
      <c r="CN26" s="2">
        <v>209</v>
      </c>
      <c r="CO26" s="2">
        <v>5</v>
      </c>
      <c r="CP26" s="2">
        <v>216</v>
      </c>
      <c r="CQ26" s="2">
        <v>4</v>
      </c>
      <c r="CR26" s="2">
        <v>221</v>
      </c>
      <c r="CS26" s="2">
        <v>3</v>
      </c>
      <c r="CT26" s="2">
        <v>225</v>
      </c>
      <c r="CU26" s="2">
        <v>2</v>
      </c>
      <c r="CV26" s="2">
        <v>228</v>
      </c>
      <c r="CW26" s="2">
        <v>1</v>
      </c>
      <c r="CX26" s="2">
        <v>230</v>
      </c>
      <c r="CY26" s="2">
        <v>0</v>
      </c>
      <c r="CZ26" s="2">
        <v>232</v>
      </c>
      <c r="DA26" s="2">
        <v>0</v>
      </c>
      <c r="DB26" s="17"/>
      <c r="DC26" s="17"/>
      <c r="DD26" s="17"/>
      <c r="DE26" s="17"/>
      <c r="DF26" s="2">
        <v>185</v>
      </c>
      <c r="DG26" s="2">
        <v>13</v>
      </c>
      <c r="DH26" s="2">
        <v>200</v>
      </c>
      <c r="DI26" s="2">
        <v>8</v>
      </c>
      <c r="DJ26" s="2">
        <v>210</v>
      </c>
      <c r="DK26" s="2">
        <v>5</v>
      </c>
      <c r="DL26" s="2">
        <v>217</v>
      </c>
      <c r="DM26" s="2">
        <v>3</v>
      </c>
      <c r="DN26" s="2">
        <v>221</v>
      </c>
      <c r="DO26" s="2">
        <v>2</v>
      </c>
      <c r="DP26" s="2">
        <v>225</v>
      </c>
      <c r="DQ26" s="2">
        <v>1</v>
      </c>
      <c r="DR26" s="2">
        <v>228</v>
      </c>
      <c r="DS26" s="2">
        <v>1</v>
      </c>
      <c r="DT26" s="2">
        <v>230</v>
      </c>
      <c r="DU26" s="2">
        <v>0</v>
      </c>
      <c r="DV26" s="2">
        <v>231</v>
      </c>
      <c r="DW26" s="2">
        <v>0</v>
      </c>
      <c r="DX26" s="2">
        <v>152</v>
      </c>
      <c r="DY26" s="2">
        <v>16</v>
      </c>
      <c r="DZ26" s="2">
        <v>171</v>
      </c>
      <c r="EA26" s="2">
        <v>16</v>
      </c>
      <c r="EB26" s="2">
        <v>187</v>
      </c>
      <c r="EC26" s="2">
        <v>12</v>
      </c>
      <c r="ED26" s="2">
        <v>201</v>
      </c>
      <c r="EE26" s="2">
        <v>10</v>
      </c>
      <c r="EF26" s="2">
        <v>213</v>
      </c>
      <c r="EG26" s="2">
        <v>9</v>
      </c>
      <c r="EH26" s="2">
        <v>222</v>
      </c>
      <c r="EI26" s="2">
        <v>9</v>
      </c>
      <c r="EJ26" s="2">
        <v>229</v>
      </c>
      <c r="EK26" s="2">
        <v>6</v>
      </c>
      <c r="EL26" s="2">
        <v>235</v>
      </c>
      <c r="EM26" s="2">
        <v>5</v>
      </c>
      <c r="EN26" s="21">
        <v>239</v>
      </c>
      <c r="EO26" s="2">
        <v>4</v>
      </c>
      <c r="EP26" s="2">
        <v>243</v>
      </c>
      <c r="EQ26" s="2">
        <v>2</v>
      </c>
      <c r="ER26" s="2">
        <v>243</v>
      </c>
      <c r="ES26" s="2">
        <v>2</v>
      </c>
    </row>
    <row r="27" spans="1:149" x14ac:dyDescent="0.25">
      <c r="A27" s="3">
        <v>2</v>
      </c>
      <c r="B27" s="91"/>
      <c r="C27" s="91"/>
      <c r="D27" s="21" t="e">
        <f t="shared" ref="D27:D35" si="6">C27/B27</f>
        <v>#DIV/0!</v>
      </c>
      <c r="E27" s="93" t="s">
        <v>167</v>
      </c>
      <c r="F27" s="2">
        <v>176</v>
      </c>
      <c r="G27" s="91"/>
      <c r="H27" s="91"/>
      <c r="I27" s="21" t="e">
        <f t="shared" ref="I27:I35" si="7">H27/G27</f>
        <v>#DIV/0!</v>
      </c>
      <c r="J27" s="93" t="s">
        <v>167</v>
      </c>
      <c r="K27" s="2">
        <v>188</v>
      </c>
      <c r="L27" s="2" t="e">
        <f t="shared" ref="L27:L35" si="8">I27-D27</f>
        <v>#DIV/0!</v>
      </c>
      <c r="M27" s="2" t="str">
        <f t="shared" ref="M27:M35" si="9">E27</f>
        <v>-</v>
      </c>
      <c r="N27" s="2" t="str">
        <f t="shared" ref="N27:N35" si="10">J27</f>
        <v>-</v>
      </c>
      <c r="O27" s="2" t="e">
        <f>N27-M27</f>
        <v>#VALUE!</v>
      </c>
      <c r="P27" s="2" t="e">
        <f>VLOOKUP(M27,$DF$4:$DG$28,2, FALSE)</f>
        <v>#N/A</v>
      </c>
      <c r="CF27" s="2">
        <v>152</v>
      </c>
      <c r="CG27" s="2">
        <v>17</v>
      </c>
      <c r="CH27" s="2">
        <v>171</v>
      </c>
      <c r="CI27" s="2">
        <v>17</v>
      </c>
      <c r="CJ27" s="2">
        <v>186</v>
      </c>
      <c r="CK27" s="2">
        <v>12</v>
      </c>
      <c r="CL27" s="2">
        <v>200</v>
      </c>
      <c r="CM27" s="2">
        <v>8</v>
      </c>
      <c r="CN27" s="2">
        <v>210</v>
      </c>
      <c r="CO27" s="2">
        <v>5</v>
      </c>
      <c r="CP27" s="2">
        <v>217</v>
      </c>
      <c r="CQ27" s="2">
        <v>4</v>
      </c>
      <c r="CR27" s="2">
        <v>222</v>
      </c>
      <c r="CS27" s="2">
        <v>3</v>
      </c>
      <c r="CT27" s="2">
        <v>226</v>
      </c>
      <c r="CU27" s="2">
        <v>2</v>
      </c>
      <c r="CV27" s="2">
        <v>229</v>
      </c>
      <c r="CW27" s="2">
        <v>1</v>
      </c>
      <c r="CX27" s="2">
        <v>231</v>
      </c>
      <c r="CY27" s="2">
        <v>0</v>
      </c>
      <c r="CZ27" s="2">
        <v>233</v>
      </c>
      <c r="DA27" s="2">
        <v>0</v>
      </c>
      <c r="DB27" s="17"/>
      <c r="DC27" s="17"/>
      <c r="DD27" s="17"/>
      <c r="DE27" s="17"/>
      <c r="DF27" s="2">
        <v>186</v>
      </c>
      <c r="DG27" s="2">
        <v>13</v>
      </c>
      <c r="DH27" s="2">
        <v>201</v>
      </c>
      <c r="DI27" s="2">
        <v>8</v>
      </c>
      <c r="DJ27" s="2">
        <v>211</v>
      </c>
      <c r="DK27" s="2">
        <v>5</v>
      </c>
      <c r="DL27" s="2">
        <v>218</v>
      </c>
      <c r="DM27" s="2">
        <v>3</v>
      </c>
      <c r="DN27" s="2">
        <v>222</v>
      </c>
      <c r="DO27" s="2">
        <v>2</v>
      </c>
      <c r="DP27" s="2">
        <v>226</v>
      </c>
      <c r="DQ27" s="2">
        <v>1</v>
      </c>
      <c r="DR27" s="2">
        <v>229</v>
      </c>
      <c r="DS27" s="2">
        <v>1</v>
      </c>
      <c r="DT27" s="2">
        <v>231</v>
      </c>
      <c r="DU27" s="2">
        <v>0</v>
      </c>
      <c r="DV27" s="2">
        <v>232</v>
      </c>
      <c r="DW27" s="2">
        <v>0</v>
      </c>
      <c r="DX27" s="2">
        <v>153</v>
      </c>
      <c r="DY27" s="2">
        <v>16</v>
      </c>
      <c r="DZ27" s="2">
        <v>172</v>
      </c>
      <c r="EA27" s="2">
        <v>16</v>
      </c>
      <c r="EB27" s="2">
        <v>188</v>
      </c>
      <c r="EC27" s="2">
        <v>12</v>
      </c>
      <c r="ED27" s="2">
        <v>202</v>
      </c>
      <c r="EE27" s="2">
        <v>10</v>
      </c>
      <c r="EF27" s="2">
        <v>214</v>
      </c>
      <c r="EG27" s="2">
        <v>9</v>
      </c>
      <c r="EH27" s="2">
        <v>223</v>
      </c>
      <c r="EI27" s="2">
        <v>9</v>
      </c>
      <c r="EJ27" s="2">
        <v>230</v>
      </c>
      <c r="EK27" s="2">
        <v>6</v>
      </c>
      <c r="EL27" s="2">
        <v>236</v>
      </c>
      <c r="EM27" s="2">
        <v>5</v>
      </c>
      <c r="EN27" s="21">
        <v>240</v>
      </c>
      <c r="EO27" s="2">
        <v>4</v>
      </c>
      <c r="EP27" s="2">
        <v>244</v>
      </c>
      <c r="EQ27" s="2">
        <v>2</v>
      </c>
      <c r="ER27" s="2">
        <v>244</v>
      </c>
      <c r="ES27" s="2">
        <v>2</v>
      </c>
    </row>
    <row r="28" spans="1:149" x14ac:dyDescent="0.25">
      <c r="A28" s="22">
        <v>3</v>
      </c>
      <c r="B28" s="92"/>
      <c r="C28" s="92"/>
      <c r="D28" s="4" t="e">
        <f t="shared" si="6"/>
        <v>#DIV/0!</v>
      </c>
      <c r="E28" s="94" t="s">
        <v>167</v>
      </c>
      <c r="F28" s="4">
        <v>191</v>
      </c>
      <c r="G28" s="92"/>
      <c r="H28" s="92"/>
      <c r="I28" s="4" t="e">
        <f t="shared" si="7"/>
        <v>#DIV/0!</v>
      </c>
      <c r="J28" s="94" t="s">
        <v>167</v>
      </c>
      <c r="K28" s="4">
        <v>199</v>
      </c>
      <c r="L28" s="2" t="e">
        <f t="shared" si="8"/>
        <v>#DIV/0!</v>
      </c>
      <c r="M28" s="2" t="str">
        <f t="shared" si="9"/>
        <v>-</v>
      </c>
      <c r="N28" s="2" t="str">
        <f t="shared" si="10"/>
        <v>-</v>
      </c>
      <c r="O28" s="2" t="e">
        <f t="shared" ref="O28:O35" si="11">N28-M28</f>
        <v>#VALUE!</v>
      </c>
      <c r="P28" s="2" t="e">
        <f>VLOOKUP(M28,$DH$4:$DI$28,2, FALSE)</f>
        <v>#N/A</v>
      </c>
      <c r="CF28" s="2">
        <v>153</v>
      </c>
      <c r="CG28" s="2">
        <v>16</v>
      </c>
      <c r="CH28" s="2">
        <v>172</v>
      </c>
      <c r="CI28" s="2">
        <v>16</v>
      </c>
      <c r="CJ28" s="2">
        <v>187</v>
      </c>
      <c r="CK28" s="2">
        <v>11</v>
      </c>
      <c r="CL28" s="2">
        <v>201</v>
      </c>
      <c r="CM28" s="2">
        <v>7</v>
      </c>
      <c r="CN28" s="2">
        <v>211</v>
      </c>
      <c r="CO28" s="2">
        <v>5</v>
      </c>
      <c r="CP28" s="2">
        <v>218</v>
      </c>
      <c r="CQ28" s="2">
        <v>4</v>
      </c>
      <c r="CR28" s="2">
        <v>223</v>
      </c>
      <c r="CS28" s="2">
        <v>2</v>
      </c>
      <c r="CT28" s="2">
        <v>227</v>
      </c>
      <c r="CU28" s="2">
        <v>1</v>
      </c>
      <c r="CV28" s="2">
        <v>230</v>
      </c>
      <c r="CW28" s="2">
        <v>1</v>
      </c>
      <c r="CX28" s="2">
        <v>232</v>
      </c>
      <c r="CY28" s="2">
        <v>0</v>
      </c>
      <c r="CZ28" s="2">
        <v>234</v>
      </c>
      <c r="DA28" s="2">
        <v>0</v>
      </c>
      <c r="DB28" s="17"/>
      <c r="DC28" s="17"/>
      <c r="DD28" s="17"/>
      <c r="DE28" s="17"/>
      <c r="DF28" s="2">
        <v>187</v>
      </c>
      <c r="DG28" s="2">
        <v>12</v>
      </c>
      <c r="DH28" s="2">
        <v>202</v>
      </c>
      <c r="DI28" s="2">
        <v>7</v>
      </c>
      <c r="DJ28" s="2">
        <v>212</v>
      </c>
      <c r="DK28" s="2">
        <v>4</v>
      </c>
      <c r="DL28" s="2">
        <v>219</v>
      </c>
      <c r="DM28" s="2">
        <v>3</v>
      </c>
      <c r="DN28" s="2">
        <v>223</v>
      </c>
      <c r="DO28" s="2">
        <v>2</v>
      </c>
      <c r="DP28" s="2">
        <v>227</v>
      </c>
      <c r="DQ28" s="2">
        <v>1</v>
      </c>
      <c r="DR28" s="2">
        <v>230</v>
      </c>
      <c r="DS28" s="2">
        <v>1</v>
      </c>
      <c r="DT28" s="2">
        <v>232</v>
      </c>
      <c r="DU28" s="2">
        <v>0</v>
      </c>
      <c r="DV28" s="2">
        <v>233</v>
      </c>
      <c r="DW28" s="2">
        <v>0</v>
      </c>
      <c r="DX28" s="2">
        <v>154</v>
      </c>
      <c r="DY28" s="2">
        <v>16</v>
      </c>
      <c r="DZ28" s="2">
        <v>173</v>
      </c>
      <c r="EA28" s="2">
        <v>16</v>
      </c>
      <c r="EB28" s="2">
        <v>189</v>
      </c>
      <c r="EC28" s="2">
        <v>11</v>
      </c>
      <c r="ED28" s="2">
        <v>203</v>
      </c>
      <c r="EE28" s="2">
        <v>10</v>
      </c>
      <c r="EF28" s="2">
        <v>215</v>
      </c>
      <c r="EG28" s="2">
        <v>9</v>
      </c>
      <c r="EH28" s="2">
        <v>224</v>
      </c>
      <c r="EI28" s="2">
        <v>8</v>
      </c>
      <c r="EJ28" s="2">
        <v>231</v>
      </c>
      <c r="EK28" s="2">
        <v>6</v>
      </c>
      <c r="EL28" s="2">
        <v>237</v>
      </c>
      <c r="EM28" s="2">
        <v>5</v>
      </c>
      <c r="EN28" s="21">
        <v>241</v>
      </c>
      <c r="EO28" s="2">
        <v>4</v>
      </c>
      <c r="EP28" s="2">
        <v>245</v>
      </c>
      <c r="EQ28" s="2">
        <v>2</v>
      </c>
      <c r="ER28" s="2">
        <v>245</v>
      </c>
      <c r="ES28" s="2">
        <v>2</v>
      </c>
    </row>
    <row r="29" spans="1:149" x14ac:dyDescent="0.25">
      <c r="A29" s="22">
        <v>4</v>
      </c>
      <c r="B29" s="92"/>
      <c r="C29" s="92"/>
      <c r="D29" s="4" t="e">
        <f t="shared" si="6"/>
        <v>#DIV/0!</v>
      </c>
      <c r="E29" s="94" t="s">
        <v>167</v>
      </c>
      <c r="F29" s="4">
        <v>200</v>
      </c>
      <c r="G29" s="92"/>
      <c r="H29" s="92"/>
      <c r="I29" s="4" t="e">
        <f t="shared" si="7"/>
        <v>#DIV/0!</v>
      </c>
      <c r="J29" s="94" t="s">
        <v>167</v>
      </c>
      <c r="K29" s="4">
        <v>205</v>
      </c>
      <c r="L29" s="4" t="e">
        <f t="shared" si="8"/>
        <v>#DIV/0!</v>
      </c>
      <c r="M29" s="4" t="str">
        <f t="shared" si="9"/>
        <v>-</v>
      </c>
      <c r="N29" s="4" t="str">
        <f t="shared" si="10"/>
        <v>-</v>
      </c>
      <c r="O29" s="4" t="e">
        <f t="shared" si="11"/>
        <v>#VALUE!</v>
      </c>
      <c r="P29" s="4" t="e">
        <f>VLOOKUP(M29,$DJ$4:$DK$28,2, FALSE)</f>
        <v>#N/A</v>
      </c>
    </row>
    <row r="30" spans="1:149" x14ac:dyDescent="0.25">
      <c r="A30" s="22">
        <v>5</v>
      </c>
      <c r="B30" s="92"/>
      <c r="C30" s="92"/>
      <c r="D30" s="4" t="e">
        <f t="shared" si="6"/>
        <v>#DIV/0!</v>
      </c>
      <c r="E30" s="94" t="s">
        <v>167</v>
      </c>
      <c r="F30" s="4">
        <v>208</v>
      </c>
      <c r="G30" s="92"/>
      <c r="H30" s="92"/>
      <c r="I30" s="4" t="e">
        <f t="shared" si="7"/>
        <v>#DIV/0!</v>
      </c>
      <c r="J30" s="94" t="s">
        <v>167</v>
      </c>
      <c r="K30" s="4">
        <v>212</v>
      </c>
      <c r="L30" s="4" t="e">
        <f t="shared" si="8"/>
        <v>#DIV/0!</v>
      </c>
      <c r="M30" s="4" t="str">
        <f t="shared" si="9"/>
        <v>-</v>
      </c>
      <c r="N30" s="4" t="str">
        <f t="shared" si="10"/>
        <v>-</v>
      </c>
      <c r="O30" s="4" t="e">
        <f>N30-M30</f>
        <v>#VALUE!</v>
      </c>
      <c r="P30" s="4" t="e">
        <f>VLOOKUP(M30,$DL$4:$DM$28,2, FALSE)</f>
        <v>#N/A</v>
      </c>
    </row>
    <row r="31" spans="1:149" x14ac:dyDescent="0.25">
      <c r="A31" s="22">
        <v>6</v>
      </c>
      <c r="B31" s="92"/>
      <c r="C31" s="92"/>
      <c r="D31" s="4" t="e">
        <f t="shared" si="6"/>
        <v>#DIV/0!</v>
      </c>
      <c r="E31" s="94" t="s">
        <v>167</v>
      </c>
      <c r="F31" s="4">
        <v>212</v>
      </c>
      <c r="G31" s="92"/>
      <c r="H31" s="92"/>
      <c r="I31" s="4" t="e">
        <f t="shared" si="7"/>
        <v>#DIV/0!</v>
      </c>
      <c r="J31" s="94" t="s">
        <v>167</v>
      </c>
      <c r="K31" s="4">
        <v>215</v>
      </c>
      <c r="L31" s="4" t="e">
        <f t="shared" si="8"/>
        <v>#DIV/0!</v>
      </c>
      <c r="M31" s="4" t="str">
        <f t="shared" si="9"/>
        <v>-</v>
      </c>
      <c r="N31" s="4" t="str">
        <f t="shared" si="10"/>
        <v>-</v>
      </c>
      <c r="O31" s="4" t="e">
        <f t="shared" si="11"/>
        <v>#VALUE!</v>
      </c>
      <c r="P31" s="4" t="e">
        <f>VLOOKUP(M31,$DN$4:$DO$28,2, FALSE)</f>
        <v>#N/A</v>
      </c>
    </row>
    <row r="32" spans="1:149" x14ac:dyDescent="0.25">
      <c r="A32" s="22">
        <v>7</v>
      </c>
      <c r="B32" s="92"/>
      <c r="C32" s="92"/>
      <c r="D32" s="4" t="e">
        <f t="shared" si="6"/>
        <v>#DIV/0!</v>
      </c>
      <c r="E32" s="94" t="s">
        <v>167</v>
      </c>
      <c r="F32" s="4">
        <v>216</v>
      </c>
      <c r="G32" s="92"/>
      <c r="H32" s="92"/>
      <c r="I32" s="4" t="e">
        <f t="shared" si="7"/>
        <v>#DIV/0!</v>
      </c>
      <c r="J32" s="94" t="s">
        <v>167</v>
      </c>
      <c r="K32" s="4">
        <v>218</v>
      </c>
      <c r="L32" s="4" t="e">
        <f t="shared" si="8"/>
        <v>#DIV/0!</v>
      </c>
      <c r="M32" s="4" t="str">
        <f t="shared" si="9"/>
        <v>-</v>
      </c>
      <c r="N32" s="4" t="str">
        <f t="shared" si="10"/>
        <v>-</v>
      </c>
      <c r="O32" s="4" t="e">
        <f t="shared" si="11"/>
        <v>#VALUE!</v>
      </c>
      <c r="P32" s="4" t="e">
        <f>VLOOKUP(M32,$DP$4:$DQ$28,2, FALSE)</f>
        <v>#N/A</v>
      </c>
    </row>
    <row r="33" spans="1:16" x14ac:dyDescent="0.25">
      <c r="A33" s="22">
        <v>8</v>
      </c>
      <c r="B33" s="92"/>
      <c r="C33" s="92"/>
      <c r="D33" s="4" t="e">
        <f t="shared" si="6"/>
        <v>#DIV/0!</v>
      </c>
      <c r="E33" s="94" t="s">
        <v>167</v>
      </c>
      <c r="F33" s="4">
        <v>218</v>
      </c>
      <c r="G33" s="92"/>
      <c r="H33" s="92"/>
      <c r="I33" s="4" t="e">
        <f t="shared" si="7"/>
        <v>#DIV/0!</v>
      </c>
      <c r="J33" s="94" t="s">
        <v>167</v>
      </c>
      <c r="K33" s="4">
        <v>220</v>
      </c>
      <c r="L33" s="4" t="e">
        <f t="shared" si="8"/>
        <v>#DIV/0!</v>
      </c>
      <c r="M33" s="4" t="str">
        <f t="shared" si="9"/>
        <v>-</v>
      </c>
      <c r="N33" s="4" t="str">
        <f t="shared" si="10"/>
        <v>-</v>
      </c>
      <c r="O33" s="4" t="e">
        <f t="shared" si="11"/>
        <v>#VALUE!</v>
      </c>
      <c r="P33" s="4" t="e">
        <f>VLOOKUP(M33,$DR$4:$DS$28,2, FALSE)</f>
        <v>#N/A</v>
      </c>
    </row>
    <row r="34" spans="1:16" x14ac:dyDescent="0.25">
      <c r="A34" s="22">
        <v>9</v>
      </c>
      <c r="B34" s="92"/>
      <c r="C34" s="92"/>
      <c r="D34" s="4" t="e">
        <f t="shared" si="6"/>
        <v>#DIV/0!</v>
      </c>
      <c r="E34" s="94" t="s">
        <v>167</v>
      </c>
      <c r="F34" s="4">
        <v>220</v>
      </c>
      <c r="G34" s="92"/>
      <c r="H34" s="92"/>
      <c r="I34" s="4" t="e">
        <f t="shared" si="7"/>
        <v>#DIV/0!</v>
      </c>
      <c r="J34" s="94" t="s">
        <v>167</v>
      </c>
      <c r="K34" s="4">
        <v>223</v>
      </c>
      <c r="L34" s="4" t="e">
        <f t="shared" si="8"/>
        <v>#DIV/0!</v>
      </c>
      <c r="M34" s="4" t="str">
        <f t="shared" si="9"/>
        <v>-</v>
      </c>
      <c r="N34" s="4" t="str">
        <f t="shared" si="10"/>
        <v>-</v>
      </c>
      <c r="O34" s="4" t="e">
        <f t="shared" si="11"/>
        <v>#VALUE!</v>
      </c>
      <c r="P34" s="4" t="e">
        <f>VLOOKUP(M34,$DT$4:$DU$28,2, FALSE)</f>
        <v>#N/A</v>
      </c>
    </row>
    <row r="35" spans="1:16" x14ac:dyDescent="0.25">
      <c r="A35" s="22">
        <v>10</v>
      </c>
      <c r="B35" s="92"/>
      <c r="C35" s="92"/>
      <c r="D35" s="4" t="e">
        <f t="shared" si="6"/>
        <v>#DIV/0!</v>
      </c>
      <c r="E35" s="94" t="s">
        <v>167</v>
      </c>
      <c r="F35" s="4">
        <v>222</v>
      </c>
      <c r="G35" s="92"/>
      <c r="H35" s="92"/>
      <c r="I35" s="4" t="e">
        <f t="shared" si="7"/>
        <v>#DIV/0!</v>
      </c>
      <c r="J35" s="94" t="s">
        <v>167</v>
      </c>
      <c r="K35" s="4">
        <v>224</v>
      </c>
      <c r="L35" s="4" t="e">
        <f t="shared" si="8"/>
        <v>#DIV/0!</v>
      </c>
      <c r="M35" s="4" t="str">
        <f t="shared" si="9"/>
        <v>-</v>
      </c>
      <c r="N35" s="4" t="str">
        <f t="shared" si="10"/>
        <v>-</v>
      </c>
      <c r="O35" s="4" t="e">
        <f t="shared" si="11"/>
        <v>#VALUE!</v>
      </c>
      <c r="P35" s="4" t="e">
        <f>VLOOKUP(M35,$DV$4:$DW$28,2, FALSE)</f>
        <v>#N/A</v>
      </c>
    </row>
    <row r="36" spans="1:16" x14ac:dyDescent="0.25">
      <c r="A36" s="28"/>
      <c r="B36" s="167" t="s">
        <v>60</v>
      </c>
      <c r="C36" s="168"/>
      <c r="D36" s="168"/>
      <c r="E36" s="168"/>
      <c r="F36" s="168"/>
      <c r="G36" s="168"/>
      <c r="H36" s="168"/>
      <c r="I36" s="168"/>
      <c r="J36" s="168"/>
      <c r="K36" s="168"/>
      <c r="L36" s="168"/>
      <c r="M36" s="168"/>
      <c r="N36" s="168"/>
      <c r="O36" s="168"/>
      <c r="P36" s="169"/>
    </row>
    <row r="37" spans="1:16" x14ac:dyDescent="0.25">
      <c r="A37" s="29"/>
      <c r="B37" s="137" t="s">
        <v>36</v>
      </c>
      <c r="C37" s="138"/>
      <c r="D37" s="138"/>
      <c r="E37" s="138"/>
      <c r="F37" s="139"/>
      <c r="G37" s="137" t="s">
        <v>39</v>
      </c>
      <c r="H37" s="138"/>
      <c r="I37" s="138"/>
      <c r="J37" s="138"/>
      <c r="K37" s="139"/>
      <c r="L37" s="137" t="s">
        <v>40</v>
      </c>
      <c r="M37" s="138"/>
      <c r="N37" s="138"/>
      <c r="O37" s="138"/>
      <c r="P37" s="139"/>
    </row>
    <row r="38" spans="1:16" ht="60" x14ac:dyDescent="0.25">
      <c r="A38" s="3" t="s">
        <v>0</v>
      </c>
      <c r="B38" s="14" t="s">
        <v>78</v>
      </c>
      <c r="C38" s="14" t="s">
        <v>174</v>
      </c>
      <c r="D38" s="14" t="s">
        <v>175</v>
      </c>
      <c r="E38" s="14" t="s">
        <v>38</v>
      </c>
      <c r="F38" s="14" t="s">
        <v>63</v>
      </c>
      <c r="G38" s="14" t="s">
        <v>78</v>
      </c>
      <c r="H38" s="14" t="s">
        <v>174</v>
      </c>
      <c r="I38" s="14" t="s">
        <v>175</v>
      </c>
      <c r="J38" s="14" t="s">
        <v>61</v>
      </c>
      <c r="K38" s="14" t="s">
        <v>63</v>
      </c>
      <c r="L38" s="14" t="s">
        <v>180</v>
      </c>
      <c r="M38" s="14" t="s">
        <v>41</v>
      </c>
      <c r="N38" s="14" t="s">
        <v>42</v>
      </c>
      <c r="O38" s="14" t="s">
        <v>43</v>
      </c>
      <c r="P38" s="14" t="s">
        <v>62</v>
      </c>
    </row>
    <row r="39" spans="1:16" x14ac:dyDescent="0.25">
      <c r="A39" s="3" t="s">
        <v>1</v>
      </c>
      <c r="B39" s="91"/>
      <c r="C39" s="91"/>
      <c r="D39" s="21" t="e">
        <f>C39/B39</f>
        <v>#DIV/0!</v>
      </c>
      <c r="E39" s="97" t="s">
        <v>167</v>
      </c>
      <c r="F39" s="2">
        <v>144</v>
      </c>
      <c r="G39" s="91"/>
      <c r="H39" s="91"/>
      <c r="I39" s="21" t="e">
        <f>H39/G39</f>
        <v>#DIV/0!</v>
      </c>
      <c r="J39" s="93" t="s">
        <v>167</v>
      </c>
      <c r="K39" s="2">
        <v>158</v>
      </c>
      <c r="L39" s="2" t="e">
        <f>I39-D39</f>
        <v>#DIV/0!</v>
      </c>
      <c r="M39" s="2" t="str">
        <f t="shared" ref="M39:M49" si="12">E39</f>
        <v>-</v>
      </c>
      <c r="N39" s="2" t="str">
        <f t="shared" ref="N39:N49" si="13">J39</f>
        <v>-</v>
      </c>
      <c r="O39" s="2" t="e">
        <f>N39-M39</f>
        <v>#VALUE!</v>
      </c>
      <c r="P39" s="2" t="e">
        <f>VLOOKUP(M39,$DX$4:$DY$28,2, FALSE)</f>
        <v>#N/A</v>
      </c>
    </row>
    <row r="40" spans="1:16" x14ac:dyDescent="0.25">
      <c r="A40" s="3">
        <v>1</v>
      </c>
      <c r="B40" s="91"/>
      <c r="C40" s="91"/>
      <c r="D40" s="21" t="e">
        <f t="shared" ref="D40:D49" si="14">C40/B40</f>
        <v>#DIV/0!</v>
      </c>
      <c r="E40" s="97" t="s">
        <v>167</v>
      </c>
      <c r="F40" s="2">
        <v>162</v>
      </c>
      <c r="G40" s="91"/>
      <c r="H40" s="91"/>
      <c r="I40" s="21" t="e">
        <f t="shared" ref="I40:I49" si="15">H40/G40</f>
        <v>#DIV/0!</v>
      </c>
      <c r="J40" s="93" t="s">
        <v>167</v>
      </c>
      <c r="K40" s="2">
        <v>177</v>
      </c>
      <c r="L40" s="2" t="e">
        <f t="shared" ref="L40:L49" si="16">I40-D40</f>
        <v>#DIV/0!</v>
      </c>
      <c r="M40" s="2" t="str">
        <f t="shared" si="12"/>
        <v>-</v>
      </c>
      <c r="N40" s="2" t="str">
        <f t="shared" si="13"/>
        <v>-</v>
      </c>
      <c r="O40" s="2" t="e">
        <f t="shared" ref="O40:O49" si="17">N40-M40</f>
        <v>#VALUE!</v>
      </c>
      <c r="P40" s="2" t="e">
        <f>VLOOKUP(M40,$DZ$4:$EA$28,2, FALSE)</f>
        <v>#N/A</v>
      </c>
    </row>
    <row r="41" spans="1:16" x14ac:dyDescent="0.25">
      <c r="A41" s="3">
        <v>2</v>
      </c>
      <c r="B41" s="91"/>
      <c r="C41" s="91"/>
      <c r="D41" s="21" t="e">
        <f t="shared" si="14"/>
        <v>#DIV/0!</v>
      </c>
      <c r="E41" s="97" t="s">
        <v>167</v>
      </c>
      <c r="F41" s="2">
        <v>178</v>
      </c>
      <c r="G41" s="91"/>
      <c r="H41" s="91"/>
      <c r="I41" s="21" t="e">
        <f t="shared" si="15"/>
        <v>#DIV/0!</v>
      </c>
      <c r="J41" s="93" t="s">
        <v>167</v>
      </c>
      <c r="K41" s="2">
        <v>189</v>
      </c>
      <c r="L41" s="2" t="e">
        <f t="shared" si="16"/>
        <v>#DIV/0!</v>
      </c>
      <c r="M41" s="2" t="str">
        <f t="shared" si="12"/>
        <v>-</v>
      </c>
      <c r="N41" s="2" t="str">
        <f t="shared" si="13"/>
        <v>-</v>
      </c>
      <c r="O41" s="2" t="e">
        <f t="shared" si="17"/>
        <v>#VALUE!</v>
      </c>
      <c r="P41" s="2" t="e">
        <f>VLOOKUP(M41,$EB$4:$EC$28,2, FALSE)</f>
        <v>#N/A</v>
      </c>
    </row>
    <row r="42" spans="1:16" x14ac:dyDescent="0.25">
      <c r="A42" s="22">
        <v>3</v>
      </c>
      <c r="B42" s="92"/>
      <c r="C42" s="92"/>
      <c r="D42" s="4" t="e">
        <f t="shared" si="14"/>
        <v>#DIV/0!</v>
      </c>
      <c r="E42" s="98" t="s">
        <v>167</v>
      </c>
      <c r="F42" s="4">
        <v>192</v>
      </c>
      <c r="G42" s="92"/>
      <c r="H42" s="92"/>
      <c r="I42" s="4" t="e">
        <f t="shared" si="15"/>
        <v>#DIV/0!</v>
      </c>
      <c r="J42" s="94" t="s">
        <v>167</v>
      </c>
      <c r="K42" s="4">
        <v>202</v>
      </c>
      <c r="L42" s="2" t="e">
        <f t="shared" si="16"/>
        <v>#DIV/0!</v>
      </c>
      <c r="M42" s="2" t="str">
        <f t="shared" si="12"/>
        <v>-</v>
      </c>
      <c r="N42" s="2" t="str">
        <f t="shared" si="13"/>
        <v>-</v>
      </c>
      <c r="O42" s="2" t="e">
        <f t="shared" si="17"/>
        <v>#VALUE!</v>
      </c>
      <c r="P42" s="2" t="e">
        <f>VLOOKUP(M42,$ED$4:$EE$28,2, FALSE)</f>
        <v>#N/A</v>
      </c>
    </row>
    <row r="43" spans="1:16" x14ac:dyDescent="0.25">
      <c r="A43" s="22">
        <v>4</v>
      </c>
      <c r="B43" s="92"/>
      <c r="C43" s="92"/>
      <c r="D43" s="4" t="e">
        <f t="shared" si="14"/>
        <v>#DIV/0!</v>
      </c>
      <c r="E43" s="98" t="s">
        <v>167</v>
      </c>
      <c r="F43" s="4">
        <v>203</v>
      </c>
      <c r="G43" s="92"/>
      <c r="H43" s="92"/>
      <c r="I43" s="4" t="e">
        <f t="shared" si="15"/>
        <v>#DIV/0!</v>
      </c>
      <c r="J43" s="94" t="s">
        <v>167</v>
      </c>
      <c r="K43" s="4">
        <v>210</v>
      </c>
      <c r="L43" s="4" t="e">
        <f t="shared" si="16"/>
        <v>#DIV/0!</v>
      </c>
      <c r="M43" s="4" t="str">
        <f t="shared" si="12"/>
        <v>-</v>
      </c>
      <c r="N43" s="4" t="str">
        <f t="shared" si="13"/>
        <v>-</v>
      </c>
      <c r="O43" s="4" t="e">
        <f t="shared" si="17"/>
        <v>#VALUE!</v>
      </c>
      <c r="P43" s="4" t="e">
        <f>VLOOKUP(M43,$EF$4:$EG$28,2, FALSE)</f>
        <v>#N/A</v>
      </c>
    </row>
    <row r="44" spans="1:16" x14ac:dyDescent="0.25">
      <c r="A44" s="22">
        <v>5</v>
      </c>
      <c r="B44" s="92"/>
      <c r="C44" s="92"/>
      <c r="D44" s="4" t="e">
        <f t="shared" si="14"/>
        <v>#DIV/0!</v>
      </c>
      <c r="E44" s="98" t="s">
        <v>167</v>
      </c>
      <c r="F44" s="4">
        <v>211</v>
      </c>
      <c r="G44" s="92"/>
      <c r="H44" s="92"/>
      <c r="I44" s="4" t="e">
        <f t="shared" si="15"/>
        <v>#DIV/0!</v>
      </c>
      <c r="J44" s="94" t="s">
        <v>167</v>
      </c>
      <c r="K44" s="4">
        <v>219</v>
      </c>
      <c r="L44" s="4" t="e">
        <f t="shared" si="16"/>
        <v>#DIV/0!</v>
      </c>
      <c r="M44" s="4" t="str">
        <f t="shared" si="12"/>
        <v>-</v>
      </c>
      <c r="N44" s="4" t="str">
        <f t="shared" si="13"/>
        <v>-</v>
      </c>
      <c r="O44" s="4" t="e">
        <f t="shared" si="17"/>
        <v>#VALUE!</v>
      </c>
      <c r="P44" s="4" t="e">
        <f>VLOOKUP(M44,$EH$4:$EI$28,2, FALSE)</f>
        <v>#N/A</v>
      </c>
    </row>
    <row r="45" spans="1:16" x14ac:dyDescent="0.25">
      <c r="A45" s="22">
        <v>6</v>
      </c>
      <c r="B45" s="92"/>
      <c r="C45" s="92"/>
      <c r="D45" s="4" t="e">
        <f t="shared" si="14"/>
        <v>#DIV/0!</v>
      </c>
      <c r="E45" s="98" t="s">
        <v>167</v>
      </c>
      <c r="F45" s="4">
        <v>218</v>
      </c>
      <c r="G45" s="92"/>
      <c r="H45" s="92"/>
      <c r="I45" s="4" t="e">
        <f t="shared" si="15"/>
        <v>#DIV/0!</v>
      </c>
      <c r="J45" s="94" t="s">
        <v>167</v>
      </c>
      <c r="K45" s="4">
        <v>224</v>
      </c>
      <c r="L45" s="4" t="e">
        <f t="shared" si="16"/>
        <v>#DIV/0!</v>
      </c>
      <c r="M45" s="4" t="str">
        <f t="shared" si="12"/>
        <v>-</v>
      </c>
      <c r="N45" s="4" t="str">
        <f t="shared" si="13"/>
        <v>-</v>
      </c>
      <c r="O45" s="4" t="e">
        <f t="shared" si="17"/>
        <v>#VALUE!</v>
      </c>
      <c r="P45" s="4" t="e">
        <f>VLOOKUP(M45,$EJ$4:$EK$28,2, FALSE)</f>
        <v>#N/A</v>
      </c>
    </row>
    <row r="46" spans="1:16" x14ac:dyDescent="0.25">
      <c r="A46" s="22">
        <v>7</v>
      </c>
      <c r="B46" s="92"/>
      <c r="C46" s="92"/>
      <c r="D46" s="4" t="e">
        <f t="shared" si="14"/>
        <v>#DIV/0!</v>
      </c>
      <c r="E46" s="98" t="s">
        <v>167</v>
      </c>
      <c r="F46" s="4">
        <v>225</v>
      </c>
      <c r="G46" s="92"/>
      <c r="H46" s="92"/>
      <c r="I46" s="4" t="e">
        <f t="shared" si="15"/>
        <v>#DIV/0!</v>
      </c>
      <c r="J46" s="94" t="s">
        <v>167</v>
      </c>
      <c r="K46" s="4">
        <v>229</v>
      </c>
      <c r="L46" s="4" t="e">
        <f t="shared" si="16"/>
        <v>#DIV/0!</v>
      </c>
      <c r="M46" s="4" t="str">
        <f t="shared" si="12"/>
        <v>-</v>
      </c>
      <c r="N46" s="4" t="str">
        <f t="shared" si="13"/>
        <v>-</v>
      </c>
      <c r="O46" s="4" t="e">
        <f t="shared" si="17"/>
        <v>#VALUE!</v>
      </c>
      <c r="P46" s="4" t="e">
        <f>VLOOKUP(M46,$EL$4:$EM$28,2, FALSE)</f>
        <v>#N/A</v>
      </c>
    </row>
    <row r="47" spans="1:16" x14ac:dyDescent="0.25">
      <c r="A47" s="22">
        <v>8</v>
      </c>
      <c r="B47" s="92"/>
      <c r="C47" s="92"/>
      <c r="D47" s="4" t="e">
        <f t="shared" si="14"/>
        <v>#DIV/0!</v>
      </c>
      <c r="E47" s="98" t="s">
        <v>167</v>
      </c>
      <c r="F47" s="4">
        <v>229</v>
      </c>
      <c r="G47" s="92"/>
      <c r="H47" s="92"/>
      <c r="I47" s="4" t="e">
        <f t="shared" si="15"/>
        <v>#DIV/0!</v>
      </c>
      <c r="J47" s="94" t="s">
        <v>167</v>
      </c>
      <c r="K47" s="4">
        <v>232</v>
      </c>
      <c r="L47" s="4" t="e">
        <f t="shared" si="16"/>
        <v>#DIV/0!</v>
      </c>
      <c r="M47" s="4" t="str">
        <f t="shared" si="12"/>
        <v>-</v>
      </c>
      <c r="N47" s="4" t="str">
        <f t="shared" si="13"/>
        <v>-</v>
      </c>
      <c r="O47" s="4" t="e">
        <f t="shared" si="17"/>
        <v>#VALUE!</v>
      </c>
      <c r="P47" s="4" t="e">
        <f>VLOOKUP(M47,$EN$4:$EO$28,2, FALSE)</f>
        <v>#N/A</v>
      </c>
    </row>
    <row r="48" spans="1:16" x14ac:dyDescent="0.25">
      <c r="A48" s="22">
        <v>9</v>
      </c>
      <c r="B48" s="92"/>
      <c r="C48" s="92"/>
      <c r="D48" s="4" t="e">
        <f t="shared" si="14"/>
        <v>#DIV/0!</v>
      </c>
      <c r="E48" s="98" t="s">
        <v>167</v>
      </c>
      <c r="F48" s="4">
        <v>232</v>
      </c>
      <c r="G48" s="92"/>
      <c r="H48" s="92"/>
      <c r="I48" s="4" t="e">
        <f t="shared" si="15"/>
        <v>#DIV/0!</v>
      </c>
      <c r="J48" s="94" t="s">
        <v>167</v>
      </c>
      <c r="K48" s="4">
        <v>236</v>
      </c>
      <c r="L48" s="4" t="e">
        <f t="shared" si="16"/>
        <v>#DIV/0!</v>
      </c>
      <c r="M48" s="4" t="str">
        <f t="shared" si="12"/>
        <v>-</v>
      </c>
      <c r="N48" s="4" t="str">
        <f t="shared" si="13"/>
        <v>-</v>
      </c>
      <c r="O48" s="4" t="e">
        <f t="shared" si="17"/>
        <v>#VALUE!</v>
      </c>
      <c r="P48" s="4" t="e">
        <f>VLOOKUP(M48,$EP$4:$EQ$28,2, FALSE)</f>
        <v>#N/A</v>
      </c>
    </row>
    <row r="49" spans="1:16" x14ac:dyDescent="0.25">
      <c r="A49" s="22">
        <v>10</v>
      </c>
      <c r="B49" s="92"/>
      <c r="C49" s="92"/>
      <c r="D49" s="4" t="e">
        <f t="shared" si="14"/>
        <v>#DIV/0!</v>
      </c>
      <c r="E49" s="98" t="s">
        <v>167</v>
      </c>
      <c r="F49" s="4">
        <v>235</v>
      </c>
      <c r="G49" s="92"/>
      <c r="H49" s="92"/>
      <c r="I49" s="4" t="e">
        <f t="shared" si="15"/>
        <v>#DIV/0!</v>
      </c>
      <c r="J49" s="94" t="s">
        <v>167</v>
      </c>
      <c r="K49" s="4">
        <v>237</v>
      </c>
      <c r="L49" s="4" t="e">
        <f t="shared" si="16"/>
        <v>#DIV/0!</v>
      </c>
      <c r="M49" s="4" t="str">
        <f t="shared" si="12"/>
        <v>-</v>
      </c>
      <c r="N49" s="4" t="str">
        <f t="shared" si="13"/>
        <v>-</v>
      </c>
      <c r="O49" s="4" t="e">
        <f t="shared" si="17"/>
        <v>#VALUE!</v>
      </c>
      <c r="P49" s="4" t="e">
        <f>VLOOKUP(M49,$ER$4:$ES$28,2, FALSE)</f>
        <v>#N/A</v>
      </c>
    </row>
  </sheetData>
  <sheetProtection password="CDF6" sheet="1" objects="1" scenarios="1"/>
  <mergeCells count="57">
    <mergeCell ref="B24:P24"/>
    <mergeCell ref="B25:F25"/>
    <mergeCell ref="G25:K25"/>
    <mergeCell ref="B36:P36"/>
    <mergeCell ref="L25:P25"/>
    <mergeCell ref="B1:T1"/>
    <mergeCell ref="CF1:DA1"/>
    <mergeCell ref="CF2:CG2"/>
    <mergeCell ref="CH2:CI2"/>
    <mergeCell ref="CJ2:CK2"/>
    <mergeCell ref="CL2:CM2"/>
    <mergeCell ref="CN2:CO2"/>
    <mergeCell ref="CP2:CQ2"/>
    <mergeCell ref="CR2:CS2"/>
    <mergeCell ref="CT2:CU2"/>
    <mergeCell ref="CV2:CW2"/>
    <mergeCell ref="CX2:CY2"/>
    <mergeCell ref="CZ2:DA2"/>
    <mergeCell ref="DB1:DW1"/>
    <mergeCell ref="DB2:DC2"/>
    <mergeCell ref="DD2:DE2"/>
    <mergeCell ref="DF2:DG2"/>
    <mergeCell ref="DH2:DI2"/>
    <mergeCell ref="DJ2:DK2"/>
    <mergeCell ref="DL2:DM2"/>
    <mergeCell ref="DN2:DO2"/>
    <mergeCell ref="DP2:DQ2"/>
    <mergeCell ref="DR2:DS2"/>
    <mergeCell ref="DV2:DW2"/>
    <mergeCell ref="DX1:ES1"/>
    <mergeCell ref="DX2:DY2"/>
    <mergeCell ref="DZ2:EA2"/>
    <mergeCell ref="EB2:EC2"/>
    <mergeCell ref="ED2:EE2"/>
    <mergeCell ref="EF2:EG2"/>
    <mergeCell ref="EH2:EI2"/>
    <mergeCell ref="EJ2:EK2"/>
    <mergeCell ref="EN2:EO2"/>
    <mergeCell ref="EP2:EQ2"/>
    <mergeCell ref="ER2:ES2"/>
    <mergeCell ref="EL2:EM2"/>
    <mergeCell ref="L37:P37"/>
    <mergeCell ref="G11:K11"/>
    <mergeCell ref="B11:F11"/>
    <mergeCell ref="B10:P10"/>
    <mergeCell ref="DT2:DU2"/>
    <mergeCell ref="L11:P11"/>
    <mergeCell ref="A9:E9"/>
    <mergeCell ref="A8:E8"/>
    <mergeCell ref="B2:T2"/>
    <mergeCell ref="A7:T7"/>
    <mergeCell ref="B6:T6"/>
    <mergeCell ref="B5:T5"/>
    <mergeCell ref="B4:T4"/>
    <mergeCell ref="B3:T3"/>
    <mergeCell ref="B37:F37"/>
    <mergeCell ref="G37:K37"/>
  </mergeCells>
  <conditionalFormatting sqref="E13:E23">
    <cfRule type="cellIs" dxfId="260" priority="185" operator="lessThan">
      <formula>F13</formula>
    </cfRule>
    <cfRule type="cellIs" dxfId="259" priority="186" operator="greaterThanOrEqual">
      <formula>F13</formula>
    </cfRule>
  </conditionalFormatting>
  <conditionalFormatting sqref="J13:J23">
    <cfRule type="cellIs" dxfId="258" priority="183" operator="lessThan">
      <formula>K13</formula>
    </cfRule>
    <cfRule type="cellIs" dxfId="257" priority="184" operator="greaterThanOrEqual">
      <formula>K13</formula>
    </cfRule>
  </conditionalFormatting>
  <conditionalFormatting sqref="P13">
    <cfRule type="cellIs" dxfId="256" priority="181" operator="lessThanOrEqual">
      <formula>O13</formula>
    </cfRule>
    <cfRule type="cellIs" dxfId="255" priority="182" operator="greaterThan">
      <formula>O13</formula>
    </cfRule>
  </conditionalFormatting>
  <conditionalFormatting sqref="P14:P16">
    <cfRule type="cellIs" dxfId="254" priority="163" operator="lessThanOrEqual">
      <formula>O14</formula>
    </cfRule>
    <cfRule type="cellIs" dxfId="253" priority="164" operator="greaterThan">
      <formula>O14</formula>
    </cfRule>
  </conditionalFormatting>
  <conditionalFormatting sqref="P17">
    <cfRule type="cellIs" dxfId="252" priority="161" operator="lessThanOrEqual">
      <formula>O17</formula>
    </cfRule>
    <cfRule type="cellIs" dxfId="251" priority="162" operator="greaterThan">
      <formula>O17</formula>
    </cfRule>
  </conditionalFormatting>
  <conditionalFormatting sqref="P18">
    <cfRule type="cellIs" dxfId="250" priority="159" operator="lessThanOrEqual">
      <formula>O18</formula>
    </cfRule>
    <cfRule type="cellIs" dxfId="249" priority="160" operator="greaterThan">
      <formula>O18</formula>
    </cfRule>
  </conditionalFormatting>
  <conditionalFormatting sqref="P19">
    <cfRule type="cellIs" dxfId="248" priority="157" operator="lessThanOrEqual">
      <formula>O19</formula>
    </cfRule>
    <cfRule type="cellIs" dxfId="247" priority="158" operator="greaterThan">
      <formula>O19</formula>
    </cfRule>
  </conditionalFormatting>
  <conditionalFormatting sqref="P20">
    <cfRule type="cellIs" dxfId="246" priority="155" operator="lessThanOrEqual">
      <formula>O20</formula>
    </cfRule>
    <cfRule type="cellIs" dxfId="245" priority="156" operator="greaterThan">
      <formula>O20</formula>
    </cfRule>
  </conditionalFormatting>
  <conditionalFormatting sqref="P21">
    <cfRule type="cellIs" dxfId="244" priority="153" operator="lessThanOrEqual">
      <formula>O21</formula>
    </cfRule>
    <cfRule type="cellIs" dxfId="243" priority="154" operator="greaterThan">
      <formula>O21</formula>
    </cfRule>
  </conditionalFormatting>
  <conditionalFormatting sqref="P22">
    <cfRule type="cellIs" dxfId="242" priority="151" operator="lessThanOrEqual">
      <formula>O22</formula>
    </cfRule>
    <cfRule type="cellIs" dxfId="241" priority="152" operator="greaterThan">
      <formula>O22</formula>
    </cfRule>
  </conditionalFormatting>
  <conditionalFormatting sqref="P23">
    <cfRule type="cellIs" dxfId="240" priority="149" operator="lessThanOrEqual">
      <formula>O23</formula>
    </cfRule>
    <cfRule type="cellIs" dxfId="239" priority="150" operator="greaterThan">
      <formula>O23</formula>
    </cfRule>
  </conditionalFormatting>
  <conditionalFormatting sqref="E13:E23 J13:J23">
    <cfRule type="cellIs" dxfId="238" priority="108" operator="equal">
      <formula>"-"</formula>
    </cfRule>
  </conditionalFormatting>
  <conditionalFormatting sqref="E39:E49 J39:J49">
    <cfRule type="cellIs" dxfId="237" priority="7" operator="equal">
      <formula>"-"</formula>
    </cfRule>
  </conditionalFormatting>
  <conditionalFormatting sqref="P41">
    <cfRule type="cellIs" dxfId="236" priority="24" operator="lessThanOrEqual">
      <formula>O41</formula>
    </cfRule>
    <cfRule type="cellIs" dxfId="235" priority="25" operator="greaterThan">
      <formula>O41</formula>
    </cfRule>
  </conditionalFormatting>
  <conditionalFormatting sqref="P42">
    <cfRule type="cellIs" dxfId="234" priority="22" operator="lessThanOrEqual">
      <formula>O42</formula>
    </cfRule>
    <cfRule type="cellIs" dxfId="233" priority="23" operator="greaterThan">
      <formula>O42</formula>
    </cfRule>
  </conditionalFormatting>
  <conditionalFormatting sqref="P43">
    <cfRule type="cellIs" dxfId="232" priority="20" operator="lessThanOrEqual">
      <formula>O43</formula>
    </cfRule>
    <cfRule type="cellIs" dxfId="231" priority="21" operator="greaterThan">
      <formula>O43</formula>
    </cfRule>
  </conditionalFormatting>
  <conditionalFormatting sqref="P44">
    <cfRule type="cellIs" dxfId="230" priority="18" operator="lessThanOrEqual">
      <formula>O44</formula>
    </cfRule>
    <cfRule type="cellIs" dxfId="229" priority="19" operator="greaterThan">
      <formula>O44</formula>
    </cfRule>
  </conditionalFormatting>
  <conditionalFormatting sqref="P45">
    <cfRule type="cellIs" dxfId="228" priority="16" operator="lessThanOrEqual">
      <formula>O45</formula>
    </cfRule>
    <cfRule type="cellIs" dxfId="227" priority="17" operator="greaterThan">
      <formula>O45</formula>
    </cfRule>
  </conditionalFormatting>
  <conditionalFormatting sqref="P46">
    <cfRule type="cellIs" dxfId="226" priority="14" operator="lessThanOrEqual">
      <formula>O46</formula>
    </cfRule>
    <cfRule type="cellIs" dxfId="225" priority="15" operator="greaterThan">
      <formula>O46</formula>
    </cfRule>
  </conditionalFormatting>
  <conditionalFormatting sqref="P47">
    <cfRule type="cellIs" dxfId="224" priority="12" operator="lessThanOrEqual">
      <formula>O47</formula>
    </cfRule>
    <cfRule type="cellIs" dxfId="223" priority="13" operator="greaterThan">
      <formula>O47</formula>
    </cfRule>
  </conditionalFormatting>
  <conditionalFormatting sqref="P48">
    <cfRule type="cellIs" dxfId="222" priority="10" operator="lessThanOrEqual">
      <formula>O48</formula>
    </cfRule>
    <cfRule type="cellIs" dxfId="221" priority="11" operator="greaterThan">
      <formula>O48</formula>
    </cfRule>
  </conditionalFormatting>
  <conditionalFormatting sqref="P49">
    <cfRule type="cellIs" dxfId="220" priority="8" operator="lessThanOrEqual">
      <formula>O49</formula>
    </cfRule>
    <cfRule type="cellIs" dxfId="219" priority="9" operator="greaterThan">
      <formula>O49</formula>
    </cfRule>
  </conditionalFormatting>
  <conditionalFormatting sqref="E27:E35">
    <cfRule type="cellIs" dxfId="218" priority="82" operator="lessThan">
      <formula>F27</formula>
    </cfRule>
    <cfRule type="cellIs" dxfId="217" priority="83" operator="greaterThanOrEqual">
      <formula>F27</formula>
    </cfRule>
  </conditionalFormatting>
  <conditionalFormatting sqref="J27:J35">
    <cfRule type="cellIs" dxfId="216" priority="80" operator="lessThan">
      <formula>K27</formula>
    </cfRule>
    <cfRule type="cellIs" dxfId="215" priority="81" operator="greaterThanOrEqual">
      <formula>K27</formula>
    </cfRule>
  </conditionalFormatting>
  <conditionalFormatting sqref="P27">
    <cfRule type="cellIs" dxfId="214" priority="78" operator="lessThanOrEqual">
      <formula>O27</formula>
    </cfRule>
    <cfRule type="cellIs" dxfId="213" priority="79" operator="greaterThan">
      <formula>O27</formula>
    </cfRule>
  </conditionalFormatting>
  <conditionalFormatting sqref="P28">
    <cfRule type="cellIs" dxfId="212" priority="76" operator="lessThanOrEqual">
      <formula>O28</formula>
    </cfRule>
    <cfRule type="cellIs" dxfId="211" priority="77" operator="greaterThan">
      <formula>O28</formula>
    </cfRule>
  </conditionalFormatting>
  <conditionalFormatting sqref="P29">
    <cfRule type="cellIs" dxfId="210" priority="74" operator="lessThanOrEqual">
      <formula>O29</formula>
    </cfRule>
    <cfRule type="cellIs" dxfId="209" priority="75" operator="greaterThan">
      <formula>O29</formula>
    </cfRule>
  </conditionalFormatting>
  <conditionalFormatting sqref="P30">
    <cfRule type="cellIs" dxfId="208" priority="72" operator="lessThanOrEqual">
      <formula>O30</formula>
    </cfRule>
    <cfRule type="cellIs" dxfId="207" priority="73" operator="greaterThan">
      <formula>O30</formula>
    </cfRule>
  </conditionalFormatting>
  <conditionalFormatting sqref="P31">
    <cfRule type="cellIs" dxfId="206" priority="70" operator="lessThanOrEqual">
      <formula>O31</formula>
    </cfRule>
    <cfRule type="cellIs" dxfId="205" priority="71" operator="greaterThan">
      <formula>O31</formula>
    </cfRule>
  </conditionalFormatting>
  <conditionalFormatting sqref="P32">
    <cfRule type="cellIs" dxfId="204" priority="68" operator="lessThanOrEqual">
      <formula>O32</formula>
    </cfRule>
    <cfRule type="cellIs" dxfId="203" priority="69" operator="greaterThan">
      <formula>O32</formula>
    </cfRule>
  </conditionalFormatting>
  <conditionalFormatting sqref="P33">
    <cfRule type="cellIs" dxfId="202" priority="66" operator="lessThanOrEqual">
      <formula>O33</formula>
    </cfRule>
    <cfRule type="cellIs" dxfId="201" priority="67" operator="greaterThan">
      <formula>O33</formula>
    </cfRule>
  </conditionalFormatting>
  <conditionalFormatting sqref="P34">
    <cfRule type="cellIs" dxfId="200" priority="64" operator="lessThanOrEqual">
      <formula>O34</formula>
    </cfRule>
    <cfRule type="cellIs" dxfId="199" priority="65" operator="greaterThan">
      <formula>O34</formula>
    </cfRule>
  </conditionalFormatting>
  <conditionalFormatting sqref="P35">
    <cfRule type="cellIs" dxfId="198" priority="62" operator="lessThanOrEqual">
      <formula>O35</formula>
    </cfRule>
    <cfRule type="cellIs" dxfId="197" priority="63" operator="greaterThan">
      <formula>O35</formula>
    </cfRule>
  </conditionalFormatting>
  <conditionalFormatting sqref="E27:E35 J27:J35">
    <cfRule type="cellIs" dxfId="196" priority="61" operator="equal">
      <formula>"-"</formula>
    </cfRule>
  </conditionalFormatting>
  <conditionalFormatting sqref="E39:E49">
    <cfRule type="cellIs" dxfId="195" priority="32" operator="lessThan">
      <formula>F39</formula>
    </cfRule>
    <cfRule type="cellIs" dxfId="194" priority="33" operator="greaterThanOrEqual">
      <formula>F39</formula>
    </cfRule>
  </conditionalFormatting>
  <conditionalFormatting sqref="J39:J49">
    <cfRule type="cellIs" dxfId="193" priority="30" operator="lessThan">
      <formula>K39</formula>
    </cfRule>
    <cfRule type="cellIs" dxfId="192" priority="31" operator="greaterThanOrEqual">
      <formula>K39</formula>
    </cfRule>
  </conditionalFormatting>
  <conditionalFormatting sqref="P39">
    <cfRule type="cellIs" dxfId="191" priority="28" operator="lessThanOrEqual">
      <formula>O39</formula>
    </cfRule>
    <cfRule type="cellIs" dxfId="190" priority="29" operator="greaterThan">
      <formula>O39</formula>
    </cfRule>
  </conditionalFormatting>
  <conditionalFormatting sqref="P40">
    <cfRule type="cellIs" dxfId="189" priority="26" operator="lessThanOrEqual">
      <formula>O40</formula>
    </cfRule>
    <cfRule type="cellIs" dxfId="188" priority="27" operator="greaterThan">
      <formula>O40</formula>
    </cfRule>
  </conditionalFormatting>
  <conditionalFormatting sqref="L13:L23">
    <cfRule type="cellIs" dxfId="187" priority="5" operator="lessThan">
      <formula>0</formula>
    </cfRule>
    <cfRule type="cellIs" dxfId="186" priority="6" operator="greaterThanOrEqual">
      <formula>0</formula>
    </cfRule>
  </conditionalFormatting>
  <conditionalFormatting sqref="L27:L35">
    <cfRule type="cellIs" dxfId="185" priority="3" operator="lessThan">
      <formula>0</formula>
    </cfRule>
    <cfRule type="cellIs" dxfId="184" priority="4" operator="greaterThanOrEqual">
      <formula>0</formula>
    </cfRule>
  </conditionalFormatting>
  <conditionalFormatting sqref="L39:L49">
    <cfRule type="cellIs" dxfId="183" priority="1" operator="lessThan">
      <formula>0</formula>
    </cfRule>
    <cfRule type="cellIs" dxfId="182" priority="2" operator="greaterThanOrEqual">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5"/>
  <sheetViews>
    <sheetView zoomScale="80" zoomScaleNormal="80" workbookViewId="0"/>
  </sheetViews>
  <sheetFormatPr defaultRowHeight="15" x14ac:dyDescent="0.25"/>
  <cols>
    <col min="1" max="1" width="11.7109375" customWidth="1"/>
    <col min="2" max="6" width="15.5703125" customWidth="1"/>
    <col min="7" max="11" width="15" customWidth="1"/>
    <col min="12" max="13" width="15.28515625" customWidth="1"/>
    <col min="14" max="17" width="11.85546875" customWidth="1"/>
  </cols>
  <sheetData>
    <row r="1" spans="1:17" ht="96" customHeight="1" x14ac:dyDescent="0.3">
      <c r="A1" s="119" t="s">
        <v>85</v>
      </c>
      <c r="B1" s="181" t="s">
        <v>193</v>
      </c>
      <c r="C1" s="153"/>
      <c r="D1" s="153"/>
      <c r="E1" s="153"/>
      <c r="F1" s="153"/>
      <c r="G1" s="153"/>
      <c r="H1" s="153"/>
      <c r="I1" s="153"/>
      <c r="J1" s="153"/>
      <c r="K1" s="153"/>
      <c r="L1" s="153"/>
      <c r="M1" s="153"/>
      <c r="N1" s="153"/>
      <c r="O1" s="153"/>
      <c r="P1" s="153"/>
    </row>
    <row r="2" spans="1:17" ht="18.75" x14ac:dyDescent="0.3">
      <c r="A2" s="119" t="s">
        <v>86</v>
      </c>
      <c r="B2" s="153" t="s">
        <v>127</v>
      </c>
      <c r="C2" s="153"/>
      <c r="D2" s="153"/>
      <c r="E2" s="153"/>
      <c r="F2" s="153"/>
      <c r="G2" s="153"/>
      <c r="H2" s="153"/>
      <c r="I2" s="153"/>
      <c r="J2" s="153"/>
      <c r="K2" s="153"/>
      <c r="L2" s="153"/>
      <c r="M2" s="153"/>
      <c r="N2" s="153"/>
      <c r="O2" s="153"/>
      <c r="P2" s="153"/>
    </row>
    <row r="3" spans="1:17" ht="62.25" customHeight="1" x14ac:dyDescent="0.25">
      <c r="A3" s="120" t="s">
        <v>87</v>
      </c>
      <c r="B3" s="182" t="s">
        <v>128</v>
      </c>
      <c r="C3" s="183"/>
      <c r="D3" s="183"/>
      <c r="E3" s="183"/>
      <c r="F3" s="183"/>
      <c r="G3" s="183"/>
      <c r="H3" s="183"/>
      <c r="I3" s="183"/>
      <c r="J3" s="183"/>
      <c r="K3" s="183"/>
      <c r="L3" s="183"/>
      <c r="M3" s="183"/>
      <c r="N3" s="183"/>
      <c r="O3" s="183"/>
      <c r="P3" s="184"/>
    </row>
    <row r="4" spans="1:17" ht="60" x14ac:dyDescent="0.25">
      <c r="A4" s="119" t="s">
        <v>88</v>
      </c>
      <c r="B4" s="157" t="s">
        <v>132</v>
      </c>
      <c r="C4" s="157"/>
      <c r="D4" s="157"/>
      <c r="E4" s="157"/>
      <c r="F4" s="157"/>
      <c r="G4" s="157"/>
      <c r="H4" s="157"/>
      <c r="I4" s="157"/>
      <c r="J4" s="157"/>
      <c r="K4" s="157"/>
      <c r="L4" s="157"/>
      <c r="M4" s="157"/>
      <c r="N4" s="157"/>
      <c r="O4" s="157"/>
      <c r="P4" s="157"/>
    </row>
    <row r="5" spans="1:17" ht="47.25" customHeight="1" x14ac:dyDescent="0.25">
      <c r="A5" s="120" t="s">
        <v>89</v>
      </c>
      <c r="B5" s="158" t="s">
        <v>133</v>
      </c>
      <c r="C5" s="156"/>
      <c r="D5" s="156"/>
      <c r="E5" s="156"/>
      <c r="F5" s="156"/>
      <c r="G5" s="156"/>
      <c r="H5" s="156"/>
      <c r="I5" s="156"/>
      <c r="J5" s="156"/>
      <c r="K5" s="156"/>
      <c r="L5" s="156"/>
      <c r="M5" s="156"/>
      <c r="N5" s="156"/>
      <c r="O5" s="156"/>
      <c r="P5" s="156"/>
    </row>
    <row r="6" spans="1:17" ht="51.75" customHeight="1" x14ac:dyDescent="0.25">
      <c r="A6" s="121" t="s">
        <v>90</v>
      </c>
      <c r="B6" s="155" t="s">
        <v>134</v>
      </c>
      <c r="C6" s="155"/>
      <c r="D6" s="155"/>
      <c r="E6" s="155"/>
      <c r="F6" s="155"/>
      <c r="G6" s="155"/>
      <c r="H6" s="155"/>
      <c r="I6" s="155"/>
      <c r="J6" s="155"/>
      <c r="K6" s="155"/>
      <c r="L6" s="155"/>
      <c r="M6" s="155"/>
      <c r="N6" s="155"/>
      <c r="O6" s="155"/>
      <c r="P6" s="155"/>
    </row>
    <row r="7" spans="1:17" ht="18.75" x14ac:dyDescent="0.3">
      <c r="A7" s="179" t="s">
        <v>92</v>
      </c>
      <c r="B7" s="179"/>
      <c r="C7" s="179"/>
      <c r="D7" s="179"/>
      <c r="E7" s="179"/>
      <c r="F7" s="179"/>
      <c r="G7" s="179"/>
      <c r="H7" s="179"/>
      <c r="I7" s="179"/>
      <c r="J7" s="179"/>
      <c r="K7" s="179"/>
      <c r="L7" s="179"/>
      <c r="M7" s="179"/>
      <c r="N7" s="179"/>
      <c r="O7" s="179"/>
      <c r="P7" s="179"/>
      <c r="Q7" s="179"/>
    </row>
    <row r="8" spans="1:17" x14ac:dyDescent="0.25">
      <c r="A8" s="150" t="s">
        <v>76</v>
      </c>
      <c r="B8" s="151"/>
      <c r="C8" s="151"/>
      <c r="D8" s="152"/>
      <c r="E8" s="95"/>
    </row>
    <row r="9" spans="1:17" x14ac:dyDescent="0.25">
      <c r="A9" s="180" t="s">
        <v>77</v>
      </c>
      <c r="B9" s="148"/>
      <c r="C9" s="148"/>
      <c r="D9" s="149"/>
      <c r="E9" s="96"/>
    </row>
    <row r="10" spans="1:17" ht="18.75" x14ac:dyDescent="0.3">
      <c r="A10" s="176" t="s">
        <v>182</v>
      </c>
      <c r="B10" s="176"/>
      <c r="C10" s="176"/>
      <c r="D10" s="176"/>
      <c r="E10" s="176"/>
      <c r="F10" s="176"/>
      <c r="G10" s="176"/>
      <c r="H10" s="176"/>
      <c r="I10" s="176"/>
      <c r="J10" s="176"/>
      <c r="K10" s="176"/>
      <c r="L10" s="176"/>
      <c r="M10" s="176"/>
    </row>
    <row r="11" spans="1:17" x14ac:dyDescent="0.25">
      <c r="A11" s="177" t="s">
        <v>126</v>
      </c>
      <c r="B11" s="177"/>
      <c r="C11" s="177"/>
      <c r="D11" s="177"/>
      <c r="E11" s="177"/>
      <c r="F11" s="177"/>
      <c r="G11" s="177"/>
      <c r="H11" s="177"/>
      <c r="I11" s="177"/>
      <c r="J11" s="177"/>
      <c r="K11" s="177"/>
      <c r="L11" s="177"/>
      <c r="M11" s="177"/>
    </row>
    <row r="12" spans="1:17" x14ac:dyDescent="0.25">
      <c r="A12" s="89"/>
      <c r="B12" s="178" t="s">
        <v>8</v>
      </c>
      <c r="C12" s="178"/>
      <c r="D12" s="178"/>
      <c r="E12" s="178"/>
      <c r="F12" s="178"/>
      <c r="G12" s="178"/>
      <c r="H12" s="178"/>
      <c r="I12" s="178"/>
      <c r="J12" s="178"/>
      <c r="K12" s="178"/>
      <c r="L12" s="143" t="s">
        <v>9</v>
      </c>
      <c r="M12" s="145"/>
    </row>
    <row r="13" spans="1:17" x14ac:dyDescent="0.25">
      <c r="A13" s="90"/>
      <c r="B13" s="140" t="s">
        <v>152</v>
      </c>
      <c r="C13" s="141"/>
      <c r="D13" s="141"/>
      <c r="E13" s="141"/>
      <c r="F13" s="141"/>
      <c r="G13" s="141" t="s">
        <v>179</v>
      </c>
      <c r="H13" s="141"/>
      <c r="I13" s="141"/>
      <c r="J13" s="141"/>
      <c r="K13" s="141"/>
      <c r="L13" s="140"/>
      <c r="M13" s="142"/>
    </row>
    <row r="14" spans="1:17" ht="60" x14ac:dyDescent="0.25">
      <c r="A14" s="82" t="s">
        <v>0</v>
      </c>
      <c r="B14" s="15" t="s">
        <v>78</v>
      </c>
      <c r="C14" s="15" t="s">
        <v>124</v>
      </c>
      <c r="D14" s="15" t="s">
        <v>125</v>
      </c>
      <c r="E14" s="15" t="s">
        <v>184</v>
      </c>
      <c r="F14" s="15" t="s">
        <v>104</v>
      </c>
      <c r="G14" s="15" t="s">
        <v>78</v>
      </c>
      <c r="H14" s="15" t="s">
        <v>124</v>
      </c>
      <c r="I14" s="15" t="s">
        <v>125</v>
      </c>
      <c r="J14" s="15" t="s">
        <v>184</v>
      </c>
      <c r="K14" s="87" t="s">
        <v>104</v>
      </c>
      <c r="L14" s="15" t="s">
        <v>73</v>
      </c>
      <c r="M14" s="15" t="s">
        <v>181</v>
      </c>
    </row>
    <row r="15" spans="1:17" x14ac:dyDescent="0.25">
      <c r="A15" s="4">
        <v>3</v>
      </c>
      <c r="B15" s="92"/>
      <c r="C15" s="92"/>
      <c r="D15" s="92"/>
      <c r="E15" s="98" t="s">
        <v>167</v>
      </c>
      <c r="F15" s="36">
        <v>71.650000000000006</v>
      </c>
      <c r="G15" s="92"/>
      <c r="H15" s="92"/>
      <c r="I15" s="92"/>
      <c r="J15" s="98" t="s">
        <v>167</v>
      </c>
      <c r="K15" s="86">
        <v>71.650000000000006</v>
      </c>
      <c r="L15" s="2">
        <f>I15-D15</f>
        <v>0</v>
      </c>
      <c r="M15" s="2" t="e">
        <f>J15-E15</f>
        <v>#VALUE!</v>
      </c>
    </row>
    <row r="16" spans="1:17" x14ac:dyDescent="0.25">
      <c r="A16" s="4">
        <v>4</v>
      </c>
      <c r="B16" s="92"/>
      <c r="C16" s="92"/>
      <c r="D16" s="92"/>
      <c r="E16" s="98" t="s">
        <v>167</v>
      </c>
      <c r="F16" s="36">
        <v>71.650000000000006</v>
      </c>
      <c r="G16" s="92"/>
      <c r="H16" s="92"/>
      <c r="I16" s="92"/>
      <c r="J16" s="98" t="s">
        <v>167</v>
      </c>
      <c r="K16" s="86">
        <v>71.650000000000006</v>
      </c>
      <c r="L16" s="2">
        <f t="shared" ref="L16:L22" si="0">I16-D16</f>
        <v>0</v>
      </c>
      <c r="M16" s="2" t="e">
        <f t="shared" ref="M16:M22" si="1">J16-E16</f>
        <v>#VALUE!</v>
      </c>
    </row>
    <row r="17" spans="1:13" x14ac:dyDescent="0.25">
      <c r="A17" s="4">
        <v>5</v>
      </c>
      <c r="B17" s="92"/>
      <c r="C17" s="92"/>
      <c r="D17" s="92"/>
      <c r="E17" s="98" t="s">
        <v>167</v>
      </c>
      <c r="F17" s="36">
        <v>71.650000000000006</v>
      </c>
      <c r="G17" s="92"/>
      <c r="H17" s="92"/>
      <c r="I17" s="92"/>
      <c r="J17" s="98" t="s">
        <v>167</v>
      </c>
      <c r="K17" s="86">
        <v>71.650000000000006</v>
      </c>
      <c r="L17" s="2">
        <f t="shared" si="0"/>
        <v>0</v>
      </c>
      <c r="M17" s="2" t="e">
        <f t="shared" si="1"/>
        <v>#VALUE!</v>
      </c>
    </row>
    <row r="18" spans="1:13" x14ac:dyDescent="0.25">
      <c r="A18" s="4">
        <v>6</v>
      </c>
      <c r="B18" s="92"/>
      <c r="C18" s="92"/>
      <c r="D18" s="92"/>
      <c r="E18" s="98" t="s">
        <v>167</v>
      </c>
      <c r="F18" s="36">
        <v>71.430000000000007</v>
      </c>
      <c r="G18" s="92"/>
      <c r="H18" s="92"/>
      <c r="I18" s="92"/>
      <c r="J18" s="98" t="s">
        <v>167</v>
      </c>
      <c r="K18" s="86">
        <v>71.430000000000007</v>
      </c>
      <c r="L18" s="2">
        <f>I18-D18</f>
        <v>0</v>
      </c>
      <c r="M18" s="2" t="e">
        <f t="shared" si="1"/>
        <v>#VALUE!</v>
      </c>
    </row>
    <row r="19" spans="1:13" x14ac:dyDescent="0.25">
      <c r="A19" s="4">
        <v>7</v>
      </c>
      <c r="B19" s="92"/>
      <c r="C19" s="92"/>
      <c r="D19" s="92"/>
      <c r="E19" s="98" t="s">
        <v>167</v>
      </c>
      <c r="F19" s="36">
        <v>71.430000000000007</v>
      </c>
      <c r="G19" s="92"/>
      <c r="H19" s="92"/>
      <c r="I19" s="92"/>
      <c r="J19" s="98" t="s">
        <v>167</v>
      </c>
      <c r="K19" s="86">
        <v>71.430000000000007</v>
      </c>
      <c r="L19" s="2">
        <f t="shared" si="0"/>
        <v>0</v>
      </c>
      <c r="M19" s="2" t="e">
        <f t="shared" si="1"/>
        <v>#VALUE!</v>
      </c>
    </row>
    <row r="20" spans="1:13" x14ac:dyDescent="0.25">
      <c r="A20" s="4">
        <v>8</v>
      </c>
      <c r="B20" s="92"/>
      <c r="C20" s="92"/>
      <c r="D20" s="92"/>
      <c r="E20" s="98" t="s">
        <v>167</v>
      </c>
      <c r="F20" s="36">
        <v>71.430000000000007</v>
      </c>
      <c r="G20" s="92"/>
      <c r="H20" s="92"/>
      <c r="I20" s="92"/>
      <c r="J20" s="98" t="s">
        <v>167</v>
      </c>
      <c r="K20" s="86">
        <v>71.430000000000007</v>
      </c>
      <c r="L20" s="2">
        <f t="shared" si="0"/>
        <v>0</v>
      </c>
      <c r="M20" s="2" t="e">
        <f>J20-E20</f>
        <v>#VALUE!</v>
      </c>
    </row>
    <row r="21" spans="1:13" x14ac:dyDescent="0.25">
      <c r="A21" s="4">
        <v>9</v>
      </c>
      <c r="B21" s="92"/>
      <c r="C21" s="92"/>
      <c r="D21" s="92"/>
      <c r="E21" s="98" t="s">
        <v>167</v>
      </c>
      <c r="F21" s="4">
        <v>73.33</v>
      </c>
      <c r="G21" s="92"/>
      <c r="H21" s="92"/>
      <c r="I21" s="92"/>
      <c r="J21" s="98" t="s">
        <v>167</v>
      </c>
      <c r="K21" s="83">
        <v>73.33</v>
      </c>
      <c r="L21" s="2">
        <f t="shared" si="0"/>
        <v>0</v>
      </c>
      <c r="M21" s="2" t="e">
        <f t="shared" si="1"/>
        <v>#VALUE!</v>
      </c>
    </row>
    <row r="22" spans="1:13" x14ac:dyDescent="0.25">
      <c r="A22" s="4">
        <v>10</v>
      </c>
      <c r="B22" s="92"/>
      <c r="C22" s="92"/>
      <c r="D22" s="92"/>
      <c r="E22" s="98" t="s">
        <v>167</v>
      </c>
      <c r="F22" s="4">
        <v>73.33</v>
      </c>
      <c r="G22" s="92"/>
      <c r="H22" s="92"/>
      <c r="I22" s="92"/>
      <c r="J22" s="98" t="s">
        <v>167</v>
      </c>
      <c r="K22" s="83">
        <v>73.33</v>
      </c>
      <c r="L22" s="2">
        <f t="shared" si="0"/>
        <v>0</v>
      </c>
      <c r="M22" s="2" t="e">
        <f t="shared" si="1"/>
        <v>#VALUE!</v>
      </c>
    </row>
    <row r="23" spans="1:13" x14ac:dyDescent="0.25">
      <c r="A23" s="171" t="s">
        <v>60</v>
      </c>
      <c r="B23" s="172"/>
      <c r="C23" s="172"/>
      <c r="D23" s="172"/>
      <c r="E23" s="172"/>
      <c r="F23" s="172"/>
      <c r="G23" s="172"/>
      <c r="H23" s="172"/>
      <c r="I23" s="172"/>
      <c r="J23" s="172"/>
      <c r="K23" s="172"/>
      <c r="L23" s="172"/>
      <c r="M23" s="172"/>
    </row>
    <row r="24" spans="1:13" x14ac:dyDescent="0.25">
      <c r="A24" s="89"/>
      <c r="B24" s="173" t="s">
        <v>8</v>
      </c>
      <c r="C24" s="173"/>
      <c r="D24" s="173"/>
      <c r="E24" s="173"/>
      <c r="F24" s="173"/>
      <c r="G24" s="173"/>
      <c r="H24" s="173"/>
      <c r="I24" s="173"/>
      <c r="J24" s="173"/>
      <c r="K24" s="173"/>
      <c r="L24" s="174" t="s">
        <v>9</v>
      </c>
      <c r="M24" s="175"/>
    </row>
    <row r="25" spans="1:13" x14ac:dyDescent="0.25">
      <c r="A25" s="90"/>
      <c r="B25" s="170" t="s">
        <v>178</v>
      </c>
      <c r="C25" s="170"/>
      <c r="D25" s="170"/>
      <c r="E25" s="170"/>
      <c r="F25" s="170"/>
      <c r="G25" s="170" t="s">
        <v>179</v>
      </c>
      <c r="H25" s="170"/>
      <c r="I25" s="170"/>
      <c r="J25" s="170"/>
      <c r="K25" s="170"/>
      <c r="L25" s="170"/>
      <c r="M25" s="170"/>
    </row>
    <row r="26" spans="1:13" ht="60" x14ac:dyDescent="0.25">
      <c r="A26" s="82" t="s">
        <v>0</v>
      </c>
      <c r="B26" s="37" t="s">
        <v>78</v>
      </c>
      <c r="C26" s="37" t="s">
        <v>124</v>
      </c>
      <c r="D26" s="37" t="s">
        <v>125</v>
      </c>
      <c r="E26" s="37" t="s">
        <v>184</v>
      </c>
      <c r="F26" s="37" t="s">
        <v>104</v>
      </c>
      <c r="G26" s="37" t="s">
        <v>78</v>
      </c>
      <c r="H26" s="37" t="s">
        <v>124</v>
      </c>
      <c r="I26" s="37" t="s">
        <v>125</v>
      </c>
      <c r="J26" s="37" t="s">
        <v>184</v>
      </c>
      <c r="K26" s="84" t="s">
        <v>104</v>
      </c>
      <c r="L26" s="88" t="s">
        <v>73</v>
      </c>
      <c r="M26" s="37" t="s">
        <v>181</v>
      </c>
    </row>
    <row r="27" spans="1:13" x14ac:dyDescent="0.25">
      <c r="A27" s="4">
        <v>3</v>
      </c>
      <c r="B27" s="102"/>
      <c r="C27" s="92"/>
      <c r="D27" s="92"/>
      <c r="E27" s="98" t="s">
        <v>167</v>
      </c>
      <c r="F27" s="36">
        <v>70.89</v>
      </c>
      <c r="G27" s="102"/>
      <c r="H27" s="92"/>
      <c r="I27" s="92"/>
      <c r="J27" s="98" t="s">
        <v>167</v>
      </c>
      <c r="K27" s="86">
        <v>70.89</v>
      </c>
      <c r="L27" s="2">
        <f t="shared" ref="L27:L34" si="2">I27-D27</f>
        <v>0</v>
      </c>
      <c r="M27" s="2" t="e">
        <f t="shared" ref="M27:M34" si="3">J27-E27</f>
        <v>#VALUE!</v>
      </c>
    </row>
    <row r="28" spans="1:13" x14ac:dyDescent="0.25">
      <c r="A28" s="4">
        <v>4</v>
      </c>
      <c r="B28" s="102"/>
      <c r="C28" s="92"/>
      <c r="D28" s="92"/>
      <c r="E28" s="98" t="s">
        <v>167</v>
      </c>
      <c r="F28" s="36">
        <v>70.89</v>
      </c>
      <c r="G28" s="102"/>
      <c r="H28" s="92"/>
      <c r="I28" s="92"/>
      <c r="J28" s="98" t="s">
        <v>167</v>
      </c>
      <c r="K28" s="86">
        <v>70.89</v>
      </c>
      <c r="L28" s="2">
        <f t="shared" si="2"/>
        <v>0</v>
      </c>
      <c r="M28" s="2" t="e">
        <f>J28-E28</f>
        <v>#VALUE!</v>
      </c>
    </row>
    <row r="29" spans="1:13" x14ac:dyDescent="0.25">
      <c r="A29" s="4">
        <v>5</v>
      </c>
      <c r="B29" s="102"/>
      <c r="C29" s="92"/>
      <c r="D29" s="92"/>
      <c r="E29" s="98" t="s">
        <v>167</v>
      </c>
      <c r="F29" s="36">
        <v>70.89</v>
      </c>
      <c r="G29" s="102"/>
      <c r="H29" s="92"/>
      <c r="I29" s="92"/>
      <c r="J29" s="98" t="s">
        <v>167</v>
      </c>
      <c r="K29" s="86">
        <v>70.89</v>
      </c>
      <c r="L29" s="2">
        <f t="shared" si="2"/>
        <v>0</v>
      </c>
      <c r="M29" s="2" t="e">
        <f t="shared" si="3"/>
        <v>#VALUE!</v>
      </c>
    </row>
    <row r="30" spans="1:13" x14ac:dyDescent="0.25">
      <c r="A30" s="4">
        <v>6</v>
      </c>
      <c r="B30" s="102"/>
      <c r="C30" s="92"/>
      <c r="D30" s="92"/>
      <c r="E30" s="98" t="s">
        <v>167</v>
      </c>
      <c r="F30" s="36">
        <v>52.48</v>
      </c>
      <c r="G30" s="102"/>
      <c r="H30" s="92"/>
      <c r="I30" s="92"/>
      <c r="J30" s="98" t="s">
        <v>167</v>
      </c>
      <c r="K30" s="86">
        <v>52.48</v>
      </c>
      <c r="L30" s="2">
        <f t="shared" si="2"/>
        <v>0</v>
      </c>
      <c r="M30" s="2" t="e">
        <f t="shared" si="3"/>
        <v>#VALUE!</v>
      </c>
    </row>
    <row r="31" spans="1:13" x14ac:dyDescent="0.25">
      <c r="A31" s="4">
        <v>7</v>
      </c>
      <c r="B31" s="102"/>
      <c r="C31" s="92"/>
      <c r="D31" s="92"/>
      <c r="E31" s="98" t="s">
        <v>167</v>
      </c>
      <c r="F31" s="36">
        <v>52.48</v>
      </c>
      <c r="G31" s="102"/>
      <c r="H31" s="92"/>
      <c r="I31" s="92"/>
      <c r="J31" s="98" t="s">
        <v>167</v>
      </c>
      <c r="K31" s="86">
        <v>52.48</v>
      </c>
      <c r="L31" s="2">
        <f t="shared" si="2"/>
        <v>0</v>
      </c>
      <c r="M31" s="2" t="e">
        <f>J31-E31</f>
        <v>#VALUE!</v>
      </c>
    </row>
    <row r="32" spans="1:13" x14ac:dyDescent="0.25">
      <c r="A32" s="4">
        <v>8</v>
      </c>
      <c r="B32" s="102"/>
      <c r="C32" s="92"/>
      <c r="D32" s="92"/>
      <c r="E32" s="98" t="s">
        <v>167</v>
      </c>
      <c r="F32" s="36">
        <v>52.48</v>
      </c>
      <c r="G32" s="102"/>
      <c r="H32" s="92"/>
      <c r="I32" s="92"/>
      <c r="J32" s="98" t="s">
        <v>167</v>
      </c>
      <c r="K32" s="86">
        <v>52.48</v>
      </c>
      <c r="L32" s="2">
        <f t="shared" si="2"/>
        <v>0</v>
      </c>
      <c r="M32" s="2" t="e">
        <f t="shared" si="3"/>
        <v>#VALUE!</v>
      </c>
    </row>
    <row r="33" spans="1:13" x14ac:dyDescent="0.25">
      <c r="A33" s="4">
        <v>9</v>
      </c>
      <c r="B33" s="102"/>
      <c r="C33" s="92"/>
      <c r="D33" s="92"/>
      <c r="E33" s="98" t="s">
        <v>167</v>
      </c>
      <c r="F33" s="36">
        <v>33.520000000000003</v>
      </c>
      <c r="G33" s="102"/>
      <c r="H33" s="92"/>
      <c r="I33" s="92"/>
      <c r="J33" s="98" t="s">
        <v>167</v>
      </c>
      <c r="K33" s="86">
        <v>33.520000000000003</v>
      </c>
      <c r="L33" s="2">
        <f t="shared" si="2"/>
        <v>0</v>
      </c>
      <c r="M33" s="2" t="e">
        <f>J33-E33</f>
        <v>#VALUE!</v>
      </c>
    </row>
    <row r="34" spans="1:13" x14ac:dyDescent="0.25">
      <c r="A34" s="4">
        <v>10</v>
      </c>
      <c r="B34" s="102"/>
      <c r="C34" s="92"/>
      <c r="D34" s="92"/>
      <c r="E34" s="98" t="s">
        <v>167</v>
      </c>
      <c r="F34" s="36">
        <v>33.520000000000003</v>
      </c>
      <c r="G34" s="102"/>
      <c r="H34" s="92"/>
      <c r="I34" s="92"/>
      <c r="J34" s="98" t="s">
        <v>167</v>
      </c>
      <c r="K34" s="86">
        <v>33.520000000000003</v>
      </c>
      <c r="L34" s="2">
        <f t="shared" si="2"/>
        <v>0</v>
      </c>
      <c r="M34" s="2" t="e">
        <f t="shared" si="3"/>
        <v>#VALUE!</v>
      </c>
    </row>
    <row r="35" spans="1:13" ht="18.75" x14ac:dyDescent="0.3">
      <c r="A35" s="176" t="s">
        <v>183</v>
      </c>
      <c r="B35" s="176"/>
      <c r="C35" s="176"/>
      <c r="D35" s="176"/>
      <c r="E35" s="176"/>
      <c r="F35" s="176"/>
      <c r="G35" s="176"/>
      <c r="H35" s="176"/>
      <c r="I35" s="176"/>
      <c r="J35" s="176"/>
      <c r="K35" s="176"/>
      <c r="L35" s="176"/>
      <c r="M35" s="176"/>
    </row>
    <row r="36" spans="1:13" x14ac:dyDescent="0.25">
      <c r="A36" s="177" t="s">
        <v>126</v>
      </c>
      <c r="B36" s="177"/>
      <c r="C36" s="177"/>
      <c r="D36" s="177"/>
      <c r="E36" s="177"/>
      <c r="F36" s="177"/>
      <c r="G36" s="177"/>
      <c r="H36" s="177"/>
      <c r="I36" s="177"/>
      <c r="J36" s="177"/>
      <c r="K36" s="177"/>
      <c r="L36" s="177"/>
      <c r="M36" s="177"/>
    </row>
    <row r="37" spans="1:13" x14ac:dyDescent="0.25">
      <c r="A37" s="89"/>
      <c r="B37" s="178" t="s">
        <v>8</v>
      </c>
      <c r="C37" s="178"/>
      <c r="D37" s="178"/>
      <c r="E37" s="178"/>
      <c r="F37" s="178"/>
      <c r="G37" s="178"/>
      <c r="H37" s="178"/>
      <c r="I37" s="178"/>
      <c r="J37" s="178"/>
      <c r="K37" s="178"/>
      <c r="L37" s="143" t="s">
        <v>9</v>
      </c>
      <c r="M37" s="145"/>
    </row>
    <row r="38" spans="1:13" x14ac:dyDescent="0.25">
      <c r="A38" s="90"/>
      <c r="B38" s="140" t="s">
        <v>152</v>
      </c>
      <c r="C38" s="141"/>
      <c r="D38" s="141"/>
      <c r="E38" s="141"/>
      <c r="F38" s="141"/>
      <c r="G38" s="141" t="s">
        <v>179</v>
      </c>
      <c r="H38" s="141"/>
      <c r="I38" s="141"/>
      <c r="J38" s="141"/>
      <c r="K38" s="141"/>
      <c r="L38" s="140"/>
      <c r="M38" s="142"/>
    </row>
    <row r="39" spans="1:13" ht="60" x14ac:dyDescent="0.25">
      <c r="A39" s="82" t="s">
        <v>0</v>
      </c>
      <c r="B39" s="15" t="s">
        <v>78</v>
      </c>
      <c r="C39" s="15" t="s">
        <v>124</v>
      </c>
      <c r="D39" s="15" t="s">
        <v>125</v>
      </c>
      <c r="E39" s="15" t="s">
        <v>185</v>
      </c>
      <c r="F39" s="15" t="s">
        <v>104</v>
      </c>
      <c r="G39" s="15" t="s">
        <v>78</v>
      </c>
      <c r="H39" s="15" t="s">
        <v>124</v>
      </c>
      <c r="I39" s="15" t="s">
        <v>125</v>
      </c>
      <c r="J39" s="15" t="s">
        <v>185</v>
      </c>
      <c r="K39" s="87" t="s">
        <v>104</v>
      </c>
      <c r="L39" s="15" t="s">
        <v>73</v>
      </c>
      <c r="M39" s="15" t="s">
        <v>181</v>
      </c>
    </row>
    <row r="40" spans="1:13" x14ac:dyDescent="0.25">
      <c r="A40" s="81" t="s">
        <v>1</v>
      </c>
      <c r="B40" s="99"/>
      <c r="C40" s="100"/>
      <c r="D40" s="100"/>
      <c r="E40" s="97" t="s">
        <v>167</v>
      </c>
      <c r="F40" s="20">
        <v>71.650000000000006</v>
      </c>
      <c r="G40" s="99"/>
      <c r="H40" s="100"/>
      <c r="I40" s="100"/>
      <c r="J40" s="97" t="s">
        <v>167</v>
      </c>
      <c r="K40" s="85">
        <v>71.650000000000006</v>
      </c>
      <c r="L40" s="2">
        <f>I40-D40</f>
        <v>0</v>
      </c>
      <c r="M40" s="2" t="e">
        <f>J40-E40</f>
        <v>#VALUE!</v>
      </c>
    </row>
    <row r="41" spans="1:13" x14ac:dyDescent="0.25">
      <c r="A41" s="82">
        <v>1</v>
      </c>
      <c r="B41" s="100"/>
      <c r="C41" s="100"/>
      <c r="D41" s="100"/>
      <c r="E41" s="97" t="s">
        <v>167</v>
      </c>
      <c r="F41" s="20">
        <v>71.650000000000006</v>
      </c>
      <c r="G41" s="100"/>
      <c r="H41" s="100"/>
      <c r="I41" s="100"/>
      <c r="J41" s="97" t="s">
        <v>167</v>
      </c>
      <c r="K41" s="85">
        <v>71.650000000000006</v>
      </c>
      <c r="L41" s="2">
        <f t="shared" ref="L41:L50" si="4">I41-D41</f>
        <v>0</v>
      </c>
      <c r="M41" s="2" t="e">
        <f>J41-E41</f>
        <v>#VALUE!</v>
      </c>
    </row>
    <row r="42" spans="1:13" x14ac:dyDescent="0.25">
      <c r="A42" s="82">
        <v>2</v>
      </c>
      <c r="B42" s="100"/>
      <c r="C42" s="100"/>
      <c r="D42" s="100"/>
      <c r="E42" s="97" t="s">
        <v>167</v>
      </c>
      <c r="F42" s="20">
        <v>71.650000000000006</v>
      </c>
      <c r="G42" s="100"/>
      <c r="H42" s="100"/>
      <c r="I42" s="100"/>
      <c r="J42" s="97" t="s">
        <v>167</v>
      </c>
      <c r="K42" s="85">
        <v>71.650000000000006</v>
      </c>
      <c r="L42" s="2">
        <f t="shared" si="4"/>
        <v>0</v>
      </c>
      <c r="M42" s="2" t="e">
        <f t="shared" ref="M42:M50" si="5">J42-E42</f>
        <v>#VALUE!</v>
      </c>
    </row>
    <row r="43" spans="1:13" x14ac:dyDescent="0.25">
      <c r="A43" s="4">
        <v>3</v>
      </c>
      <c r="B43" s="92"/>
      <c r="C43" s="92"/>
      <c r="D43" s="92"/>
      <c r="E43" s="98" t="s">
        <v>167</v>
      </c>
      <c r="F43" s="36">
        <v>71.650000000000006</v>
      </c>
      <c r="G43" s="92"/>
      <c r="H43" s="92"/>
      <c r="I43" s="92"/>
      <c r="J43" s="98" t="s">
        <v>167</v>
      </c>
      <c r="K43" s="86">
        <v>71.650000000000006</v>
      </c>
      <c r="L43" s="2">
        <f t="shared" si="4"/>
        <v>0</v>
      </c>
      <c r="M43" s="2" t="e">
        <f t="shared" si="5"/>
        <v>#VALUE!</v>
      </c>
    </row>
    <row r="44" spans="1:13" x14ac:dyDescent="0.25">
      <c r="A44" s="4">
        <v>4</v>
      </c>
      <c r="B44" s="92"/>
      <c r="C44" s="92"/>
      <c r="D44" s="92"/>
      <c r="E44" s="98" t="s">
        <v>167</v>
      </c>
      <c r="F44" s="36">
        <v>71.650000000000006</v>
      </c>
      <c r="G44" s="92"/>
      <c r="H44" s="92"/>
      <c r="I44" s="92"/>
      <c r="J44" s="98" t="s">
        <v>167</v>
      </c>
      <c r="K44" s="86">
        <v>71.650000000000006</v>
      </c>
      <c r="L44" s="2">
        <f t="shared" si="4"/>
        <v>0</v>
      </c>
      <c r="M44" s="2" t="e">
        <f t="shared" si="5"/>
        <v>#VALUE!</v>
      </c>
    </row>
    <row r="45" spans="1:13" x14ac:dyDescent="0.25">
      <c r="A45" s="4">
        <v>5</v>
      </c>
      <c r="B45" s="92"/>
      <c r="C45" s="92"/>
      <c r="D45" s="92"/>
      <c r="E45" s="98" t="s">
        <v>167</v>
      </c>
      <c r="F45" s="36">
        <v>71.650000000000006</v>
      </c>
      <c r="G45" s="92"/>
      <c r="H45" s="92"/>
      <c r="I45" s="92"/>
      <c r="J45" s="98" t="s">
        <v>167</v>
      </c>
      <c r="K45" s="86">
        <v>71.650000000000006</v>
      </c>
      <c r="L45" s="2">
        <f t="shared" si="4"/>
        <v>0</v>
      </c>
      <c r="M45" s="2" t="e">
        <f>J45-E45</f>
        <v>#VALUE!</v>
      </c>
    </row>
    <row r="46" spans="1:13" x14ac:dyDescent="0.25">
      <c r="A46" s="4">
        <v>6</v>
      </c>
      <c r="B46" s="92"/>
      <c r="C46" s="92"/>
      <c r="D46" s="92"/>
      <c r="E46" s="98" t="s">
        <v>167</v>
      </c>
      <c r="F46" s="36">
        <v>71.430000000000007</v>
      </c>
      <c r="G46" s="92"/>
      <c r="H46" s="92"/>
      <c r="I46" s="92"/>
      <c r="J46" s="98" t="s">
        <v>167</v>
      </c>
      <c r="K46" s="86">
        <v>71.430000000000007</v>
      </c>
      <c r="L46" s="2">
        <f t="shared" si="4"/>
        <v>0</v>
      </c>
      <c r="M46" s="2" t="e">
        <f t="shared" si="5"/>
        <v>#VALUE!</v>
      </c>
    </row>
    <row r="47" spans="1:13" x14ac:dyDescent="0.25">
      <c r="A47" s="4">
        <v>7</v>
      </c>
      <c r="B47" s="92"/>
      <c r="C47" s="92"/>
      <c r="D47" s="92"/>
      <c r="E47" s="98" t="s">
        <v>167</v>
      </c>
      <c r="F47" s="36">
        <v>71.430000000000007</v>
      </c>
      <c r="G47" s="92"/>
      <c r="H47" s="92"/>
      <c r="I47" s="92"/>
      <c r="J47" s="98" t="s">
        <v>167</v>
      </c>
      <c r="K47" s="86">
        <v>71.430000000000007</v>
      </c>
      <c r="L47" s="2">
        <f t="shared" si="4"/>
        <v>0</v>
      </c>
      <c r="M47" s="2" t="e">
        <f t="shared" si="5"/>
        <v>#VALUE!</v>
      </c>
    </row>
    <row r="48" spans="1:13" x14ac:dyDescent="0.25">
      <c r="A48" s="4">
        <v>8</v>
      </c>
      <c r="B48" s="92"/>
      <c r="C48" s="92"/>
      <c r="D48" s="92"/>
      <c r="E48" s="98" t="s">
        <v>167</v>
      </c>
      <c r="F48" s="36">
        <v>71.430000000000007</v>
      </c>
      <c r="G48" s="92"/>
      <c r="H48" s="92"/>
      <c r="I48" s="92"/>
      <c r="J48" s="98" t="s">
        <v>167</v>
      </c>
      <c r="K48" s="86">
        <v>71.430000000000007</v>
      </c>
      <c r="L48" s="2">
        <f t="shared" si="4"/>
        <v>0</v>
      </c>
      <c r="M48" s="2" t="e">
        <f>J48-E48</f>
        <v>#VALUE!</v>
      </c>
    </row>
    <row r="49" spans="1:13" x14ac:dyDescent="0.25">
      <c r="A49" s="4">
        <v>9</v>
      </c>
      <c r="B49" s="92"/>
      <c r="C49" s="92"/>
      <c r="D49" s="92"/>
      <c r="E49" s="98" t="s">
        <v>167</v>
      </c>
      <c r="F49" s="4">
        <v>73.33</v>
      </c>
      <c r="G49" s="92"/>
      <c r="H49" s="92"/>
      <c r="I49" s="92"/>
      <c r="J49" s="98" t="s">
        <v>167</v>
      </c>
      <c r="K49" s="83">
        <v>73.33</v>
      </c>
      <c r="L49" s="2">
        <f t="shared" si="4"/>
        <v>0</v>
      </c>
      <c r="M49" s="2" t="e">
        <f t="shared" si="5"/>
        <v>#VALUE!</v>
      </c>
    </row>
    <row r="50" spans="1:13" x14ac:dyDescent="0.25">
      <c r="A50" s="4">
        <v>10</v>
      </c>
      <c r="B50" s="92"/>
      <c r="C50" s="92"/>
      <c r="D50" s="92"/>
      <c r="E50" s="98" t="s">
        <v>167</v>
      </c>
      <c r="F50" s="4">
        <v>73.33</v>
      </c>
      <c r="G50" s="92"/>
      <c r="H50" s="92"/>
      <c r="I50" s="92"/>
      <c r="J50" s="98" t="s">
        <v>167</v>
      </c>
      <c r="K50" s="83">
        <v>73.33</v>
      </c>
      <c r="L50" s="2">
        <f t="shared" si="4"/>
        <v>0</v>
      </c>
      <c r="M50" s="2" t="e">
        <f t="shared" si="5"/>
        <v>#VALUE!</v>
      </c>
    </row>
    <row r="51" spans="1:13" x14ac:dyDescent="0.25">
      <c r="A51" s="171" t="s">
        <v>60</v>
      </c>
      <c r="B51" s="172"/>
      <c r="C51" s="172"/>
      <c r="D51" s="172"/>
      <c r="E51" s="172"/>
      <c r="F51" s="172"/>
      <c r="G51" s="172"/>
      <c r="H51" s="172"/>
      <c r="I51" s="172"/>
      <c r="J51" s="172"/>
      <c r="K51" s="172"/>
      <c r="L51" s="172"/>
      <c r="M51" s="172"/>
    </row>
    <row r="52" spans="1:13" x14ac:dyDescent="0.25">
      <c r="A52" s="89"/>
      <c r="B52" s="173" t="s">
        <v>8</v>
      </c>
      <c r="C52" s="173"/>
      <c r="D52" s="173"/>
      <c r="E52" s="173"/>
      <c r="F52" s="173"/>
      <c r="G52" s="173"/>
      <c r="H52" s="173"/>
      <c r="I52" s="173"/>
      <c r="J52" s="173"/>
      <c r="K52" s="173"/>
      <c r="L52" s="174" t="s">
        <v>9</v>
      </c>
      <c r="M52" s="175"/>
    </row>
    <row r="53" spans="1:13" x14ac:dyDescent="0.25">
      <c r="A53" s="90"/>
      <c r="B53" s="170" t="s">
        <v>178</v>
      </c>
      <c r="C53" s="170"/>
      <c r="D53" s="170"/>
      <c r="E53" s="170"/>
      <c r="F53" s="170"/>
      <c r="G53" s="170" t="s">
        <v>179</v>
      </c>
      <c r="H53" s="170"/>
      <c r="I53" s="170"/>
      <c r="J53" s="170"/>
      <c r="K53" s="170"/>
      <c r="L53" s="170"/>
      <c r="M53" s="170"/>
    </row>
    <row r="54" spans="1:13" ht="60" x14ac:dyDescent="0.25">
      <c r="A54" s="82" t="s">
        <v>0</v>
      </c>
      <c r="B54" s="37" t="s">
        <v>78</v>
      </c>
      <c r="C54" s="37" t="s">
        <v>124</v>
      </c>
      <c r="D54" s="37" t="s">
        <v>125</v>
      </c>
      <c r="E54" s="37" t="s">
        <v>185</v>
      </c>
      <c r="F54" s="37" t="s">
        <v>104</v>
      </c>
      <c r="G54" s="37" t="s">
        <v>78</v>
      </c>
      <c r="H54" s="37" t="s">
        <v>124</v>
      </c>
      <c r="I54" s="37" t="s">
        <v>125</v>
      </c>
      <c r="J54" s="37" t="s">
        <v>185</v>
      </c>
      <c r="K54" s="84" t="s">
        <v>104</v>
      </c>
      <c r="L54" s="88" t="s">
        <v>73</v>
      </c>
      <c r="M54" s="37" t="s">
        <v>181</v>
      </c>
    </row>
    <row r="55" spans="1:13" x14ac:dyDescent="0.25">
      <c r="A55" s="81" t="s">
        <v>1</v>
      </c>
      <c r="B55" s="101"/>
      <c r="C55" s="100"/>
      <c r="D55" s="100"/>
      <c r="E55" s="97" t="s">
        <v>167</v>
      </c>
      <c r="F55" s="20">
        <v>70.89</v>
      </c>
      <c r="G55" s="101"/>
      <c r="H55" s="100"/>
      <c r="I55" s="100"/>
      <c r="J55" s="97" t="s">
        <v>167</v>
      </c>
      <c r="K55" s="85">
        <v>70.89</v>
      </c>
      <c r="L55" s="2">
        <f>I55-D55</f>
        <v>0</v>
      </c>
      <c r="M55" s="2" t="e">
        <f>J55-E55</f>
        <v>#VALUE!</v>
      </c>
    </row>
    <row r="56" spans="1:13" x14ac:dyDescent="0.25">
      <c r="A56" s="82">
        <v>1</v>
      </c>
      <c r="B56" s="101"/>
      <c r="C56" s="100"/>
      <c r="D56" s="100"/>
      <c r="E56" s="97" t="s">
        <v>167</v>
      </c>
      <c r="F56" s="20">
        <v>70.89</v>
      </c>
      <c r="G56" s="101"/>
      <c r="H56" s="100"/>
      <c r="I56" s="100"/>
      <c r="J56" s="97" t="s">
        <v>167</v>
      </c>
      <c r="K56" s="85">
        <v>70.89</v>
      </c>
      <c r="L56" s="2">
        <f t="shared" ref="L56:L65" si="6">I56-D56</f>
        <v>0</v>
      </c>
      <c r="M56" s="2" t="e">
        <f t="shared" ref="M56:M65" si="7">J56-E56</f>
        <v>#VALUE!</v>
      </c>
    </row>
    <row r="57" spans="1:13" x14ac:dyDescent="0.25">
      <c r="A57" s="82">
        <v>2</v>
      </c>
      <c r="B57" s="101"/>
      <c r="C57" s="100"/>
      <c r="D57" s="100"/>
      <c r="E57" s="97" t="s">
        <v>167</v>
      </c>
      <c r="F57" s="20">
        <v>70.89</v>
      </c>
      <c r="G57" s="101"/>
      <c r="H57" s="100"/>
      <c r="I57" s="100"/>
      <c r="J57" s="97" t="s">
        <v>167</v>
      </c>
      <c r="K57" s="85">
        <v>70.89</v>
      </c>
      <c r="L57" s="2">
        <f t="shared" si="6"/>
        <v>0</v>
      </c>
      <c r="M57" s="2" t="e">
        <f t="shared" si="7"/>
        <v>#VALUE!</v>
      </c>
    </row>
    <row r="58" spans="1:13" x14ac:dyDescent="0.25">
      <c r="A58" s="4">
        <v>3</v>
      </c>
      <c r="B58" s="102"/>
      <c r="C58" s="92"/>
      <c r="D58" s="92"/>
      <c r="E58" s="98" t="s">
        <v>167</v>
      </c>
      <c r="F58" s="36">
        <v>70.89</v>
      </c>
      <c r="G58" s="102"/>
      <c r="H58" s="92"/>
      <c r="I58" s="92"/>
      <c r="J58" s="98" t="s">
        <v>167</v>
      </c>
      <c r="K58" s="86">
        <v>70.89</v>
      </c>
      <c r="L58" s="2">
        <f t="shared" si="6"/>
        <v>0</v>
      </c>
      <c r="M58" s="2" t="e">
        <f t="shared" si="7"/>
        <v>#VALUE!</v>
      </c>
    </row>
    <row r="59" spans="1:13" x14ac:dyDescent="0.25">
      <c r="A59" s="4">
        <v>4</v>
      </c>
      <c r="B59" s="102"/>
      <c r="C59" s="92"/>
      <c r="D59" s="92"/>
      <c r="E59" s="98" t="s">
        <v>167</v>
      </c>
      <c r="F59" s="36">
        <v>70.89</v>
      </c>
      <c r="G59" s="102"/>
      <c r="H59" s="92"/>
      <c r="I59" s="92"/>
      <c r="J59" s="98" t="s">
        <v>167</v>
      </c>
      <c r="K59" s="86">
        <v>70.89</v>
      </c>
      <c r="L59" s="2">
        <f t="shared" si="6"/>
        <v>0</v>
      </c>
      <c r="M59" s="2" t="e">
        <f t="shared" si="7"/>
        <v>#VALUE!</v>
      </c>
    </row>
    <row r="60" spans="1:13" x14ac:dyDescent="0.25">
      <c r="A60" s="4">
        <v>5</v>
      </c>
      <c r="B60" s="102"/>
      <c r="C60" s="92"/>
      <c r="D60" s="92"/>
      <c r="E60" s="98" t="s">
        <v>167</v>
      </c>
      <c r="F60" s="36">
        <v>70.89</v>
      </c>
      <c r="G60" s="102"/>
      <c r="H60" s="92"/>
      <c r="I60" s="92"/>
      <c r="J60" s="98" t="s">
        <v>167</v>
      </c>
      <c r="K60" s="86">
        <v>70.89</v>
      </c>
      <c r="L60" s="2">
        <f t="shared" si="6"/>
        <v>0</v>
      </c>
      <c r="M60" s="2" t="e">
        <f>J60-E60</f>
        <v>#VALUE!</v>
      </c>
    </row>
    <row r="61" spans="1:13" x14ac:dyDescent="0.25">
      <c r="A61" s="4">
        <v>6</v>
      </c>
      <c r="B61" s="102"/>
      <c r="C61" s="92"/>
      <c r="D61" s="92"/>
      <c r="E61" s="98" t="s">
        <v>167</v>
      </c>
      <c r="F61" s="36">
        <v>52.48</v>
      </c>
      <c r="G61" s="102"/>
      <c r="H61" s="92"/>
      <c r="I61" s="92"/>
      <c r="J61" s="98" t="s">
        <v>167</v>
      </c>
      <c r="K61" s="86">
        <v>52.48</v>
      </c>
      <c r="L61" s="2">
        <f t="shared" si="6"/>
        <v>0</v>
      </c>
      <c r="M61" s="2" t="e">
        <f t="shared" si="7"/>
        <v>#VALUE!</v>
      </c>
    </row>
    <row r="62" spans="1:13" x14ac:dyDescent="0.25">
      <c r="A62" s="4">
        <v>7</v>
      </c>
      <c r="B62" s="102"/>
      <c r="C62" s="92"/>
      <c r="D62" s="92"/>
      <c r="E62" s="98" t="s">
        <v>167</v>
      </c>
      <c r="F62" s="36">
        <v>52.48</v>
      </c>
      <c r="G62" s="102"/>
      <c r="H62" s="92"/>
      <c r="I62" s="92"/>
      <c r="J62" s="98" t="s">
        <v>167</v>
      </c>
      <c r="K62" s="86">
        <v>52.48</v>
      </c>
      <c r="L62" s="2">
        <f t="shared" si="6"/>
        <v>0</v>
      </c>
      <c r="M62" s="2" t="e">
        <f t="shared" si="7"/>
        <v>#VALUE!</v>
      </c>
    </row>
    <row r="63" spans="1:13" x14ac:dyDescent="0.25">
      <c r="A63" s="4">
        <v>8</v>
      </c>
      <c r="B63" s="102"/>
      <c r="C63" s="92"/>
      <c r="D63" s="92"/>
      <c r="E63" s="98" t="s">
        <v>167</v>
      </c>
      <c r="F63" s="36">
        <v>52.48</v>
      </c>
      <c r="G63" s="102"/>
      <c r="H63" s="92"/>
      <c r="I63" s="92"/>
      <c r="J63" s="98" t="s">
        <v>167</v>
      </c>
      <c r="K63" s="86">
        <v>52.48</v>
      </c>
      <c r="L63" s="2">
        <f t="shared" si="6"/>
        <v>0</v>
      </c>
      <c r="M63" s="2" t="e">
        <f t="shared" si="7"/>
        <v>#VALUE!</v>
      </c>
    </row>
    <row r="64" spans="1:13" x14ac:dyDescent="0.25">
      <c r="A64" s="4">
        <v>9</v>
      </c>
      <c r="B64" s="102"/>
      <c r="C64" s="92"/>
      <c r="D64" s="92"/>
      <c r="E64" s="98" t="s">
        <v>167</v>
      </c>
      <c r="F64" s="36">
        <v>33.520000000000003</v>
      </c>
      <c r="G64" s="102"/>
      <c r="H64" s="92"/>
      <c r="I64" s="92"/>
      <c r="J64" s="98" t="s">
        <v>167</v>
      </c>
      <c r="K64" s="86">
        <v>33.520000000000003</v>
      </c>
      <c r="L64" s="2">
        <f t="shared" si="6"/>
        <v>0</v>
      </c>
      <c r="M64" s="2" t="e">
        <f t="shared" si="7"/>
        <v>#VALUE!</v>
      </c>
    </row>
    <row r="65" spans="1:13" x14ac:dyDescent="0.25">
      <c r="A65" s="4">
        <v>10</v>
      </c>
      <c r="B65" s="102"/>
      <c r="C65" s="92"/>
      <c r="D65" s="92"/>
      <c r="E65" s="98" t="s">
        <v>167</v>
      </c>
      <c r="F65" s="36">
        <v>33.520000000000003</v>
      </c>
      <c r="G65" s="102"/>
      <c r="H65" s="92"/>
      <c r="I65" s="92"/>
      <c r="J65" s="98" t="s">
        <v>167</v>
      </c>
      <c r="K65" s="86">
        <v>33.520000000000003</v>
      </c>
      <c r="L65" s="2">
        <f t="shared" si="6"/>
        <v>0</v>
      </c>
      <c r="M65" s="2" t="e">
        <f t="shared" si="7"/>
        <v>#VALUE!</v>
      </c>
    </row>
  </sheetData>
  <sheetProtection password="CDF6" sheet="1" objects="1" scenarios="1"/>
  <mergeCells count="35">
    <mergeCell ref="B13:F13"/>
    <mergeCell ref="B25:F25"/>
    <mergeCell ref="G13:K13"/>
    <mergeCell ref="G25:K25"/>
    <mergeCell ref="B12:K12"/>
    <mergeCell ref="B1:P1"/>
    <mergeCell ref="B2:P2"/>
    <mergeCell ref="B3:P3"/>
    <mergeCell ref="B4:P4"/>
    <mergeCell ref="B5:P5"/>
    <mergeCell ref="B6:P6"/>
    <mergeCell ref="A10:M10"/>
    <mergeCell ref="A35:M35"/>
    <mergeCell ref="A36:M36"/>
    <mergeCell ref="B37:K37"/>
    <mergeCell ref="L37:M37"/>
    <mergeCell ref="L25:M25"/>
    <mergeCell ref="L13:M13"/>
    <mergeCell ref="A7:Q7"/>
    <mergeCell ref="A8:D8"/>
    <mergeCell ref="A9:D9"/>
    <mergeCell ref="A11:M11"/>
    <mergeCell ref="L12:M12"/>
    <mergeCell ref="L24:M24"/>
    <mergeCell ref="A23:M23"/>
    <mergeCell ref="B24:K24"/>
    <mergeCell ref="B53:F53"/>
    <mergeCell ref="G53:K53"/>
    <mergeCell ref="L53:M53"/>
    <mergeCell ref="B38:F38"/>
    <mergeCell ref="G38:K38"/>
    <mergeCell ref="L38:M38"/>
    <mergeCell ref="A51:M51"/>
    <mergeCell ref="B52:K52"/>
    <mergeCell ref="L52:M52"/>
  </mergeCells>
  <conditionalFormatting sqref="M27:M34 M15:M22">
    <cfRule type="cellIs" dxfId="181" priority="28" operator="lessThan">
      <formula>0</formula>
    </cfRule>
    <cfRule type="cellIs" dxfId="180" priority="29" operator="greaterThanOrEqual">
      <formula>0</formula>
    </cfRule>
  </conditionalFormatting>
  <conditionalFormatting sqref="M40:M50 M55:M65">
    <cfRule type="cellIs" dxfId="179" priority="26" operator="lessThan">
      <formula>0</formula>
    </cfRule>
    <cfRule type="cellIs" dxfId="178" priority="27" operator="greaterThanOrEqual">
      <formula>0</formula>
    </cfRule>
  </conditionalFormatting>
  <conditionalFormatting sqref="E15:E22">
    <cfRule type="cellIs" dxfId="177" priority="23" operator="equal">
      <formula>"-"</formula>
    </cfRule>
    <cfRule type="cellIs" dxfId="176" priority="24" operator="lessThan">
      <formula>F15</formula>
    </cfRule>
    <cfRule type="cellIs" dxfId="175" priority="25" operator="greaterThanOrEqual">
      <formula>F15</formula>
    </cfRule>
  </conditionalFormatting>
  <conditionalFormatting sqref="E27:E34">
    <cfRule type="cellIs" dxfId="174" priority="17" operator="equal">
      <formula>"-"</formula>
    </cfRule>
    <cfRule type="cellIs" dxfId="173" priority="18" operator="lessThan">
      <formula>F27</formula>
    </cfRule>
    <cfRule type="cellIs" dxfId="172" priority="19" operator="greaterThanOrEqual">
      <formula>F27</formula>
    </cfRule>
  </conditionalFormatting>
  <conditionalFormatting sqref="J15:J22">
    <cfRule type="cellIs" dxfId="171" priority="14" operator="equal">
      <formula>"-"</formula>
    </cfRule>
    <cfRule type="cellIs" dxfId="170" priority="15" operator="lessThan">
      <formula>K15</formula>
    </cfRule>
    <cfRule type="cellIs" dxfId="169" priority="16" operator="greaterThanOrEqual">
      <formula>K15</formula>
    </cfRule>
  </conditionalFormatting>
  <conditionalFormatting sqref="J28:J34">
    <cfRule type="cellIs" dxfId="168" priority="11" operator="equal">
      <formula>"-"</formula>
    </cfRule>
    <cfRule type="cellIs" dxfId="167" priority="12" operator="lessThan">
      <formula>K28</formula>
    </cfRule>
    <cfRule type="cellIs" dxfId="166" priority="13" operator="greaterThanOrEqual">
      <formula>K28</formula>
    </cfRule>
  </conditionalFormatting>
  <conditionalFormatting sqref="J27">
    <cfRule type="cellIs" dxfId="165" priority="8" operator="equal">
      <formula>"-"</formula>
    </cfRule>
    <cfRule type="cellIs" dxfId="164" priority="9" operator="lessThan">
      <formula>K27</formula>
    </cfRule>
    <cfRule type="cellIs" dxfId="163" priority="10" operator="greaterThanOrEqual">
      <formula>K27</formula>
    </cfRule>
  </conditionalFormatting>
  <conditionalFormatting sqref="E40:E50 E55:E65 J40:J50 J55:J65">
    <cfRule type="cellIs" dxfId="162" priority="6" operator="lessThan">
      <formula>F40</formula>
    </cfRule>
    <cfRule type="cellIs" dxfId="161" priority="7" operator="greaterThanOrEqual">
      <formula>F40</formula>
    </cfRule>
  </conditionalFormatting>
  <conditionalFormatting sqref="E40:E50">
    <cfRule type="cellIs" dxfId="160" priority="4" operator="equal">
      <formula>"-"</formula>
    </cfRule>
  </conditionalFormatting>
  <conditionalFormatting sqref="E55:E65">
    <cfRule type="cellIs" dxfId="159" priority="3" operator="equal">
      <formula>"-"</formula>
    </cfRule>
  </conditionalFormatting>
  <conditionalFormatting sqref="J40:J50">
    <cfRule type="cellIs" dxfId="158" priority="2" operator="equal">
      <formula>"-"</formula>
    </cfRule>
  </conditionalFormatting>
  <conditionalFormatting sqref="J55:J65">
    <cfRule type="cellIs" dxfId="157" priority="1" operator="equal">
      <formula>"-"</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Views>
    <sheetView workbookViewId="0">
      <selection activeCell="B3" sqref="B3:O3"/>
    </sheetView>
  </sheetViews>
  <sheetFormatPr defaultRowHeight="15" x14ac:dyDescent="0.25"/>
  <cols>
    <col min="1" max="1" width="13.28515625" customWidth="1"/>
    <col min="2" max="41" width="11" customWidth="1"/>
  </cols>
  <sheetData>
    <row r="1" spans="1:15" ht="30" x14ac:dyDescent="0.3">
      <c r="A1" s="119" t="s">
        <v>85</v>
      </c>
      <c r="B1" s="153" t="s">
        <v>93</v>
      </c>
      <c r="C1" s="153"/>
      <c r="D1" s="153"/>
      <c r="E1" s="153"/>
      <c r="F1" s="153"/>
      <c r="G1" s="153"/>
      <c r="H1" s="153"/>
      <c r="I1" s="153"/>
      <c r="J1" s="153"/>
      <c r="K1" s="153"/>
      <c r="L1" s="153"/>
      <c r="M1" s="153"/>
      <c r="N1" s="153"/>
      <c r="O1" s="153"/>
    </row>
    <row r="2" spans="1:15" ht="18.75" x14ac:dyDescent="0.3">
      <c r="A2" s="119" t="s">
        <v>86</v>
      </c>
      <c r="B2" s="153" t="s">
        <v>94</v>
      </c>
      <c r="C2" s="153"/>
      <c r="D2" s="153"/>
      <c r="E2" s="153"/>
      <c r="F2" s="153"/>
      <c r="G2" s="153"/>
      <c r="H2" s="153"/>
      <c r="I2" s="153"/>
      <c r="J2" s="153"/>
      <c r="K2" s="153"/>
      <c r="L2" s="153"/>
      <c r="M2" s="153"/>
      <c r="N2" s="153"/>
      <c r="O2" s="153"/>
    </row>
    <row r="3" spans="1:15" ht="153" customHeight="1" x14ac:dyDescent="0.25">
      <c r="A3" s="120" t="s">
        <v>87</v>
      </c>
      <c r="B3" s="158" t="s">
        <v>186</v>
      </c>
      <c r="C3" s="158"/>
      <c r="D3" s="158"/>
      <c r="E3" s="158"/>
      <c r="F3" s="158"/>
      <c r="G3" s="158"/>
      <c r="H3" s="158"/>
      <c r="I3" s="158"/>
      <c r="J3" s="158"/>
      <c r="K3" s="158"/>
      <c r="L3" s="158"/>
      <c r="M3" s="158"/>
      <c r="N3" s="158"/>
      <c r="O3" s="158"/>
    </row>
    <row r="4" spans="1:15" ht="111" customHeight="1" x14ac:dyDescent="0.25">
      <c r="A4" s="119" t="s">
        <v>88</v>
      </c>
      <c r="B4" s="157" t="s">
        <v>195</v>
      </c>
      <c r="C4" s="157"/>
      <c r="D4" s="157"/>
      <c r="E4" s="157"/>
      <c r="F4" s="157"/>
      <c r="G4" s="157"/>
      <c r="H4" s="157"/>
      <c r="I4" s="157"/>
      <c r="J4" s="157"/>
      <c r="K4" s="157"/>
      <c r="L4" s="157"/>
      <c r="M4" s="157"/>
      <c r="N4" s="157"/>
      <c r="O4" s="157"/>
    </row>
    <row r="5" spans="1:15" ht="61.5" customHeight="1" x14ac:dyDescent="0.25">
      <c r="A5" s="120" t="s">
        <v>89</v>
      </c>
      <c r="B5" s="158" t="s">
        <v>187</v>
      </c>
      <c r="C5" s="156"/>
      <c r="D5" s="156"/>
      <c r="E5" s="156"/>
      <c r="F5" s="156"/>
      <c r="G5" s="156"/>
      <c r="H5" s="156"/>
      <c r="I5" s="156"/>
      <c r="J5" s="156"/>
      <c r="K5" s="156"/>
      <c r="L5" s="156"/>
      <c r="M5" s="156"/>
      <c r="N5" s="156"/>
      <c r="O5" s="156"/>
    </row>
    <row r="6" spans="1:15" x14ac:dyDescent="0.25">
      <c r="A6" s="121" t="s">
        <v>90</v>
      </c>
      <c r="B6" s="155" t="s">
        <v>95</v>
      </c>
      <c r="C6" s="155"/>
      <c r="D6" s="155"/>
      <c r="E6" s="155"/>
      <c r="F6" s="155"/>
      <c r="G6" s="155"/>
      <c r="H6" s="155"/>
      <c r="I6" s="155"/>
      <c r="J6" s="155"/>
      <c r="K6" s="155"/>
      <c r="L6" s="155"/>
      <c r="M6" s="155"/>
      <c r="N6" s="155"/>
      <c r="O6" s="155"/>
    </row>
    <row r="7" spans="1:15" ht="18.75" x14ac:dyDescent="0.3">
      <c r="A7" s="179" t="s">
        <v>92</v>
      </c>
      <c r="B7" s="179"/>
      <c r="C7" s="179"/>
      <c r="D7" s="179"/>
      <c r="E7" s="179"/>
      <c r="F7" s="179"/>
      <c r="G7" s="179"/>
      <c r="H7" s="179"/>
      <c r="I7" s="179"/>
      <c r="J7" s="179"/>
      <c r="K7" s="179"/>
      <c r="L7" s="179"/>
      <c r="M7" s="179"/>
      <c r="N7" s="179"/>
      <c r="O7" s="179"/>
    </row>
    <row r="8" spans="1:15" x14ac:dyDescent="0.25">
      <c r="A8" s="150" t="s">
        <v>76</v>
      </c>
      <c r="B8" s="151"/>
      <c r="C8" s="152"/>
      <c r="D8" s="95"/>
    </row>
    <row r="9" spans="1:15" x14ac:dyDescent="0.25">
      <c r="A9" s="147" t="s">
        <v>77</v>
      </c>
      <c r="B9" s="185"/>
      <c r="C9" s="186"/>
      <c r="D9" s="91"/>
    </row>
    <row r="10" spans="1:15" x14ac:dyDescent="0.25">
      <c r="A10" s="28"/>
      <c r="B10" s="143" t="s">
        <v>57</v>
      </c>
      <c r="C10" s="144"/>
      <c r="D10" s="144"/>
      <c r="E10" s="144"/>
      <c r="F10" s="144"/>
      <c r="G10" s="144"/>
      <c r="H10" s="144"/>
      <c r="I10" s="144"/>
      <c r="J10" s="144"/>
      <c r="K10" s="145"/>
    </row>
    <row r="11" spans="1:15" x14ac:dyDescent="0.25">
      <c r="A11" s="29"/>
      <c r="B11" s="140" t="s">
        <v>65</v>
      </c>
      <c r="C11" s="141"/>
      <c r="D11" s="142"/>
      <c r="E11" s="140" t="s">
        <v>66</v>
      </c>
      <c r="F11" s="141"/>
      <c r="G11" s="142"/>
      <c r="H11" s="140" t="s">
        <v>67</v>
      </c>
      <c r="I11" s="141"/>
      <c r="J11" s="141"/>
      <c r="K11" s="142"/>
    </row>
    <row r="12" spans="1:15" ht="75" x14ac:dyDescent="0.25">
      <c r="A12" s="2" t="s">
        <v>0</v>
      </c>
      <c r="B12" s="15" t="s">
        <v>37</v>
      </c>
      <c r="C12" s="15" t="s">
        <v>68</v>
      </c>
      <c r="D12" s="15" t="s">
        <v>69</v>
      </c>
      <c r="E12" s="15" t="s">
        <v>37</v>
      </c>
      <c r="F12" s="15" t="s">
        <v>70</v>
      </c>
      <c r="G12" s="15" t="s">
        <v>69</v>
      </c>
      <c r="H12" s="15" t="s">
        <v>71</v>
      </c>
      <c r="I12" s="15" t="s">
        <v>72</v>
      </c>
      <c r="J12" s="15" t="s">
        <v>73</v>
      </c>
      <c r="K12" s="15" t="s">
        <v>62</v>
      </c>
    </row>
    <row r="13" spans="1:15" x14ac:dyDescent="0.25">
      <c r="A13" s="2">
        <v>2</v>
      </c>
      <c r="B13" s="91"/>
      <c r="C13" s="103" t="s">
        <v>167</v>
      </c>
      <c r="D13" s="2">
        <v>1961</v>
      </c>
      <c r="E13" s="91"/>
      <c r="F13" s="103" t="s">
        <v>167</v>
      </c>
      <c r="G13" s="2">
        <v>2261</v>
      </c>
      <c r="H13" s="2" t="str">
        <f>C13</f>
        <v>-</v>
      </c>
      <c r="I13" s="2" t="str">
        <f>F13</f>
        <v>-</v>
      </c>
      <c r="J13" s="2" t="e">
        <f>I13-H13</f>
        <v>#VALUE!</v>
      </c>
      <c r="K13" s="20">
        <v>286.68</v>
      </c>
    </row>
    <row r="14" spans="1:15" x14ac:dyDescent="0.25">
      <c r="A14" s="4">
        <v>3</v>
      </c>
      <c r="B14" s="92"/>
      <c r="C14" s="104" t="s">
        <v>167</v>
      </c>
      <c r="D14" s="4">
        <v>2298</v>
      </c>
      <c r="E14" s="92"/>
      <c r="F14" s="104" t="s">
        <v>167</v>
      </c>
      <c r="G14" s="4">
        <v>2509</v>
      </c>
      <c r="H14" s="2" t="str">
        <f t="shared" ref="H14:H22" si="0">C14</f>
        <v>-</v>
      </c>
      <c r="I14" s="2" t="str">
        <f t="shared" ref="I14:I22" si="1">F14</f>
        <v>-</v>
      </c>
      <c r="J14" s="2" t="e">
        <f t="shared" ref="J14:J22" si="2">I14-H14</f>
        <v>#VALUE!</v>
      </c>
      <c r="K14" s="20">
        <v>211.72</v>
      </c>
    </row>
    <row r="15" spans="1:15" x14ac:dyDescent="0.25">
      <c r="A15" s="4">
        <v>4</v>
      </c>
      <c r="B15" s="92"/>
      <c r="C15" s="104" t="s">
        <v>167</v>
      </c>
      <c r="D15" s="4">
        <v>2511</v>
      </c>
      <c r="E15" s="92"/>
      <c r="F15" s="104" t="s">
        <v>167</v>
      </c>
      <c r="G15" s="4">
        <v>2670</v>
      </c>
      <c r="H15" s="4" t="str">
        <f t="shared" si="0"/>
        <v>-</v>
      </c>
      <c r="I15" s="4" t="str">
        <f t="shared" si="1"/>
        <v>-</v>
      </c>
      <c r="J15" s="4" t="e">
        <f t="shared" si="2"/>
        <v>#VALUE!</v>
      </c>
      <c r="K15" s="36">
        <v>151.57</v>
      </c>
    </row>
    <row r="16" spans="1:15" x14ac:dyDescent="0.25">
      <c r="A16" s="4">
        <v>5</v>
      </c>
      <c r="B16" s="92"/>
      <c r="C16" s="104" t="s">
        <v>167</v>
      </c>
      <c r="D16" s="4">
        <v>2678</v>
      </c>
      <c r="E16" s="92"/>
      <c r="F16" s="104" t="s">
        <v>167</v>
      </c>
      <c r="G16" s="4">
        <v>2789</v>
      </c>
      <c r="H16" s="4" t="str">
        <f t="shared" si="0"/>
        <v>-</v>
      </c>
      <c r="I16" s="4" t="str">
        <f t="shared" si="1"/>
        <v>-</v>
      </c>
      <c r="J16" s="4" t="e">
        <f t="shared" si="2"/>
        <v>#VALUE!</v>
      </c>
      <c r="K16" s="36">
        <v>113.62</v>
      </c>
    </row>
    <row r="17" spans="1:11" x14ac:dyDescent="0.25">
      <c r="A17" s="4">
        <v>6</v>
      </c>
      <c r="B17" s="92"/>
      <c r="C17" s="104" t="s">
        <v>167</v>
      </c>
      <c r="D17" s="4">
        <v>2802</v>
      </c>
      <c r="E17" s="92"/>
      <c r="F17" s="104" t="s">
        <v>167</v>
      </c>
      <c r="G17" s="4">
        <v>2890</v>
      </c>
      <c r="H17" s="4" t="str">
        <f t="shared" si="0"/>
        <v>-</v>
      </c>
      <c r="I17" s="4" t="str">
        <f t="shared" si="1"/>
        <v>-</v>
      </c>
      <c r="J17" s="4" t="e">
        <f t="shared" si="2"/>
        <v>#VALUE!</v>
      </c>
      <c r="K17" s="36">
        <v>61.75</v>
      </c>
    </row>
    <row r="18" spans="1:11" x14ac:dyDescent="0.25">
      <c r="A18" s="4">
        <v>7</v>
      </c>
      <c r="B18" s="92"/>
      <c r="C18" s="104" t="s">
        <v>167</v>
      </c>
      <c r="D18" s="4">
        <v>2885</v>
      </c>
      <c r="E18" s="92"/>
      <c r="F18" s="104" t="s">
        <v>167</v>
      </c>
      <c r="G18" s="4">
        <v>2953</v>
      </c>
      <c r="H18" s="4" t="str">
        <f t="shared" si="0"/>
        <v>-</v>
      </c>
      <c r="I18" s="4" t="str">
        <f t="shared" si="1"/>
        <v>-</v>
      </c>
      <c r="J18" s="4" t="e">
        <f t="shared" si="2"/>
        <v>#VALUE!</v>
      </c>
      <c r="K18" s="36">
        <v>67.98</v>
      </c>
    </row>
    <row r="19" spans="1:11" x14ac:dyDescent="0.25">
      <c r="A19" s="4">
        <v>8</v>
      </c>
      <c r="B19" s="92"/>
      <c r="C19" s="104" t="s">
        <v>167</v>
      </c>
      <c r="D19" s="4">
        <v>2948</v>
      </c>
      <c r="E19" s="92"/>
      <c r="F19" s="104" t="s">
        <v>167</v>
      </c>
      <c r="G19" s="4">
        <v>3016</v>
      </c>
      <c r="H19" s="4" t="str">
        <f t="shared" si="0"/>
        <v>-</v>
      </c>
      <c r="I19" s="4" t="str">
        <f t="shared" si="1"/>
        <v>-</v>
      </c>
      <c r="J19" s="4" t="e">
        <f t="shared" si="2"/>
        <v>#VALUE!</v>
      </c>
      <c r="K19" s="36">
        <v>57.2</v>
      </c>
    </row>
    <row r="20" spans="1:11" x14ac:dyDescent="0.25">
      <c r="A20" s="4">
        <v>9</v>
      </c>
      <c r="B20" s="92"/>
      <c r="C20" s="104" t="s">
        <v>167</v>
      </c>
      <c r="D20" s="4">
        <v>3027</v>
      </c>
      <c r="E20" s="92"/>
      <c r="F20" s="104" t="s">
        <v>167</v>
      </c>
      <c r="G20" s="4">
        <v>3083</v>
      </c>
      <c r="H20" s="4" t="str">
        <f t="shared" si="0"/>
        <v>-</v>
      </c>
      <c r="I20" s="4" t="str">
        <f t="shared" si="1"/>
        <v>-</v>
      </c>
      <c r="J20" s="4" t="e">
        <f t="shared" si="2"/>
        <v>#VALUE!</v>
      </c>
      <c r="K20" s="36">
        <v>34.99</v>
      </c>
    </row>
    <row r="21" spans="1:11" x14ac:dyDescent="0.25">
      <c r="A21" s="4">
        <v>10</v>
      </c>
      <c r="B21" s="92"/>
      <c r="C21" s="104" t="s">
        <v>167</v>
      </c>
      <c r="D21" s="4">
        <v>3063</v>
      </c>
      <c r="E21" s="92"/>
      <c r="F21" s="104" t="s">
        <v>167</v>
      </c>
      <c r="G21" s="4">
        <v>3119</v>
      </c>
      <c r="H21" s="4" t="str">
        <f t="shared" si="0"/>
        <v>-</v>
      </c>
      <c r="I21" s="4" t="str">
        <f t="shared" si="1"/>
        <v>-</v>
      </c>
      <c r="J21" s="4" t="e">
        <f t="shared" si="2"/>
        <v>#VALUE!</v>
      </c>
      <c r="K21" s="36">
        <v>56.13</v>
      </c>
    </row>
    <row r="22" spans="1:11" x14ac:dyDescent="0.25">
      <c r="A22" s="112">
        <v>11</v>
      </c>
      <c r="B22" s="116"/>
      <c r="C22" s="104" t="s">
        <v>167</v>
      </c>
      <c r="D22" s="113">
        <v>3084</v>
      </c>
      <c r="E22" s="117"/>
      <c r="F22" s="104" t="s">
        <v>167</v>
      </c>
      <c r="G22" s="113">
        <v>3149</v>
      </c>
      <c r="H22" s="4" t="str">
        <f t="shared" si="0"/>
        <v>-</v>
      </c>
      <c r="I22" s="4" t="str">
        <f t="shared" si="1"/>
        <v>-</v>
      </c>
      <c r="J22" s="4" t="e">
        <f t="shared" si="2"/>
        <v>#VALUE!</v>
      </c>
      <c r="K22" s="114">
        <v>42.94</v>
      </c>
    </row>
    <row r="23" spans="1:11" x14ac:dyDescent="0.25">
      <c r="A23" s="28"/>
      <c r="B23" s="161" t="s">
        <v>64</v>
      </c>
      <c r="C23" s="162"/>
      <c r="D23" s="162"/>
      <c r="E23" s="162"/>
      <c r="F23" s="162"/>
      <c r="G23" s="162"/>
      <c r="H23" s="162"/>
      <c r="I23" s="162"/>
      <c r="J23" s="162"/>
      <c r="K23" s="163"/>
    </row>
    <row r="24" spans="1:11" x14ac:dyDescent="0.25">
      <c r="A24" s="29"/>
      <c r="B24" s="164" t="s">
        <v>65</v>
      </c>
      <c r="C24" s="165"/>
      <c r="D24" s="166"/>
      <c r="E24" s="164" t="s">
        <v>66</v>
      </c>
      <c r="F24" s="165"/>
      <c r="G24" s="166"/>
      <c r="H24" s="164" t="s">
        <v>67</v>
      </c>
      <c r="I24" s="165"/>
      <c r="J24" s="165"/>
      <c r="K24" s="166"/>
    </row>
    <row r="25" spans="1:11" ht="75" x14ac:dyDescent="0.25">
      <c r="A25" s="2" t="s">
        <v>0</v>
      </c>
      <c r="B25" s="16" t="s">
        <v>37</v>
      </c>
      <c r="C25" s="16" t="s">
        <v>68</v>
      </c>
      <c r="D25" s="16" t="s">
        <v>69</v>
      </c>
      <c r="E25" s="16" t="s">
        <v>37</v>
      </c>
      <c r="F25" s="16" t="s">
        <v>70</v>
      </c>
      <c r="G25" s="16" t="s">
        <v>69</v>
      </c>
      <c r="H25" s="16" t="s">
        <v>71</v>
      </c>
      <c r="I25" s="16" t="s">
        <v>72</v>
      </c>
      <c r="J25" s="16" t="s">
        <v>73</v>
      </c>
      <c r="K25" s="16" t="s">
        <v>62</v>
      </c>
    </row>
    <row r="26" spans="1:11" x14ac:dyDescent="0.25">
      <c r="A26" s="2">
        <v>2</v>
      </c>
      <c r="B26" s="91"/>
      <c r="C26" s="103" t="s">
        <v>167</v>
      </c>
      <c r="D26" s="2">
        <v>2060</v>
      </c>
      <c r="E26" s="91"/>
      <c r="F26" s="103" t="s">
        <v>167</v>
      </c>
      <c r="G26" s="2">
        <v>2262</v>
      </c>
      <c r="H26" s="2" t="str">
        <f>C26</f>
        <v>-</v>
      </c>
      <c r="I26" s="2" t="str">
        <f>F26</f>
        <v>-</v>
      </c>
      <c r="J26" s="2" t="e">
        <f>I26-H26</f>
        <v>#VALUE!</v>
      </c>
      <c r="K26" s="20">
        <v>202.55</v>
      </c>
    </row>
    <row r="27" spans="1:11" x14ac:dyDescent="0.25">
      <c r="A27" s="4">
        <v>3</v>
      </c>
      <c r="B27" s="92"/>
      <c r="C27" s="104" t="s">
        <v>167</v>
      </c>
      <c r="D27" s="4">
        <v>2277</v>
      </c>
      <c r="E27" s="92"/>
      <c r="F27" s="104" t="s">
        <v>167</v>
      </c>
      <c r="G27" s="4">
        <v>2407</v>
      </c>
      <c r="H27" s="2" t="str">
        <f t="shared" ref="H27:H32" si="3">C27</f>
        <v>-</v>
      </c>
      <c r="I27" s="2" t="str">
        <f t="shared" ref="I27:I32" si="4">F27</f>
        <v>-</v>
      </c>
      <c r="J27" s="2" t="e">
        <f t="shared" ref="J27:J32" si="5">I27-H27</f>
        <v>#VALUE!</v>
      </c>
      <c r="K27" s="20">
        <v>127.36</v>
      </c>
    </row>
    <row r="28" spans="1:11" x14ac:dyDescent="0.25">
      <c r="A28" s="4">
        <v>4</v>
      </c>
      <c r="B28" s="92"/>
      <c r="C28" s="104" t="s">
        <v>167</v>
      </c>
      <c r="D28" s="4">
        <v>2388</v>
      </c>
      <c r="E28" s="92"/>
      <c r="F28" s="104" t="s">
        <v>167</v>
      </c>
      <c r="G28" s="4">
        <v>2488</v>
      </c>
      <c r="H28" s="4" t="str">
        <f t="shared" si="3"/>
        <v>-</v>
      </c>
      <c r="I28" s="4" t="str">
        <f t="shared" si="4"/>
        <v>-</v>
      </c>
      <c r="J28" s="4" t="e">
        <f t="shared" si="5"/>
        <v>#VALUE!</v>
      </c>
      <c r="K28" s="36">
        <v>104.77</v>
      </c>
    </row>
    <row r="29" spans="1:11" x14ac:dyDescent="0.25">
      <c r="A29" s="4">
        <v>5</v>
      </c>
      <c r="B29" s="92"/>
      <c r="C29" s="104" t="s">
        <v>167</v>
      </c>
      <c r="D29" s="4">
        <v>2492</v>
      </c>
      <c r="E29" s="92"/>
      <c r="F29" s="104" t="s">
        <v>167</v>
      </c>
      <c r="G29" s="4">
        <v>2563</v>
      </c>
      <c r="H29" s="4" t="str">
        <f t="shared" si="3"/>
        <v>-</v>
      </c>
      <c r="I29" s="4" t="str">
        <f t="shared" si="4"/>
        <v>-</v>
      </c>
      <c r="J29" s="4" t="e">
        <f t="shared" si="5"/>
        <v>#VALUE!</v>
      </c>
      <c r="K29" s="36">
        <v>75.97</v>
      </c>
    </row>
    <row r="30" spans="1:11" x14ac:dyDescent="0.25">
      <c r="A30" s="4">
        <v>6</v>
      </c>
      <c r="B30" s="92"/>
      <c r="C30" s="104" t="s">
        <v>167</v>
      </c>
      <c r="D30" s="4">
        <v>2556</v>
      </c>
      <c r="E30" s="92"/>
      <c r="F30" s="104" t="s">
        <v>167</v>
      </c>
      <c r="G30" s="4">
        <v>2614</v>
      </c>
      <c r="H30" s="4" t="str">
        <f t="shared" si="3"/>
        <v>-</v>
      </c>
      <c r="I30" s="4" t="str">
        <f t="shared" si="4"/>
        <v>-</v>
      </c>
      <c r="J30" s="4" t="e">
        <f t="shared" si="5"/>
        <v>#VALUE!</v>
      </c>
      <c r="K30" s="36">
        <v>63.3</v>
      </c>
    </row>
    <row r="31" spans="1:11" x14ac:dyDescent="0.25">
      <c r="A31" s="4">
        <v>7</v>
      </c>
      <c r="B31" s="92"/>
      <c r="C31" s="104" t="s">
        <v>167</v>
      </c>
      <c r="D31" s="4">
        <v>2608</v>
      </c>
      <c r="E31" s="92"/>
      <c r="F31" s="104" t="s">
        <v>167</v>
      </c>
      <c r="G31" s="4">
        <v>2655</v>
      </c>
      <c r="H31" s="4" t="str">
        <f t="shared" si="3"/>
        <v>-</v>
      </c>
      <c r="I31" s="4" t="str">
        <f t="shared" si="4"/>
        <v>-</v>
      </c>
      <c r="J31" s="4" t="e">
        <f t="shared" si="5"/>
        <v>#VALUE!</v>
      </c>
      <c r="K31" s="36">
        <v>49.41</v>
      </c>
    </row>
    <row r="32" spans="1:11" x14ac:dyDescent="0.25">
      <c r="A32" s="4">
        <v>8</v>
      </c>
      <c r="B32" s="92"/>
      <c r="C32" s="104" t="s">
        <v>167</v>
      </c>
      <c r="D32" s="4">
        <v>2633</v>
      </c>
      <c r="E32" s="92"/>
      <c r="F32" s="104" t="s">
        <v>167</v>
      </c>
      <c r="G32" s="4">
        <v>2671</v>
      </c>
      <c r="H32" s="4" t="str">
        <f t="shared" si="3"/>
        <v>-</v>
      </c>
      <c r="I32" s="4" t="str">
        <f t="shared" si="4"/>
        <v>-</v>
      </c>
      <c r="J32" s="4" t="e">
        <f t="shared" si="5"/>
        <v>#VALUE!</v>
      </c>
      <c r="K32" s="36">
        <v>39.5</v>
      </c>
    </row>
    <row r="33" spans="1:11" x14ac:dyDescent="0.25">
      <c r="A33" s="28"/>
      <c r="B33" s="167" t="s">
        <v>60</v>
      </c>
      <c r="C33" s="168"/>
      <c r="D33" s="168"/>
      <c r="E33" s="168"/>
      <c r="F33" s="168"/>
      <c r="G33" s="168"/>
      <c r="H33" s="168"/>
      <c r="I33" s="168"/>
      <c r="J33" s="168"/>
      <c r="K33" s="169"/>
    </row>
    <row r="34" spans="1:11" x14ac:dyDescent="0.25">
      <c r="A34" s="29"/>
      <c r="B34" s="137" t="s">
        <v>65</v>
      </c>
      <c r="C34" s="138"/>
      <c r="D34" s="139"/>
      <c r="E34" s="137" t="s">
        <v>66</v>
      </c>
      <c r="F34" s="138"/>
      <c r="G34" s="139"/>
      <c r="H34" s="137" t="s">
        <v>67</v>
      </c>
      <c r="I34" s="138"/>
      <c r="J34" s="138"/>
      <c r="K34" s="139"/>
    </row>
    <row r="35" spans="1:11" ht="75" x14ac:dyDescent="0.25">
      <c r="A35" s="2" t="s">
        <v>0</v>
      </c>
      <c r="B35" s="14" t="s">
        <v>37</v>
      </c>
      <c r="C35" s="14" t="s">
        <v>68</v>
      </c>
      <c r="D35" s="14" t="s">
        <v>69</v>
      </c>
      <c r="E35" s="14" t="s">
        <v>37</v>
      </c>
      <c r="F35" s="14" t="s">
        <v>70</v>
      </c>
      <c r="G35" s="14" t="s">
        <v>69</v>
      </c>
      <c r="H35" s="14" t="s">
        <v>71</v>
      </c>
      <c r="I35" s="14" t="s">
        <v>72</v>
      </c>
      <c r="J35" s="14" t="s">
        <v>73</v>
      </c>
      <c r="K35" s="14" t="s">
        <v>62</v>
      </c>
    </row>
    <row r="36" spans="1:11" x14ac:dyDescent="0.25">
      <c r="A36" s="2">
        <v>2</v>
      </c>
      <c r="B36" s="91"/>
      <c r="C36" s="103" t="s">
        <v>167</v>
      </c>
      <c r="D36" s="2">
        <v>2003</v>
      </c>
      <c r="E36" s="91"/>
      <c r="F36" s="103" t="s">
        <v>167</v>
      </c>
      <c r="G36" s="2">
        <v>2204</v>
      </c>
      <c r="H36" s="2" t="str">
        <f>C36</f>
        <v>-</v>
      </c>
      <c r="I36" s="2" t="str">
        <f>F36</f>
        <v>-</v>
      </c>
      <c r="J36" s="2" t="e">
        <f>I36-H36</f>
        <v>#VALUE!</v>
      </c>
      <c r="K36" s="20">
        <v>194.14</v>
      </c>
    </row>
    <row r="37" spans="1:11" x14ac:dyDescent="0.25">
      <c r="A37" s="4">
        <v>3</v>
      </c>
      <c r="B37" s="92"/>
      <c r="C37" s="104" t="s">
        <v>167</v>
      </c>
      <c r="D37" s="4">
        <v>2192</v>
      </c>
      <c r="E37" s="92"/>
      <c r="F37" s="104" t="s">
        <v>167</v>
      </c>
      <c r="G37" s="4">
        <v>2381</v>
      </c>
      <c r="H37" s="2" t="str">
        <f t="shared" ref="H37:H44" si="6">C37</f>
        <v>-</v>
      </c>
      <c r="I37" s="2" t="str">
        <f t="shared" ref="I37:I44" si="7">F37</f>
        <v>-</v>
      </c>
      <c r="J37" s="2" t="e">
        <f>I37-H37</f>
        <v>#VALUE!</v>
      </c>
      <c r="K37" s="20">
        <v>185.53</v>
      </c>
    </row>
    <row r="38" spans="1:11" x14ac:dyDescent="0.25">
      <c r="A38" s="4">
        <v>4</v>
      </c>
      <c r="B38" s="92"/>
      <c r="C38" s="104" t="s">
        <v>167</v>
      </c>
      <c r="D38" s="4">
        <v>2353</v>
      </c>
      <c r="E38" s="92"/>
      <c r="F38" s="104" t="s">
        <v>167</v>
      </c>
      <c r="G38" s="4">
        <v>2503</v>
      </c>
      <c r="H38" s="4" t="str">
        <f t="shared" si="6"/>
        <v>-</v>
      </c>
      <c r="I38" s="4" t="str">
        <f t="shared" si="7"/>
        <v>-</v>
      </c>
      <c r="J38" s="4" t="e">
        <f t="shared" ref="J38:J44" si="8">I38-H38</f>
        <v>#VALUE!</v>
      </c>
      <c r="K38" s="36">
        <v>145.18</v>
      </c>
    </row>
    <row r="39" spans="1:11" x14ac:dyDescent="0.25">
      <c r="A39" s="4">
        <v>5</v>
      </c>
      <c r="B39" s="92"/>
      <c r="C39" s="104" t="s">
        <v>167</v>
      </c>
      <c r="D39" s="4">
        <v>2471</v>
      </c>
      <c r="E39" s="92"/>
      <c r="F39" s="104" t="s">
        <v>167</v>
      </c>
      <c r="G39" s="4">
        <v>2600</v>
      </c>
      <c r="H39" s="4" t="str">
        <f t="shared" si="6"/>
        <v>-</v>
      </c>
      <c r="I39" s="4" t="str">
        <f t="shared" si="7"/>
        <v>-</v>
      </c>
      <c r="J39" s="4" t="e">
        <f t="shared" si="8"/>
        <v>#VALUE!</v>
      </c>
      <c r="K39" s="36">
        <v>130.09</v>
      </c>
    </row>
    <row r="40" spans="1:11" x14ac:dyDescent="0.25">
      <c r="A40" s="4">
        <v>6</v>
      </c>
      <c r="B40" s="92"/>
      <c r="C40" s="104" t="s">
        <v>167</v>
      </c>
      <c r="D40" s="4">
        <v>2577</v>
      </c>
      <c r="E40" s="92"/>
      <c r="F40" s="104" t="s">
        <v>167</v>
      </c>
      <c r="G40" s="4">
        <v>2700</v>
      </c>
      <c r="H40" s="4" t="str">
        <f t="shared" si="6"/>
        <v>-</v>
      </c>
      <c r="I40" s="4" t="str">
        <f t="shared" si="7"/>
        <v>-</v>
      </c>
      <c r="J40" s="4" t="e">
        <f t="shared" si="8"/>
        <v>#VALUE!</v>
      </c>
      <c r="K40" s="36">
        <v>110.92</v>
      </c>
    </row>
    <row r="41" spans="1:11" x14ac:dyDescent="0.25">
      <c r="A41" s="4">
        <v>7</v>
      </c>
      <c r="B41" s="92"/>
      <c r="C41" s="104" t="s">
        <v>167</v>
      </c>
      <c r="D41" s="4">
        <v>2657</v>
      </c>
      <c r="E41" s="92"/>
      <c r="F41" s="104" t="s">
        <v>167</v>
      </c>
      <c r="G41" s="4">
        <v>2758</v>
      </c>
      <c r="H41" s="4" t="str">
        <f t="shared" si="6"/>
        <v>-</v>
      </c>
      <c r="I41" s="4" t="str">
        <f t="shared" si="7"/>
        <v>-</v>
      </c>
      <c r="J41" s="4" t="e">
        <f t="shared" si="8"/>
        <v>#VALUE!</v>
      </c>
      <c r="K41" s="36">
        <v>95.7</v>
      </c>
    </row>
    <row r="42" spans="1:11" x14ac:dyDescent="0.25">
      <c r="A42" s="4">
        <v>8</v>
      </c>
      <c r="B42" s="92"/>
      <c r="C42" s="104" t="s">
        <v>167</v>
      </c>
      <c r="D42" s="4">
        <v>2737</v>
      </c>
      <c r="E42" s="92"/>
      <c r="F42" s="104" t="s">
        <v>167</v>
      </c>
      <c r="G42" s="4">
        <v>2817</v>
      </c>
      <c r="H42" s="4" t="str">
        <f t="shared" si="6"/>
        <v>-</v>
      </c>
      <c r="I42" s="4" t="str">
        <f t="shared" si="7"/>
        <v>-</v>
      </c>
      <c r="J42" s="4" t="e">
        <f>I42-H42</f>
        <v>#VALUE!</v>
      </c>
      <c r="K42" s="36">
        <v>73.540000000000006</v>
      </c>
    </row>
    <row r="43" spans="1:11" x14ac:dyDescent="0.25">
      <c r="A43" s="4">
        <v>9</v>
      </c>
      <c r="B43" s="92"/>
      <c r="C43" s="104" t="s">
        <v>167</v>
      </c>
      <c r="D43" s="4">
        <v>2801</v>
      </c>
      <c r="E43" s="92"/>
      <c r="F43" s="104" t="s">
        <v>167</v>
      </c>
      <c r="G43" s="4">
        <v>2845</v>
      </c>
      <c r="H43" s="4" t="str">
        <f t="shared" si="6"/>
        <v>-</v>
      </c>
      <c r="I43" s="4" t="str">
        <f t="shared" si="7"/>
        <v>-</v>
      </c>
      <c r="J43" s="4" t="e">
        <f t="shared" si="8"/>
        <v>#VALUE!</v>
      </c>
      <c r="K43" s="36">
        <v>38.200000000000003</v>
      </c>
    </row>
    <row r="44" spans="1:11" x14ac:dyDescent="0.25">
      <c r="A44" s="4">
        <v>10</v>
      </c>
      <c r="B44" s="92"/>
      <c r="C44" s="104" t="s">
        <v>167</v>
      </c>
      <c r="D44" s="4">
        <v>2802</v>
      </c>
      <c r="E44" s="92"/>
      <c r="F44" s="104" t="s">
        <v>167</v>
      </c>
      <c r="G44" s="4">
        <v>2862</v>
      </c>
      <c r="H44" s="4" t="str">
        <f t="shared" si="6"/>
        <v>-</v>
      </c>
      <c r="I44" s="4" t="str">
        <f t="shared" si="7"/>
        <v>-</v>
      </c>
      <c r="J44" s="4" t="e">
        <f t="shared" si="8"/>
        <v>#VALUE!</v>
      </c>
      <c r="K44" s="36">
        <v>43.71</v>
      </c>
    </row>
    <row r="45" spans="1:11" x14ac:dyDescent="0.25">
      <c r="A45" s="28"/>
      <c r="B45" s="190" t="s">
        <v>74</v>
      </c>
      <c r="C45" s="191"/>
      <c r="D45" s="191"/>
      <c r="E45" s="191"/>
      <c r="F45" s="191"/>
      <c r="G45" s="191"/>
      <c r="H45" s="191"/>
      <c r="I45" s="191"/>
      <c r="J45" s="191"/>
      <c r="K45" s="192"/>
    </row>
    <row r="46" spans="1:11" x14ac:dyDescent="0.25">
      <c r="A46" s="29"/>
      <c r="B46" s="193" t="s">
        <v>65</v>
      </c>
      <c r="C46" s="194"/>
      <c r="D46" s="195"/>
      <c r="E46" s="193" t="s">
        <v>66</v>
      </c>
      <c r="F46" s="194"/>
      <c r="G46" s="195"/>
      <c r="H46" s="193" t="s">
        <v>67</v>
      </c>
      <c r="I46" s="194"/>
      <c r="J46" s="194"/>
      <c r="K46" s="195"/>
    </row>
    <row r="47" spans="1:11" ht="75" x14ac:dyDescent="0.25">
      <c r="A47" s="2" t="s">
        <v>0</v>
      </c>
      <c r="B47" s="19" t="s">
        <v>37</v>
      </c>
      <c r="C47" s="19" t="s">
        <v>68</v>
      </c>
      <c r="D47" s="19" t="s">
        <v>69</v>
      </c>
      <c r="E47" s="19" t="s">
        <v>37</v>
      </c>
      <c r="F47" s="19" t="s">
        <v>70</v>
      </c>
      <c r="G47" s="19" t="s">
        <v>69</v>
      </c>
      <c r="H47" s="19" t="s">
        <v>71</v>
      </c>
      <c r="I47" s="19" t="s">
        <v>72</v>
      </c>
      <c r="J47" s="19" t="s">
        <v>73</v>
      </c>
      <c r="K47" s="19" t="s">
        <v>62</v>
      </c>
    </row>
    <row r="48" spans="1:11" x14ac:dyDescent="0.25">
      <c r="A48" s="2">
        <v>2</v>
      </c>
      <c r="B48" s="91"/>
      <c r="C48" s="103" t="s">
        <v>167</v>
      </c>
      <c r="D48" s="2">
        <v>2137</v>
      </c>
      <c r="E48" s="91"/>
      <c r="F48" s="103" t="s">
        <v>167</v>
      </c>
      <c r="G48" s="2">
        <v>2324</v>
      </c>
      <c r="H48" s="2" t="str">
        <f>C48</f>
        <v>-</v>
      </c>
      <c r="I48" s="2" t="str">
        <f>F48</f>
        <v>-</v>
      </c>
      <c r="J48" s="2" t="e">
        <f>I48-H48</f>
        <v>#VALUE!</v>
      </c>
      <c r="K48" s="20">
        <v>221.38</v>
      </c>
    </row>
    <row r="49" spans="1:11" x14ac:dyDescent="0.25">
      <c r="A49" s="4">
        <v>3</v>
      </c>
      <c r="B49" s="92"/>
      <c r="C49" s="104" t="s">
        <v>167</v>
      </c>
      <c r="D49" s="4">
        <v>2332</v>
      </c>
      <c r="E49" s="92"/>
      <c r="F49" s="104" t="s">
        <v>167</v>
      </c>
      <c r="G49" s="4">
        <v>2448</v>
      </c>
      <c r="H49" s="2" t="str">
        <f t="shared" ref="H49:H53" si="9">C49</f>
        <v>-</v>
      </c>
      <c r="I49" s="2" t="str">
        <f t="shared" ref="I49:I53" si="10">F49</f>
        <v>-</v>
      </c>
      <c r="J49" s="2" t="e">
        <f t="shared" ref="J49:J54" si="11">I49-H49</f>
        <v>#VALUE!</v>
      </c>
      <c r="K49" s="20">
        <v>120.44</v>
      </c>
    </row>
    <row r="50" spans="1:11" x14ac:dyDescent="0.25">
      <c r="A50" s="4">
        <v>4</v>
      </c>
      <c r="B50" s="92"/>
      <c r="C50" s="104" t="s">
        <v>167</v>
      </c>
      <c r="D50" s="4">
        <v>2437</v>
      </c>
      <c r="E50" s="92"/>
      <c r="F50" s="104" t="s">
        <v>167</v>
      </c>
      <c r="G50" s="4">
        <v>2522</v>
      </c>
      <c r="H50" s="4" t="str">
        <f t="shared" si="9"/>
        <v>-</v>
      </c>
      <c r="I50" s="4" t="str">
        <f t="shared" si="10"/>
        <v>-</v>
      </c>
      <c r="J50" s="4" t="e">
        <f>I50-H50</f>
        <v>#VALUE!</v>
      </c>
      <c r="K50" s="36">
        <v>79.650000000000006</v>
      </c>
    </row>
    <row r="51" spans="1:11" x14ac:dyDescent="0.25">
      <c r="A51" s="4">
        <v>5</v>
      </c>
      <c r="B51" s="92"/>
      <c r="C51" s="104" t="s">
        <v>167</v>
      </c>
      <c r="D51" s="4">
        <v>2519</v>
      </c>
      <c r="E51" s="92"/>
      <c r="F51" s="104" t="s">
        <v>167</v>
      </c>
      <c r="G51" s="4">
        <v>2596</v>
      </c>
      <c r="H51" s="4" t="str">
        <f t="shared" si="9"/>
        <v>-</v>
      </c>
      <c r="I51" s="4" t="str">
        <f t="shared" si="10"/>
        <v>-</v>
      </c>
      <c r="J51" s="4" t="e">
        <f t="shared" si="11"/>
        <v>#VALUE!</v>
      </c>
      <c r="K51" s="36">
        <v>63.72</v>
      </c>
    </row>
    <row r="52" spans="1:11" x14ac:dyDescent="0.25">
      <c r="A52" s="4">
        <v>6</v>
      </c>
      <c r="B52" s="92"/>
      <c r="C52" s="104" t="s">
        <v>167</v>
      </c>
      <c r="D52" s="4">
        <v>2584</v>
      </c>
      <c r="E52" s="92"/>
      <c r="F52" s="104" t="s">
        <v>167</v>
      </c>
      <c r="G52" s="4">
        <v>2650</v>
      </c>
      <c r="H52" s="4" t="str">
        <f t="shared" si="9"/>
        <v>-</v>
      </c>
      <c r="I52" s="4" t="str">
        <f t="shared" si="10"/>
        <v>-</v>
      </c>
      <c r="J52" s="4" t="e">
        <f t="shared" si="11"/>
        <v>#VALUE!</v>
      </c>
      <c r="K52" s="36">
        <v>63.26</v>
      </c>
    </row>
    <row r="53" spans="1:11" x14ac:dyDescent="0.25">
      <c r="A53" s="4">
        <v>7</v>
      </c>
      <c r="B53" s="92"/>
      <c r="C53" s="104" t="s">
        <v>167</v>
      </c>
      <c r="D53" s="4">
        <v>2639</v>
      </c>
      <c r="E53" s="92"/>
      <c r="F53" s="104" t="s">
        <v>167</v>
      </c>
      <c r="G53" s="4">
        <v>2708</v>
      </c>
      <c r="H53" s="4" t="str">
        <f t="shared" si="9"/>
        <v>-</v>
      </c>
      <c r="I53" s="4" t="str">
        <f t="shared" si="10"/>
        <v>-</v>
      </c>
      <c r="J53" s="4" t="e">
        <f>I53-H53</f>
        <v>#VALUE!</v>
      </c>
      <c r="K53" s="36">
        <v>56.62</v>
      </c>
    </row>
    <row r="54" spans="1:11" x14ac:dyDescent="0.25">
      <c r="A54" s="4">
        <v>8</v>
      </c>
      <c r="B54" s="92"/>
      <c r="C54" s="104" t="s">
        <v>167</v>
      </c>
      <c r="D54" s="4">
        <v>2674</v>
      </c>
      <c r="E54" s="92"/>
      <c r="F54" s="104" t="s">
        <v>167</v>
      </c>
      <c r="G54" s="4">
        <v>2718</v>
      </c>
      <c r="H54" s="4" t="str">
        <f>C54</f>
        <v>-</v>
      </c>
      <c r="I54" s="4" t="str">
        <f>F54</f>
        <v>-</v>
      </c>
      <c r="J54" s="4" t="e">
        <f t="shared" si="11"/>
        <v>#VALUE!</v>
      </c>
      <c r="K54" s="36">
        <v>30.23</v>
      </c>
    </row>
    <row r="55" spans="1:11" x14ac:dyDescent="0.25">
      <c r="A55" s="28"/>
      <c r="B55" s="196" t="s">
        <v>194</v>
      </c>
      <c r="C55" s="197"/>
      <c r="D55" s="197"/>
      <c r="E55" s="197"/>
      <c r="F55" s="197"/>
      <c r="G55" s="197"/>
      <c r="H55" s="197"/>
      <c r="I55" s="197"/>
      <c r="J55" s="197"/>
      <c r="K55" s="198"/>
    </row>
    <row r="56" spans="1:11" x14ac:dyDescent="0.25">
      <c r="A56" s="29"/>
      <c r="B56" s="187" t="s">
        <v>65</v>
      </c>
      <c r="C56" s="188"/>
      <c r="D56" s="189"/>
      <c r="E56" s="187" t="s">
        <v>66</v>
      </c>
      <c r="F56" s="188"/>
      <c r="G56" s="189"/>
      <c r="H56" s="187" t="s">
        <v>67</v>
      </c>
      <c r="I56" s="188"/>
      <c r="J56" s="188"/>
      <c r="K56" s="189"/>
    </row>
    <row r="57" spans="1:11" ht="75" x14ac:dyDescent="0.25">
      <c r="A57" s="2" t="s">
        <v>0</v>
      </c>
      <c r="B57" s="79" t="s">
        <v>37</v>
      </c>
      <c r="C57" s="79" t="s">
        <v>68</v>
      </c>
      <c r="D57" s="79" t="s">
        <v>69</v>
      </c>
      <c r="E57" s="79" t="s">
        <v>37</v>
      </c>
      <c r="F57" s="79" t="s">
        <v>70</v>
      </c>
      <c r="G57" s="79" t="s">
        <v>69</v>
      </c>
      <c r="H57" s="79" t="s">
        <v>71</v>
      </c>
      <c r="I57" s="79" t="s">
        <v>72</v>
      </c>
      <c r="J57" s="79" t="s">
        <v>73</v>
      </c>
      <c r="K57" s="79" t="s">
        <v>62</v>
      </c>
    </row>
    <row r="58" spans="1:11" x14ac:dyDescent="0.25">
      <c r="A58" s="3" t="s">
        <v>1</v>
      </c>
      <c r="B58" s="91"/>
      <c r="C58" s="103" t="s">
        <v>167</v>
      </c>
      <c r="D58" s="2"/>
      <c r="E58" s="91"/>
      <c r="F58" s="103" t="s">
        <v>167</v>
      </c>
      <c r="G58" s="2"/>
      <c r="H58" s="2" t="str">
        <f>C58</f>
        <v>-</v>
      </c>
      <c r="I58" s="2" t="str">
        <f>F58</f>
        <v>-</v>
      </c>
      <c r="J58" s="2" t="e">
        <f>I58-H58</f>
        <v>#VALUE!</v>
      </c>
      <c r="K58" s="20"/>
    </row>
    <row r="59" spans="1:11" x14ac:dyDescent="0.25">
      <c r="A59" s="42">
        <v>1</v>
      </c>
      <c r="B59" s="91"/>
      <c r="C59" s="118" t="s">
        <v>167</v>
      </c>
      <c r="D59" s="42"/>
      <c r="E59" s="91"/>
      <c r="F59" s="118" t="s">
        <v>167</v>
      </c>
      <c r="G59" s="42"/>
      <c r="H59" s="2" t="str">
        <f t="shared" ref="H59:H60" si="12">C59</f>
        <v>-</v>
      </c>
      <c r="I59" s="2" t="str">
        <f>F59</f>
        <v>-</v>
      </c>
      <c r="J59" s="2" t="e">
        <f t="shared" ref="J59" si="13">I59-H59</f>
        <v>#VALUE!</v>
      </c>
      <c r="K59" s="20"/>
    </row>
    <row r="60" spans="1:11" x14ac:dyDescent="0.25">
      <c r="A60" s="42">
        <v>2</v>
      </c>
      <c r="B60" s="91"/>
      <c r="C60" s="118" t="s">
        <v>167</v>
      </c>
      <c r="D60" s="42"/>
      <c r="E60" s="91"/>
      <c r="F60" s="118" t="s">
        <v>167</v>
      </c>
      <c r="G60" s="42"/>
      <c r="H60" s="42" t="str">
        <f t="shared" si="12"/>
        <v>-</v>
      </c>
      <c r="I60" s="42" t="str">
        <f>F60</f>
        <v>-</v>
      </c>
      <c r="J60" s="42" t="e">
        <f>I60-H60</f>
        <v>#VALUE!</v>
      </c>
      <c r="K60" s="115"/>
    </row>
  </sheetData>
  <sheetProtection password="CDF6" sheet="1" objects="1" scenarios="1"/>
  <mergeCells count="29">
    <mergeCell ref="B56:D56"/>
    <mergeCell ref="E56:G56"/>
    <mergeCell ref="H56:K56"/>
    <mergeCell ref="B45:K45"/>
    <mergeCell ref="B46:D46"/>
    <mergeCell ref="E46:G46"/>
    <mergeCell ref="H46:K46"/>
    <mergeCell ref="B55:K55"/>
    <mergeCell ref="B6:O6"/>
    <mergeCell ref="A7:O7"/>
    <mergeCell ref="A8:C8"/>
    <mergeCell ref="B33:K33"/>
    <mergeCell ref="B34:D34"/>
    <mergeCell ref="E34:G34"/>
    <mergeCell ref="H34:K34"/>
    <mergeCell ref="A9:C9"/>
    <mergeCell ref="B23:K23"/>
    <mergeCell ref="B24:D24"/>
    <mergeCell ref="E24:G24"/>
    <mergeCell ref="H24:K24"/>
    <mergeCell ref="B10:K10"/>
    <mergeCell ref="B11:D11"/>
    <mergeCell ref="E11:G11"/>
    <mergeCell ref="H11:K11"/>
    <mergeCell ref="B1:O1"/>
    <mergeCell ref="B2:O2"/>
    <mergeCell ref="B3:O3"/>
    <mergeCell ref="B4:O4"/>
    <mergeCell ref="B5:O5"/>
  </mergeCells>
  <conditionalFormatting sqref="C13:C22 F13:F22 J14:J22">
    <cfRule type="cellIs" dxfId="156" priority="40" operator="lessThan">
      <formula>D13</formula>
    </cfRule>
    <cfRule type="cellIs" dxfId="155" priority="41" operator="greaterThanOrEqual">
      <formula>D13</formula>
    </cfRule>
  </conditionalFormatting>
  <conditionalFormatting sqref="J13">
    <cfRule type="cellIs" dxfId="154" priority="38" operator="lessThan">
      <formula>K13</formula>
    </cfRule>
    <cfRule type="cellIs" dxfId="153" priority="39" operator="greaterThanOrEqual">
      <formula>K13</formula>
    </cfRule>
  </conditionalFormatting>
  <conditionalFormatting sqref="C13:C22 F13:F22">
    <cfRule type="cellIs" dxfId="152" priority="37" operator="equal">
      <formula>"-"</formula>
    </cfRule>
  </conditionalFormatting>
  <conditionalFormatting sqref="C48:C54">
    <cfRule type="cellIs" dxfId="151" priority="17" operator="lessThan">
      <formula>D48</formula>
    </cfRule>
    <cfRule type="cellIs" dxfId="150" priority="18" operator="greaterThanOrEqual">
      <formula>D48</formula>
    </cfRule>
  </conditionalFormatting>
  <conditionalFormatting sqref="F48:F54">
    <cfRule type="cellIs" dxfId="149" priority="15" operator="lessThan">
      <formula>G48</formula>
    </cfRule>
    <cfRule type="cellIs" dxfId="148" priority="16" operator="greaterThanOrEqual">
      <formula>G48</formula>
    </cfRule>
  </conditionalFormatting>
  <conditionalFormatting sqref="J48">
    <cfRule type="cellIs" dxfId="147" priority="13" operator="lessThan">
      <formula>K48</formula>
    </cfRule>
    <cfRule type="cellIs" dxfId="146" priority="14" operator="greaterThanOrEqual">
      <formula>K48</formula>
    </cfRule>
  </conditionalFormatting>
  <conditionalFormatting sqref="J49:J54">
    <cfRule type="cellIs" dxfId="145" priority="11" operator="lessThan">
      <formula>K49</formula>
    </cfRule>
    <cfRule type="cellIs" dxfId="144" priority="12" operator="greaterThanOrEqual">
      <formula>K49</formula>
    </cfRule>
  </conditionalFormatting>
  <conditionalFormatting sqref="C48:C54 F48:F54">
    <cfRule type="cellIs" dxfId="143" priority="10" operator="equal">
      <formula>"-"</formula>
    </cfRule>
  </conditionalFormatting>
  <conditionalFormatting sqref="C26:C32">
    <cfRule type="cellIs" dxfId="142" priority="35" operator="lessThan">
      <formula>D26</formula>
    </cfRule>
    <cfRule type="cellIs" dxfId="141" priority="36" operator="greaterThanOrEqual">
      <formula>D26</formula>
    </cfRule>
  </conditionalFormatting>
  <conditionalFormatting sqref="F26:F32">
    <cfRule type="cellIs" dxfId="140" priority="33" operator="lessThan">
      <formula>G26</formula>
    </cfRule>
    <cfRule type="cellIs" dxfId="139" priority="34" operator="greaterThanOrEqual">
      <formula>G26</formula>
    </cfRule>
  </conditionalFormatting>
  <conditionalFormatting sqref="J26">
    <cfRule type="cellIs" dxfId="138" priority="31" operator="lessThan">
      <formula>K26</formula>
    </cfRule>
    <cfRule type="cellIs" dxfId="137" priority="32" operator="greaterThanOrEqual">
      <formula>K26</formula>
    </cfRule>
  </conditionalFormatting>
  <conditionalFormatting sqref="J27:J32">
    <cfRule type="cellIs" dxfId="136" priority="29" operator="lessThan">
      <formula>K27</formula>
    </cfRule>
    <cfRule type="cellIs" dxfId="135" priority="30" operator="greaterThanOrEqual">
      <formula>K27</formula>
    </cfRule>
  </conditionalFormatting>
  <conditionalFormatting sqref="C26:C32 F26:F32">
    <cfRule type="cellIs" dxfId="134" priority="28" operator="equal">
      <formula>"-"</formula>
    </cfRule>
  </conditionalFormatting>
  <conditionalFormatting sqref="C36:C44">
    <cfRule type="cellIs" dxfId="133" priority="26" operator="lessThan">
      <formula>D36</formula>
    </cfRule>
    <cfRule type="cellIs" dxfId="132" priority="27" operator="greaterThanOrEqual">
      <formula>D36</formula>
    </cfRule>
  </conditionalFormatting>
  <conditionalFormatting sqref="F36:F44">
    <cfRule type="cellIs" dxfId="131" priority="24" operator="lessThan">
      <formula>G36</formula>
    </cfRule>
    <cfRule type="cellIs" dxfId="130" priority="25" operator="greaterThanOrEqual">
      <formula>G36</formula>
    </cfRule>
  </conditionalFormatting>
  <conditionalFormatting sqref="J36">
    <cfRule type="cellIs" dxfId="129" priority="22" operator="lessThan">
      <formula>K36</formula>
    </cfRule>
    <cfRule type="cellIs" dxfId="128" priority="23" operator="greaterThanOrEqual">
      <formula>K36</formula>
    </cfRule>
  </conditionalFormatting>
  <conditionalFormatting sqref="J37:J44">
    <cfRule type="cellIs" dxfId="127" priority="20" operator="lessThan">
      <formula>K37</formula>
    </cfRule>
    <cfRule type="cellIs" dxfId="126" priority="21" operator="greaterThanOrEqual">
      <formula>K37</formula>
    </cfRule>
  </conditionalFormatting>
  <conditionalFormatting sqref="C36:C44 F36:F44">
    <cfRule type="cellIs" dxfId="125" priority="19" operator="equal">
      <formula>"-"</formula>
    </cfRule>
  </conditionalFormatting>
  <conditionalFormatting sqref="C58:C60">
    <cfRule type="cellIs" dxfId="124" priority="8" operator="lessThan">
      <formula>D58</formula>
    </cfRule>
    <cfRule type="cellIs" dxfId="123" priority="9" operator="greaterThanOrEqual">
      <formula>D58</formula>
    </cfRule>
  </conditionalFormatting>
  <conditionalFormatting sqref="F58:F60">
    <cfRule type="cellIs" dxfId="122" priority="6" operator="lessThan">
      <formula>G58</formula>
    </cfRule>
    <cfRule type="cellIs" dxfId="121" priority="7" operator="greaterThanOrEqual">
      <formula>G58</formula>
    </cfRule>
  </conditionalFormatting>
  <conditionalFormatting sqref="J58">
    <cfRule type="cellIs" dxfId="120" priority="4" operator="lessThan">
      <formula>K58</formula>
    </cfRule>
    <cfRule type="cellIs" dxfId="119" priority="5" operator="greaterThanOrEqual">
      <formula>K58</formula>
    </cfRule>
  </conditionalFormatting>
  <conditionalFormatting sqref="J59:J60">
    <cfRule type="cellIs" dxfId="118" priority="2" operator="lessThan">
      <formula>K59</formula>
    </cfRule>
    <cfRule type="cellIs" dxfId="117" priority="3" operator="greaterThanOrEqual">
      <formula>K59</formula>
    </cfRule>
  </conditionalFormatting>
  <conditionalFormatting sqref="C58:C60 F58:F60">
    <cfRule type="cellIs" dxfId="116" priority="1" operator="equal">
      <formula>"-"</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workbookViewId="0"/>
  </sheetViews>
  <sheetFormatPr defaultRowHeight="15" x14ac:dyDescent="0.25"/>
  <cols>
    <col min="1" max="1" width="11.7109375" customWidth="1"/>
    <col min="2" max="5" width="11.85546875" customWidth="1"/>
    <col min="6" max="6" width="24.7109375" customWidth="1"/>
    <col min="7" max="9" width="11.85546875" customWidth="1"/>
    <col min="10" max="10" width="24.7109375" customWidth="1"/>
    <col min="11" max="13" width="11.85546875" customWidth="1"/>
    <col min="14" max="14" width="24.7109375" customWidth="1"/>
    <col min="15" max="17" width="11.85546875" customWidth="1"/>
    <col min="18" max="18" width="24.7109375" customWidth="1"/>
  </cols>
  <sheetData>
    <row r="1" spans="1:10" ht="30" x14ac:dyDescent="0.3">
      <c r="A1" s="119" t="s">
        <v>85</v>
      </c>
      <c r="B1" s="153" t="s">
        <v>106</v>
      </c>
      <c r="C1" s="153"/>
      <c r="D1" s="153"/>
      <c r="E1" s="153"/>
      <c r="F1" s="153"/>
      <c r="G1" s="153"/>
      <c r="H1" s="153"/>
      <c r="I1" s="153"/>
      <c r="J1" s="153"/>
    </row>
    <row r="2" spans="1:10" ht="18.75" x14ac:dyDescent="0.3">
      <c r="A2" s="119" t="s">
        <v>86</v>
      </c>
      <c r="B2" s="153" t="s">
        <v>107</v>
      </c>
      <c r="C2" s="153"/>
      <c r="D2" s="153"/>
      <c r="E2" s="153"/>
      <c r="F2" s="153"/>
      <c r="G2" s="153"/>
      <c r="H2" s="153"/>
      <c r="I2" s="153"/>
      <c r="J2" s="153"/>
    </row>
    <row r="3" spans="1:10" ht="30.75" customHeight="1" x14ac:dyDescent="0.25">
      <c r="A3" s="120" t="s">
        <v>87</v>
      </c>
      <c r="B3" s="202" t="s">
        <v>108</v>
      </c>
      <c r="C3" s="203"/>
      <c r="D3" s="203"/>
      <c r="E3" s="203"/>
      <c r="F3" s="203"/>
      <c r="G3" s="203"/>
      <c r="H3" s="203"/>
      <c r="I3" s="203"/>
      <c r="J3" s="204"/>
    </row>
    <row r="4" spans="1:10" ht="60" x14ac:dyDescent="0.25">
      <c r="A4" s="119" t="s">
        <v>88</v>
      </c>
      <c r="B4" s="157" t="s">
        <v>109</v>
      </c>
      <c r="C4" s="157"/>
      <c r="D4" s="157"/>
      <c r="E4" s="157"/>
      <c r="F4" s="157"/>
      <c r="G4" s="157"/>
      <c r="H4" s="157"/>
      <c r="I4" s="157"/>
      <c r="J4" s="157"/>
    </row>
    <row r="5" spans="1:10" ht="61.5" customHeight="1" x14ac:dyDescent="0.25">
      <c r="A5" s="120" t="s">
        <v>89</v>
      </c>
      <c r="B5" s="158" t="s">
        <v>110</v>
      </c>
      <c r="C5" s="158"/>
      <c r="D5" s="156"/>
      <c r="E5" s="156"/>
      <c r="F5" s="156"/>
      <c r="G5" s="156"/>
      <c r="H5" s="156"/>
      <c r="I5" s="156"/>
      <c r="J5" s="156"/>
    </row>
    <row r="6" spans="1:10" ht="91.5" customHeight="1" x14ac:dyDescent="0.25">
      <c r="A6" s="119" t="s">
        <v>90</v>
      </c>
      <c r="B6" s="158" t="s">
        <v>111</v>
      </c>
      <c r="C6" s="158"/>
      <c r="D6" s="158"/>
      <c r="E6" s="158"/>
      <c r="F6" s="158"/>
      <c r="G6" s="158"/>
      <c r="H6" s="158"/>
      <c r="I6" s="158"/>
      <c r="J6" s="158"/>
    </row>
    <row r="7" spans="1:10" ht="18.75" customHeight="1" x14ac:dyDescent="0.3">
      <c r="A7" s="179" t="s">
        <v>92</v>
      </c>
      <c r="B7" s="179"/>
      <c r="C7" s="179"/>
      <c r="D7" s="179"/>
      <c r="E7" s="179"/>
      <c r="F7" s="179"/>
      <c r="G7" s="179"/>
      <c r="H7" s="179"/>
      <c r="I7" s="179"/>
      <c r="J7" s="179"/>
    </row>
    <row r="8" spans="1:10" x14ac:dyDescent="0.25">
      <c r="A8" s="200" t="s">
        <v>76</v>
      </c>
      <c r="B8" s="201"/>
      <c r="C8" s="201"/>
      <c r="D8" s="201"/>
      <c r="E8" s="95"/>
    </row>
    <row r="9" spans="1:10" x14ac:dyDescent="0.25">
      <c r="A9" s="207" t="s">
        <v>77</v>
      </c>
      <c r="B9" s="208"/>
      <c r="C9" s="208"/>
      <c r="D9" s="208"/>
      <c r="E9" s="91"/>
    </row>
    <row r="10" spans="1:10" x14ac:dyDescent="0.25">
      <c r="A10" s="34"/>
      <c r="B10" s="178" t="s">
        <v>57</v>
      </c>
      <c r="C10" s="178"/>
      <c r="D10" s="178"/>
      <c r="E10" s="178"/>
      <c r="F10" s="178"/>
    </row>
    <row r="11" spans="1:10" x14ac:dyDescent="0.25">
      <c r="A11" s="34"/>
      <c r="B11" s="199" t="s">
        <v>105</v>
      </c>
      <c r="C11" s="199"/>
      <c r="D11" s="199"/>
      <c r="E11" s="199"/>
      <c r="F11" s="35" t="s">
        <v>112</v>
      </c>
    </row>
    <row r="12" spans="1:10" ht="90" x14ac:dyDescent="0.25">
      <c r="A12" s="3" t="s">
        <v>0</v>
      </c>
      <c r="B12" s="15" t="s">
        <v>78</v>
      </c>
      <c r="C12" s="15" t="s">
        <v>176</v>
      </c>
      <c r="D12" s="15" t="s">
        <v>177</v>
      </c>
      <c r="E12" s="15" t="s">
        <v>104</v>
      </c>
      <c r="F12" s="15" t="s">
        <v>113</v>
      </c>
    </row>
    <row r="13" spans="1:10" x14ac:dyDescent="0.25">
      <c r="A13" s="3" t="s">
        <v>1</v>
      </c>
      <c r="B13" s="91"/>
      <c r="C13" s="91"/>
      <c r="D13" s="20" t="e">
        <f>SUM(C13/B13)*100</f>
        <v>#DIV/0!</v>
      </c>
      <c r="E13" s="20">
        <v>71.650000000000006</v>
      </c>
      <c r="F13" s="103" t="s">
        <v>167</v>
      </c>
    </row>
    <row r="14" spans="1:10" x14ac:dyDescent="0.25">
      <c r="A14" s="3">
        <v>1</v>
      </c>
      <c r="B14" s="91"/>
      <c r="C14" s="91"/>
      <c r="D14" s="20" t="e">
        <f t="shared" ref="D14:D21" si="0">SUM(C14/B14)*100</f>
        <v>#DIV/0!</v>
      </c>
      <c r="E14" s="20">
        <v>71.650000000000006</v>
      </c>
      <c r="F14" s="103" t="s">
        <v>167</v>
      </c>
    </row>
    <row r="15" spans="1:10" x14ac:dyDescent="0.25">
      <c r="A15" s="3">
        <v>2</v>
      </c>
      <c r="B15" s="91"/>
      <c r="C15" s="91"/>
      <c r="D15" s="20" t="e">
        <f t="shared" si="0"/>
        <v>#DIV/0!</v>
      </c>
      <c r="E15" s="20">
        <v>71.650000000000006</v>
      </c>
      <c r="F15" s="103" t="s">
        <v>167</v>
      </c>
    </row>
    <row r="16" spans="1:10" x14ac:dyDescent="0.25">
      <c r="A16" s="22">
        <v>3</v>
      </c>
      <c r="B16" s="92"/>
      <c r="C16" s="92"/>
      <c r="D16" s="20" t="e">
        <f t="shared" si="0"/>
        <v>#DIV/0!</v>
      </c>
      <c r="E16" s="36">
        <v>71.650000000000006</v>
      </c>
      <c r="F16" s="103" t="s">
        <v>167</v>
      </c>
    </row>
    <row r="17" spans="1:6" x14ac:dyDescent="0.25">
      <c r="A17" s="22">
        <v>4</v>
      </c>
      <c r="B17" s="92"/>
      <c r="C17" s="92"/>
      <c r="D17" s="20" t="e">
        <f t="shared" si="0"/>
        <v>#DIV/0!</v>
      </c>
      <c r="E17" s="36">
        <v>71.650000000000006</v>
      </c>
      <c r="F17" s="104" t="s">
        <v>167</v>
      </c>
    </row>
    <row r="18" spans="1:6" x14ac:dyDescent="0.25">
      <c r="A18" s="22">
        <v>5</v>
      </c>
      <c r="B18" s="92"/>
      <c r="C18" s="92"/>
      <c r="D18" s="20" t="e">
        <f t="shared" si="0"/>
        <v>#DIV/0!</v>
      </c>
      <c r="E18" s="36">
        <v>71.650000000000006</v>
      </c>
      <c r="F18" s="104" t="s">
        <v>167</v>
      </c>
    </row>
    <row r="19" spans="1:6" x14ac:dyDescent="0.25">
      <c r="A19" s="22">
        <v>6</v>
      </c>
      <c r="B19" s="92"/>
      <c r="C19" s="92"/>
      <c r="D19" s="20" t="e">
        <f t="shared" si="0"/>
        <v>#DIV/0!</v>
      </c>
      <c r="E19" s="36">
        <v>71.430000000000007</v>
      </c>
      <c r="F19" s="104" t="s">
        <v>167</v>
      </c>
    </row>
    <row r="20" spans="1:6" x14ac:dyDescent="0.25">
      <c r="A20" s="22">
        <v>7</v>
      </c>
      <c r="B20" s="92"/>
      <c r="C20" s="92"/>
      <c r="D20" s="20" t="e">
        <f t="shared" si="0"/>
        <v>#DIV/0!</v>
      </c>
      <c r="E20" s="36">
        <v>71.430000000000007</v>
      </c>
      <c r="F20" s="104" t="s">
        <v>167</v>
      </c>
    </row>
    <row r="21" spans="1:6" x14ac:dyDescent="0.25">
      <c r="A21" s="22">
        <v>8</v>
      </c>
      <c r="B21" s="92"/>
      <c r="C21" s="92"/>
      <c r="D21" s="20" t="e">
        <f t="shared" si="0"/>
        <v>#DIV/0!</v>
      </c>
      <c r="E21" s="36">
        <v>71.430000000000007</v>
      </c>
      <c r="F21" s="104" t="s">
        <v>167</v>
      </c>
    </row>
    <row r="22" spans="1:6" x14ac:dyDescent="0.25">
      <c r="A22" s="34"/>
      <c r="B22" s="209" t="s">
        <v>102</v>
      </c>
      <c r="C22" s="209"/>
      <c r="D22" s="209"/>
      <c r="E22" s="209"/>
      <c r="F22" s="209"/>
    </row>
    <row r="23" spans="1:6" x14ac:dyDescent="0.25">
      <c r="A23" s="34"/>
      <c r="B23" s="210" t="s">
        <v>105</v>
      </c>
      <c r="C23" s="210"/>
      <c r="D23" s="210"/>
      <c r="E23" s="210"/>
      <c r="F23" s="56" t="s">
        <v>112</v>
      </c>
    </row>
    <row r="24" spans="1:6" ht="90" x14ac:dyDescent="0.25">
      <c r="A24" s="3" t="s">
        <v>0</v>
      </c>
      <c r="B24" s="16" t="s">
        <v>78</v>
      </c>
      <c r="C24" s="16" t="s">
        <v>176</v>
      </c>
      <c r="D24" s="16" t="s">
        <v>177</v>
      </c>
      <c r="E24" s="16" t="s">
        <v>104</v>
      </c>
      <c r="F24" s="16" t="s">
        <v>113</v>
      </c>
    </row>
    <row r="25" spans="1:6" x14ac:dyDescent="0.25">
      <c r="A25" s="3" t="s">
        <v>1</v>
      </c>
      <c r="B25" s="91"/>
      <c r="C25" s="91"/>
      <c r="D25" s="20" t="e">
        <f>SUM(C25/B25)*100</f>
        <v>#DIV/0!</v>
      </c>
      <c r="E25" s="20">
        <v>53.52</v>
      </c>
      <c r="F25" s="103" t="s">
        <v>167</v>
      </c>
    </row>
    <row r="26" spans="1:6" x14ac:dyDescent="0.25">
      <c r="A26" s="3">
        <v>1</v>
      </c>
      <c r="B26" s="91"/>
      <c r="C26" s="91"/>
      <c r="D26" s="20" t="e">
        <f t="shared" ref="D26:D33" si="1">SUM(C26/B26)*100</f>
        <v>#DIV/0!</v>
      </c>
      <c r="E26" s="20">
        <v>53.52</v>
      </c>
      <c r="F26" s="103" t="s">
        <v>167</v>
      </c>
    </row>
    <row r="27" spans="1:6" x14ac:dyDescent="0.25">
      <c r="A27" s="3">
        <v>2</v>
      </c>
      <c r="B27" s="91"/>
      <c r="C27" s="91"/>
      <c r="D27" s="20" t="e">
        <f>SUM(C27/B27)*100</f>
        <v>#DIV/0!</v>
      </c>
      <c r="E27" s="20">
        <v>53.52</v>
      </c>
      <c r="F27" s="103" t="s">
        <v>167</v>
      </c>
    </row>
    <row r="28" spans="1:6" x14ac:dyDescent="0.25">
      <c r="A28" s="22">
        <v>3</v>
      </c>
      <c r="B28" s="92"/>
      <c r="C28" s="92"/>
      <c r="D28" s="20" t="e">
        <f t="shared" si="1"/>
        <v>#DIV/0!</v>
      </c>
      <c r="E28" s="36">
        <v>53.52</v>
      </c>
      <c r="F28" s="103" t="s">
        <v>167</v>
      </c>
    </row>
    <row r="29" spans="1:6" x14ac:dyDescent="0.25">
      <c r="A29" s="22">
        <v>4</v>
      </c>
      <c r="B29" s="92"/>
      <c r="C29" s="92"/>
      <c r="D29" s="20" t="e">
        <f t="shared" si="1"/>
        <v>#DIV/0!</v>
      </c>
      <c r="E29" s="36">
        <v>53.52</v>
      </c>
      <c r="F29" s="104" t="s">
        <v>167</v>
      </c>
    </row>
    <row r="30" spans="1:6" x14ac:dyDescent="0.25">
      <c r="A30" s="22">
        <v>5</v>
      </c>
      <c r="B30" s="92"/>
      <c r="C30" s="92"/>
      <c r="D30" s="20" t="e">
        <f t="shared" si="1"/>
        <v>#DIV/0!</v>
      </c>
      <c r="E30" s="36">
        <v>53.52</v>
      </c>
      <c r="F30" s="104" t="s">
        <v>167</v>
      </c>
    </row>
    <row r="31" spans="1:6" x14ac:dyDescent="0.25">
      <c r="A31" s="22">
        <v>6</v>
      </c>
      <c r="B31" s="92"/>
      <c r="C31" s="92"/>
      <c r="D31" s="20" t="e">
        <f t="shared" si="1"/>
        <v>#DIV/0!</v>
      </c>
      <c r="E31" s="36">
        <v>57.77</v>
      </c>
      <c r="F31" s="104" t="s">
        <v>167</v>
      </c>
    </row>
    <row r="32" spans="1:6" x14ac:dyDescent="0.25">
      <c r="A32" s="22">
        <v>7</v>
      </c>
      <c r="B32" s="92"/>
      <c r="C32" s="92"/>
      <c r="D32" s="20" t="e">
        <f t="shared" si="1"/>
        <v>#DIV/0!</v>
      </c>
      <c r="E32" s="36">
        <v>57.77</v>
      </c>
      <c r="F32" s="104" t="s">
        <v>167</v>
      </c>
    </row>
    <row r="33" spans="1:6" x14ac:dyDescent="0.25">
      <c r="A33" s="22">
        <v>8</v>
      </c>
      <c r="B33" s="92"/>
      <c r="C33" s="92"/>
      <c r="D33" s="20" t="e">
        <f t="shared" si="1"/>
        <v>#DIV/0!</v>
      </c>
      <c r="E33" s="36">
        <v>57.77</v>
      </c>
      <c r="F33" s="104" t="s">
        <v>167</v>
      </c>
    </row>
    <row r="34" spans="1:6" x14ac:dyDescent="0.25">
      <c r="A34" s="34"/>
      <c r="B34" s="211" t="s">
        <v>60</v>
      </c>
      <c r="C34" s="211"/>
      <c r="D34" s="211"/>
      <c r="E34" s="211"/>
      <c r="F34" s="211"/>
    </row>
    <row r="35" spans="1:6" x14ac:dyDescent="0.25">
      <c r="A35" s="34"/>
      <c r="B35" s="212" t="s">
        <v>105</v>
      </c>
      <c r="C35" s="212"/>
      <c r="D35" s="212"/>
      <c r="E35" s="212"/>
      <c r="F35" s="54" t="s">
        <v>112</v>
      </c>
    </row>
    <row r="36" spans="1:6" ht="90" x14ac:dyDescent="0.25">
      <c r="A36" s="3" t="s">
        <v>0</v>
      </c>
      <c r="B36" s="14" t="s">
        <v>78</v>
      </c>
      <c r="C36" s="14" t="s">
        <v>176</v>
      </c>
      <c r="D36" s="14" t="s">
        <v>177</v>
      </c>
      <c r="E36" s="14" t="s">
        <v>104</v>
      </c>
      <c r="F36" s="14" t="s">
        <v>113</v>
      </c>
    </row>
    <row r="37" spans="1:6" x14ac:dyDescent="0.25">
      <c r="A37" s="3" t="s">
        <v>1</v>
      </c>
      <c r="B37" s="91"/>
      <c r="C37" s="91"/>
      <c r="D37" s="20" t="e">
        <f>SUM(C37/B37)*100</f>
        <v>#DIV/0!</v>
      </c>
      <c r="E37" s="20">
        <v>70.89</v>
      </c>
      <c r="F37" s="103" t="s">
        <v>167</v>
      </c>
    </row>
    <row r="38" spans="1:6" x14ac:dyDescent="0.25">
      <c r="A38" s="3">
        <v>1</v>
      </c>
      <c r="B38" s="91"/>
      <c r="C38" s="91"/>
      <c r="D38" s="20" t="e">
        <f t="shared" ref="D38:D45" si="2">SUM(C38/B38)*100</f>
        <v>#DIV/0!</v>
      </c>
      <c r="E38" s="20">
        <v>70.89</v>
      </c>
      <c r="F38" s="103" t="s">
        <v>167</v>
      </c>
    </row>
    <row r="39" spans="1:6" x14ac:dyDescent="0.25">
      <c r="A39" s="3">
        <v>2</v>
      </c>
      <c r="B39" s="91"/>
      <c r="C39" s="91"/>
      <c r="D39" s="20" t="e">
        <f>SUM(C39/B39)*100</f>
        <v>#DIV/0!</v>
      </c>
      <c r="E39" s="20">
        <v>70.89</v>
      </c>
      <c r="F39" s="103" t="s">
        <v>167</v>
      </c>
    </row>
    <row r="40" spans="1:6" x14ac:dyDescent="0.25">
      <c r="A40" s="22">
        <v>3</v>
      </c>
      <c r="B40" s="92"/>
      <c r="C40" s="92"/>
      <c r="D40" s="20" t="e">
        <f t="shared" si="2"/>
        <v>#DIV/0!</v>
      </c>
      <c r="E40" s="36">
        <v>70.89</v>
      </c>
      <c r="F40" s="103" t="s">
        <v>167</v>
      </c>
    </row>
    <row r="41" spans="1:6" x14ac:dyDescent="0.25">
      <c r="A41" s="22">
        <v>4</v>
      </c>
      <c r="B41" s="92"/>
      <c r="C41" s="92"/>
      <c r="D41" s="20" t="e">
        <f t="shared" si="2"/>
        <v>#DIV/0!</v>
      </c>
      <c r="E41" s="36">
        <v>70.89</v>
      </c>
      <c r="F41" s="104" t="s">
        <v>167</v>
      </c>
    </row>
    <row r="42" spans="1:6" x14ac:dyDescent="0.25">
      <c r="A42" s="22">
        <v>5</v>
      </c>
      <c r="B42" s="92"/>
      <c r="C42" s="92"/>
      <c r="D42" s="20" t="e">
        <f t="shared" si="2"/>
        <v>#DIV/0!</v>
      </c>
      <c r="E42" s="36">
        <v>70.89</v>
      </c>
      <c r="F42" s="104" t="s">
        <v>167</v>
      </c>
    </row>
    <row r="43" spans="1:6" x14ac:dyDescent="0.25">
      <c r="A43" s="22">
        <v>6</v>
      </c>
      <c r="B43" s="92"/>
      <c r="C43" s="92"/>
      <c r="D43" s="20" t="e">
        <f t="shared" si="2"/>
        <v>#DIV/0!</v>
      </c>
      <c r="E43" s="36">
        <v>52.48</v>
      </c>
      <c r="F43" s="104" t="s">
        <v>167</v>
      </c>
    </row>
    <row r="44" spans="1:6" x14ac:dyDescent="0.25">
      <c r="A44" s="22">
        <v>7</v>
      </c>
      <c r="B44" s="92"/>
      <c r="C44" s="92"/>
      <c r="D44" s="20" t="e">
        <f t="shared" si="2"/>
        <v>#DIV/0!</v>
      </c>
      <c r="E44" s="36">
        <v>52.48</v>
      </c>
      <c r="F44" s="104" t="s">
        <v>167</v>
      </c>
    </row>
    <row r="45" spans="1:6" x14ac:dyDescent="0.25">
      <c r="A45" s="22">
        <v>8</v>
      </c>
      <c r="B45" s="92"/>
      <c r="C45" s="92"/>
      <c r="D45" s="20" t="e">
        <f t="shared" si="2"/>
        <v>#DIV/0!</v>
      </c>
      <c r="E45" s="36">
        <v>52.48</v>
      </c>
      <c r="F45" s="104" t="s">
        <v>167</v>
      </c>
    </row>
    <row r="46" spans="1:6" x14ac:dyDescent="0.25">
      <c r="A46" s="34"/>
      <c r="B46" s="205" t="s">
        <v>103</v>
      </c>
      <c r="C46" s="205"/>
      <c r="D46" s="205"/>
      <c r="E46" s="205"/>
      <c r="F46" s="205"/>
    </row>
    <row r="47" spans="1:6" x14ac:dyDescent="0.25">
      <c r="A47" s="34"/>
      <c r="B47" s="206" t="s">
        <v>105</v>
      </c>
      <c r="C47" s="206"/>
      <c r="D47" s="206"/>
      <c r="E47" s="206"/>
      <c r="F47" s="55" t="s">
        <v>112</v>
      </c>
    </row>
    <row r="48" spans="1:6" ht="90" x14ac:dyDescent="0.25">
      <c r="A48" s="3" t="s">
        <v>0</v>
      </c>
      <c r="B48" s="19" t="s">
        <v>78</v>
      </c>
      <c r="C48" s="19" t="s">
        <v>176</v>
      </c>
      <c r="D48" s="19" t="s">
        <v>177</v>
      </c>
      <c r="E48" s="19" t="s">
        <v>104</v>
      </c>
      <c r="F48" s="19" t="s">
        <v>113</v>
      </c>
    </row>
    <row r="49" spans="1:6" x14ac:dyDescent="0.25">
      <c r="A49" s="3">
        <v>2</v>
      </c>
      <c r="B49" s="91"/>
      <c r="C49" s="91"/>
      <c r="D49" s="20" t="e">
        <f>SUM(C49/B49)*100</f>
        <v>#DIV/0!</v>
      </c>
      <c r="E49" s="20">
        <v>47.53</v>
      </c>
      <c r="F49" s="103" t="s">
        <v>167</v>
      </c>
    </row>
    <row r="50" spans="1:6" x14ac:dyDescent="0.25">
      <c r="A50" s="22">
        <v>3</v>
      </c>
      <c r="B50" s="92"/>
      <c r="C50" s="92"/>
      <c r="D50" s="20" t="e">
        <f>SUM(C50/B50)*100</f>
        <v>#DIV/0!</v>
      </c>
      <c r="E50" s="36">
        <v>47.53</v>
      </c>
      <c r="F50" s="103" t="s">
        <v>167</v>
      </c>
    </row>
    <row r="51" spans="1:6" x14ac:dyDescent="0.25">
      <c r="A51" s="22">
        <v>4</v>
      </c>
      <c r="B51" s="92"/>
      <c r="C51" s="92"/>
      <c r="D51" s="20" t="e">
        <f t="shared" ref="D51:D55" si="3">SUM(C51/B51)*100</f>
        <v>#DIV/0!</v>
      </c>
      <c r="E51" s="36">
        <v>47.53</v>
      </c>
      <c r="F51" s="104" t="s">
        <v>167</v>
      </c>
    </row>
    <row r="52" spans="1:6" x14ac:dyDescent="0.25">
      <c r="A52" s="22">
        <v>5</v>
      </c>
      <c r="B52" s="92"/>
      <c r="C52" s="92"/>
      <c r="D52" s="20" t="e">
        <f t="shared" si="3"/>
        <v>#DIV/0!</v>
      </c>
      <c r="E52" s="36">
        <v>47.53</v>
      </c>
      <c r="F52" s="104" t="s">
        <v>167</v>
      </c>
    </row>
    <row r="53" spans="1:6" x14ac:dyDescent="0.25">
      <c r="A53" s="22">
        <v>6</v>
      </c>
      <c r="B53" s="92"/>
      <c r="C53" s="92"/>
      <c r="D53" s="20" t="e">
        <f t="shared" si="3"/>
        <v>#DIV/0!</v>
      </c>
      <c r="E53" s="36">
        <v>48</v>
      </c>
      <c r="F53" s="104" t="s">
        <v>167</v>
      </c>
    </row>
    <row r="54" spans="1:6" x14ac:dyDescent="0.25">
      <c r="A54" s="22">
        <v>7</v>
      </c>
      <c r="B54" s="92"/>
      <c r="C54" s="92"/>
      <c r="D54" s="20" t="e">
        <f t="shared" si="3"/>
        <v>#DIV/0!</v>
      </c>
      <c r="E54" s="36">
        <v>48</v>
      </c>
      <c r="F54" s="104" t="s">
        <v>167</v>
      </c>
    </row>
    <row r="55" spans="1:6" x14ac:dyDescent="0.25">
      <c r="A55" s="22">
        <v>8</v>
      </c>
      <c r="B55" s="92"/>
      <c r="C55" s="92"/>
      <c r="D55" s="20" t="e">
        <f t="shared" si="3"/>
        <v>#DIV/0!</v>
      </c>
      <c r="E55" s="36">
        <v>48</v>
      </c>
      <c r="F55" s="104" t="s">
        <v>167</v>
      </c>
    </row>
  </sheetData>
  <sheetProtection password="CDF6" sheet="1" objects="1" scenarios="1"/>
  <mergeCells count="17">
    <mergeCell ref="B46:F46"/>
    <mergeCell ref="B47:E47"/>
    <mergeCell ref="A9:D9"/>
    <mergeCell ref="B22:F22"/>
    <mergeCell ref="B23:E23"/>
    <mergeCell ref="B34:F34"/>
    <mergeCell ref="B35:E35"/>
    <mergeCell ref="B1:J1"/>
    <mergeCell ref="B2:J2"/>
    <mergeCell ref="B3:J3"/>
    <mergeCell ref="B4:J4"/>
    <mergeCell ref="B5:J5"/>
    <mergeCell ref="B6:J6"/>
    <mergeCell ref="A7:J7"/>
    <mergeCell ref="B10:F10"/>
    <mergeCell ref="B11:E11"/>
    <mergeCell ref="A8:D8"/>
  </mergeCells>
  <conditionalFormatting sqref="D13:D21">
    <cfRule type="cellIs" dxfId="115" priority="131" operator="lessThan">
      <formula>E13</formula>
    </cfRule>
    <cfRule type="cellIs" dxfId="114" priority="132" operator="greaterThanOrEqual">
      <formula>E13</formula>
    </cfRule>
  </conditionalFormatting>
  <conditionalFormatting sqref="F13:F21">
    <cfRule type="cellIs" dxfId="113" priority="61" operator="lessThanOrEqual">
      <formula>1</formula>
    </cfRule>
    <cfRule type="cellIs" dxfId="112" priority="62" operator="greaterThanOrEqual">
      <formula>2</formula>
    </cfRule>
  </conditionalFormatting>
  <conditionalFormatting sqref="F13:F21 D13:D21">
    <cfRule type="cellIs" dxfId="111" priority="54" operator="equal">
      <formula>"-"</formula>
    </cfRule>
  </conditionalFormatting>
  <conditionalFormatting sqref="F49:F55">
    <cfRule type="cellIs" dxfId="110" priority="17" operator="lessThanOrEqual">
      <formula>1</formula>
    </cfRule>
    <cfRule type="cellIs" dxfId="109" priority="18" operator="greaterThanOrEqual">
      <formula>2</formula>
    </cfRule>
  </conditionalFormatting>
  <conditionalFormatting sqref="F49:F55">
    <cfRule type="cellIs" dxfId="108" priority="16" operator="equal">
      <formula>"-"</formula>
    </cfRule>
  </conditionalFormatting>
  <conditionalFormatting sqref="F25:F33">
    <cfRule type="cellIs" dxfId="107" priority="45" operator="lessThanOrEqual">
      <formula>1</formula>
    </cfRule>
    <cfRule type="cellIs" dxfId="106" priority="46" operator="greaterThanOrEqual">
      <formula>2</formula>
    </cfRule>
  </conditionalFormatting>
  <conditionalFormatting sqref="F25:F33">
    <cfRule type="cellIs" dxfId="105" priority="44" operator="equal">
      <formula>"-"</formula>
    </cfRule>
  </conditionalFormatting>
  <conditionalFormatting sqref="F37:F45">
    <cfRule type="cellIs" dxfId="104" priority="35" operator="lessThanOrEqual">
      <formula>1</formula>
    </cfRule>
    <cfRule type="cellIs" dxfId="103" priority="36" operator="greaterThanOrEqual">
      <formula>2</formula>
    </cfRule>
  </conditionalFormatting>
  <conditionalFormatting sqref="F37:F45">
    <cfRule type="cellIs" dxfId="102" priority="34" operator="equal">
      <formula>"-"</formula>
    </cfRule>
  </conditionalFormatting>
  <conditionalFormatting sqref="D37:D45">
    <cfRule type="cellIs" dxfId="101" priority="5" operator="lessThan">
      <formula>E37</formula>
    </cfRule>
    <cfRule type="cellIs" dxfId="100" priority="6" operator="greaterThanOrEqual">
      <formula>E37</formula>
    </cfRule>
  </conditionalFormatting>
  <conditionalFormatting sqref="D37:D45">
    <cfRule type="cellIs" dxfId="99" priority="4" operator="equal">
      <formula>"-"</formula>
    </cfRule>
  </conditionalFormatting>
  <conditionalFormatting sqref="D25:D33">
    <cfRule type="cellIs" dxfId="98" priority="8" operator="lessThan">
      <formula>E25</formula>
    </cfRule>
    <cfRule type="cellIs" dxfId="97" priority="9" operator="greaterThanOrEqual">
      <formula>E25</formula>
    </cfRule>
  </conditionalFormatting>
  <conditionalFormatting sqref="D25:D33">
    <cfRule type="cellIs" dxfId="96" priority="7" operator="equal">
      <formula>"-"</formula>
    </cfRule>
  </conditionalFormatting>
  <conditionalFormatting sqref="D49:D55">
    <cfRule type="cellIs" dxfId="95" priority="2" operator="lessThan">
      <formula>E49</formula>
    </cfRule>
    <cfRule type="cellIs" dxfId="94" priority="3" operator="greaterThanOrEqual">
      <formula>E49</formula>
    </cfRule>
  </conditionalFormatting>
  <conditionalFormatting sqref="D49:D55">
    <cfRule type="cellIs" dxfId="93" priority="1" operator="equal">
      <formula>"-"</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workbookViewId="0"/>
  </sheetViews>
  <sheetFormatPr defaultRowHeight="15" x14ac:dyDescent="0.25"/>
  <cols>
    <col min="1" max="1" width="11.7109375" customWidth="1"/>
    <col min="2" max="9" width="15.42578125" customWidth="1"/>
    <col min="10" max="25" width="11.85546875" customWidth="1"/>
  </cols>
  <sheetData>
    <row r="1" spans="1:13" ht="30" x14ac:dyDescent="0.3">
      <c r="A1" s="119" t="s">
        <v>85</v>
      </c>
      <c r="B1" s="153" t="s">
        <v>114</v>
      </c>
      <c r="C1" s="153"/>
      <c r="D1" s="153"/>
      <c r="E1" s="153"/>
      <c r="F1" s="153"/>
      <c r="G1" s="153"/>
      <c r="H1" s="153"/>
      <c r="I1" s="153"/>
      <c r="J1" s="153"/>
      <c r="K1" s="153"/>
      <c r="L1" s="153"/>
      <c r="M1" s="153"/>
    </row>
    <row r="2" spans="1:13" ht="18.75" x14ac:dyDescent="0.3">
      <c r="A2" s="119" t="s">
        <v>86</v>
      </c>
      <c r="B2" s="153" t="s">
        <v>115</v>
      </c>
      <c r="C2" s="153"/>
      <c r="D2" s="153"/>
      <c r="E2" s="153"/>
      <c r="F2" s="153"/>
      <c r="G2" s="153"/>
      <c r="H2" s="153"/>
      <c r="I2" s="153"/>
      <c r="J2" s="153"/>
      <c r="K2" s="153"/>
      <c r="L2" s="153"/>
      <c r="M2" s="153"/>
    </row>
    <row r="3" spans="1:13" ht="48" customHeight="1" x14ac:dyDescent="0.25">
      <c r="A3" s="120" t="s">
        <v>87</v>
      </c>
      <c r="B3" s="158" t="s">
        <v>116</v>
      </c>
      <c r="C3" s="158"/>
      <c r="D3" s="158"/>
      <c r="E3" s="158"/>
      <c r="F3" s="158"/>
      <c r="G3" s="158"/>
      <c r="H3" s="158"/>
      <c r="I3" s="158"/>
      <c r="J3" s="158"/>
      <c r="K3" s="158"/>
      <c r="L3" s="158"/>
      <c r="M3" s="158"/>
    </row>
    <row r="4" spans="1:13" ht="60" x14ac:dyDescent="0.25">
      <c r="A4" s="119" t="s">
        <v>88</v>
      </c>
      <c r="B4" s="157" t="s">
        <v>117</v>
      </c>
      <c r="C4" s="157"/>
      <c r="D4" s="157"/>
      <c r="E4" s="157"/>
      <c r="F4" s="157"/>
      <c r="G4" s="157"/>
      <c r="H4" s="157"/>
      <c r="I4" s="157"/>
      <c r="J4" s="157"/>
      <c r="K4" s="157"/>
      <c r="L4" s="157"/>
      <c r="M4" s="157"/>
    </row>
    <row r="5" spans="1:13" ht="63.75" customHeight="1" x14ac:dyDescent="0.25">
      <c r="A5" s="120" t="s">
        <v>89</v>
      </c>
      <c r="B5" s="182" t="s">
        <v>118</v>
      </c>
      <c r="C5" s="183"/>
      <c r="D5" s="183"/>
      <c r="E5" s="183"/>
      <c r="F5" s="183"/>
      <c r="G5" s="183"/>
      <c r="H5" s="183"/>
      <c r="I5" s="183"/>
      <c r="J5" s="183"/>
      <c r="K5" s="183"/>
      <c r="L5" s="183"/>
      <c r="M5" s="184"/>
    </row>
    <row r="6" spans="1:13" ht="75.75" customHeight="1" x14ac:dyDescent="0.25">
      <c r="A6" s="121" t="s">
        <v>90</v>
      </c>
      <c r="B6" s="155" t="s">
        <v>119</v>
      </c>
      <c r="C6" s="155"/>
      <c r="D6" s="155"/>
      <c r="E6" s="155"/>
      <c r="F6" s="155"/>
      <c r="G6" s="155"/>
      <c r="H6" s="155"/>
      <c r="I6" s="155"/>
      <c r="J6" s="155"/>
      <c r="K6" s="155"/>
      <c r="L6" s="155"/>
      <c r="M6" s="155"/>
    </row>
    <row r="7" spans="1:13" ht="18.75" x14ac:dyDescent="0.3">
      <c r="A7" s="179" t="s">
        <v>92</v>
      </c>
      <c r="B7" s="179"/>
      <c r="C7" s="179"/>
      <c r="D7" s="179"/>
      <c r="E7" s="179"/>
      <c r="F7" s="179"/>
      <c r="G7" s="179"/>
      <c r="H7" s="179"/>
      <c r="I7" s="179"/>
      <c r="J7" s="179"/>
      <c r="K7" s="179"/>
      <c r="L7" s="179"/>
      <c r="M7" s="179"/>
    </row>
    <row r="8" spans="1:13" x14ac:dyDescent="0.25">
      <c r="A8" s="150" t="s">
        <v>76</v>
      </c>
      <c r="B8" s="151"/>
      <c r="C8" s="152"/>
      <c r="D8" s="95"/>
      <c r="E8" s="31"/>
    </row>
    <row r="9" spans="1:13" x14ac:dyDescent="0.25">
      <c r="A9" s="147" t="s">
        <v>77</v>
      </c>
      <c r="B9" s="185"/>
      <c r="C9" s="186"/>
      <c r="D9" s="91"/>
      <c r="E9" s="27"/>
    </row>
    <row r="10" spans="1:13" x14ac:dyDescent="0.25">
      <c r="A10" s="28"/>
      <c r="B10" s="215" t="s">
        <v>75</v>
      </c>
      <c r="C10" s="216"/>
      <c r="D10" s="216"/>
      <c r="E10" s="216"/>
      <c r="F10" s="144"/>
      <c r="G10" s="144"/>
      <c r="H10" s="144"/>
      <c r="I10" s="145"/>
    </row>
    <row r="11" spans="1:13" ht="31.5" customHeight="1" x14ac:dyDescent="0.25">
      <c r="A11" s="29"/>
      <c r="B11" s="140" t="s">
        <v>120</v>
      </c>
      <c r="C11" s="141"/>
      <c r="D11" s="142"/>
      <c r="E11" s="140" t="s">
        <v>66</v>
      </c>
      <c r="F11" s="141"/>
      <c r="G11" s="142"/>
      <c r="H11" s="213" t="s">
        <v>122</v>
      </c>
      <c r="I11" s="214"/>
    </row>
    <row r="12" spans="1:13" ht="60" x14ac:dyDescent="0.25">
      <c r="A12" s="3" t="s">
        <v>0</v>
      </c>
      <c r="B12" s="15" t="s">
        <v>79</v>
      </c>
      <c r="C12" s="15" t="s">
        <v>68</v>
      </c>
      <c r="D12" s="15" t="s">
        <v>69</v>
      </c>
      <c r="E12" s="15" t="s">
        <v>78</v>
      </c>
      <c r="F12" s="15" t="s">
        <v>70</v>
      </c>
      <c r="G12" s="15" t="s">
        <v>69</v>
      </c>
      <c r="H12" s="15" t="s">
        <v>121</v>
      </c>
      <c r="I12" s="15" t="s">
        <v>123</v>
      </c>
    </row>
    <row r="13" spans="1:13" x14ac:dyDescent="0.25">
      <c r="A13" s="3" t="s">
        <v>1</v>
      </c>
      <c r="B13" s="91"/>
      <c r="C13" s="93" t="s">
        <v>167</v>
      </c>
      <c r="D13" s="2">
        <v>494</v>
      </c>
      <c r="E13" s="91"/>
      <c r="F13" s="93" t="s">
        <v>167</v>
      </c>
      <c r="G13" s="2">
        <v>600</v>
      </c>
      <c r="H13" s="2">
        <v>50</v>
      </c>
      <c r="I13" s="93" t="s">
        <v>167</v>
      </c>
    </row>
    <row r="14" spans="1:13" x14ac:dyDescent="0.25">
      <c r="A14" s="3">
        <v>1</v>
      </c>
      <c r="B14" s="91"/>
      <c r="C14" s="93" t="s">
        <v>167</v>
      </c>
      <c r="D14" s="2">
        <v>587</v>
      </c>
      <c r="E14" s="91"/>
      <c r="F14" s="93" t="s">
        <v>167</v>
      </c>
      <c r="G14" s="2">
        <v>747</v>
      </c>
      <c r="H14" s="2">
        <v>50</v>
      </c>
      <c r="I14" s="93" t="s">
        <v>167</v>
      </c>
    </row>
    <row r="15" spans="1:13" x14ac:dyDescent="0.25">
      <c r="A15" s="3">
        <v>2</v>
      </c>
      <c r="B15" s="91"/>
      <c r="C15" s="93" t="s">
        <v>167</v>
      </c>
      <c r="D15" s="2">
        <v>730</v>
      </c>
      <c r="E15" s="91"/>
      <c r="F15" s="93" t="s">
        <v>167</v>
      </c>
      <c r="G15" s="2">
        <v>803</v>
      </c>
      <c r="H15" s="2">
        <v>50</v>
      </c>
      <c r="I15" s="93" t="s">
        <v>167</v>
      </c>
    </row>
    <row r="16" spans="1:13" x14ac:dyDescent="0.25">
      <c r="A16" s="22">
        <v>3</v>
      </c>
      <c r="B16" s="92"/>
      <c r="C16" s="94" t="s">
        <v>167</v>
      </c>
      <c r="D16" s="4">
        <v>796</v>
      </c>
      <c r="E16" s="92"/>
      <c r="F16" s="94" t="s">
        <v>167</v>
      </c>
      <c r="G16" s="4">
        <v>838</v>
      </c>
      <c r="H16" s="2">
        <v>50</v>
      </c>
      <c r="I16" s="93" t="s">
        <v>167</v>
      </c>
    </row>
    <row r="17" spans="1:9" x14ac:dyDescent="0.25">
      <c r="A17" s="28"/>
      <c r="B17" s="161" t="s">
        <v>57</v>
      </c>
      <c r="C17" s="162"/>
      <c r="D17" s="162"/>
      <c r="E17" s="162"/>
      <c r="F17" s="162"/>
      <c r="G17" s="162"/>
      <c r="H17" s="162"/>
      <c r="I17" s="163"/>
    </row>
    <row r="18" spans="1:9" x14ac:dyDescent="0.25">
      <c r="A18" s="29"/>
      <c r="B18" s="164" t="s">
        <v>120</v>
      </c>
      <c r="C18" s="165"/>
      <c r="D18" s="166"/>
      <c r="E18" s="164" t="s">
        <v>66</v>
      </c>
      <c r="F18" s="165"/>
      <c r="G18" s="166"/>
      <c r="H18" s="219" t="s">
        <v>122</v>
      </c>
      <c r="I18" s="166"/>
    </row>
    <row r="19" spans="1:9" ht="60" x14ac:dyDescent="0.25">
      <c r="A19" s="3" t="s">
        <v>0</v>
      </c>
      <c r="B19" s="16" t="s">
        <v>78</v>
      </c>
      <c r="C19" s="16" t="s">
        <v>68</v>
      </c>
      <c r="D19" s="16" t="s">
        <v>69</v>
      </c>
      <c r="E19" s="16" t="s">
        <v>78</v>
      </c>
      <c r="F19" s="16" t="s">
        <v>70</v>
      </c>
      <c r="G19" s="16" t="s">
        <v>69</v>
      </c>
      <c r="H19" s="16" t="s">
        <v>73</v>
      </c>
      <c r="I19" s="16" t="s">
        <v>123</v>
      </c>
    </row>
    <row r="20" spans="1:9" x14ac:dyDescent="0.25">
      <c r="A20" s="3">
        <v>1</v>
      </c>
      <c r="B20" s="91"/>
      <c r="C20" s="93" t="s">
        <v>167</v>
      </c>
      <c r="D20" s="21">
        <v>78</v>
      </c>
      <c r="E20" s="91"/>
      <c r="F20" s="93" t="s">
        <v>167</v>
      </c>
      <c r="G20" s="21">
        <v>181</v>
      </c>
      <c r="H20" s="2">
        <v>50</v>
      </c>
      <c r="I20" s="93" t="s">
        <v>167</v>
      </c>
    </row>
    <row r="21" spans="1:9" x14ac:dyDescent="0.25">
      <c r="A21" s="3">
        <v>2</v>
      </c>
      <c r="B21" s="91"/>
      <c r="C21" s="93" t="s">
        <v>167</v>
      </c>
      <c r="D21" s="2">
        <v>197</v>
      </c>
      <c r="E21" s="91"/>
      <c r="F21" s="93" t="s">
        <v>167</v>
      </c>
      <c r="G21" s="2">
        <v>334</v>
      </c>
      <c r="H21" s="2">
        <v>50</v>
      </c>
      <c r="I21" s="93" t="s">
        <v>167</v>
      </c>
    </row>
    <row r="22" spans="1:9" x14ac:dyDescent="0.25">
      <c r="A22" s="22">
        <v>3</v>
      </c>
      <c r="B22" s="92"/>
      <c r="C22" s="94" t="s">
        <v>167</v>
      </c>
      <c r="D22" s="4">
        <v>344</v>
      </c>
      <c r="E22" s="92"/>
      <c r="F22" s="94" t="s">
        <v>167</v>
      </c>
      <c r="G22" s="4">
        <v>436</v>
      </c>
      <c r="H22" s="2">
        <v>50</v>
      </c>
      <c r="I22" s="93" t="s">
        <v>167</v>
      </c>
    </row>
    <row r="23" spans="1:9" x14ac:dyDescent="0.25">
      <c r="A23" s="22">
        <v>4</v>
      </c>
      <c r="B23" s="92"/>
      <c r="C23" s="94" t="s">
        <v>167</v>
      </c>
      <c r="D23" s="4">
        <v>445</v>
      </c>
      <c r="E23" s="92"/>
      <c r="F23" s="94" t="s">
        <v>167</v>
      </c>
      <c r="G23" s="4">
        <v>515</v>
      </c>
      <c r="H23" s="4">
        <v>50</v>
      </c>
      <c r="I23" s="94" t="s">
        <v>167</v>
      </c>
    </row>
    <row r="24" spans="1:9" x14ac:dyDescent="0.25">
      <c r="A24" s="22">
        <v>5</v>
      </c>
      <c r="B24" s="92"/>
      <c r="C24" s="94" t="s">
        <v>167</v>
      </c>
      <c r="D24" s="4">
        <v>524</v>
      </c>
      <c r="E24" s="92"/>
      <c r="F24" s="94" t="s">
        <v>167</v>
      </c>
      <c r="G24" s="4">
        <v>619</v>
      </c>
      <c r="H24" s="4">
        <v>50</v>
      </c>
      <c r="I24" s="94" t="s">
        <v>167</v>
      </c>
    </row>
    <row r="25" spans="1:9" x14ac:dyDescent="0.25">
      <c r="A25" s="22">
        <v>6</v>
      </c>
      <c r="B25" s="92"/>
      <c r="C25" s="94" t="s">
        <v>167</v>
      </c>
      <c r="D25" s="4">
        <v>631</v>
      </c>
      <c r="E25" s="92"/>
      <c r="F25" s="94" t="s">
        <v>167</v>
      </c>
      <c r="G25" s="4">
        <v>757</v>
      </c>
      <c r="H25" s="4">
        <v>50</v>
      </c>
      <c r="I25" s="94" t="s">
        <v>167</v>
      </c>
    </row>
    <row r="26" spans="1:9" x14ac:dyDescent="0.25">
      <c r="A26" s="22">
        <v>7</v>
      </c>
      <c r="B26" s="92"/>
      <c r="C26" s="94" t="s">
        <v>167</v>
      </c>
      <c r="D26" s="4">
        <v>773</v>
      </c>
      <c r="E26" s="92"/>
      <c r="F26" s="94" t="s">
        <v>167</v>
      </c>
      <c r="G26" s="4">
        <v>861</v>
      </c>
      <c r="H26" s="4">
        <v>50</v>
      </c>
      <c r="I26" s="94" t="s">
        <v>167</v>
      </c>
    </row>
    <row r="27" spans="1:9" x14ac:dyDescent="0.25">
      <c r="A27" s="22">
        <v>8</v>
      </c>
      <c r="B27" s="92"/>
      <c r="C27" s="94" t="s">
        <v>167</v>
      </c>
      <c r="D27" s="4">
        <v>876</v>
      </c>
      <c r="E27" s="92"/>
      <c r="F27" s="94" t="s">
        <v>167</v>
      </c>
      <c r="G27" s="4">
        <v>959</v>
      </c>
      <c r="H27" s="4">
        <v>50</v>
      </c>
      <c r="I27" s="94" t="s">
        <v>167</v>
      </c>
    </row>
    <row r="28" spans="1:9" x14ac:dyDescent="0.25">
      <c r="A28" s="22">
        <v>9</v>
      </c>
      <c r="B28" s="92"/>
      <c r="C28" s="94" t="s">
        <v>167</v>
      </c>
      <c r="D28" s="4">
        <v>967</v>
      </c>
      <c r="E28" s="92"/>
      <c r="F28" s="94" t="s">
        <v>167</v>
      </c>
      <c r="G28" s="4">
        <v>1068</v>
      </c>
      <c r="H28" s="4">
        <v>50</v>
      </c>
      <c r="I28" s="94" t="s">
        <v>167</v>
      </c>
    </row>
    <row r="29" spans="1:9" x14ac:dyDescent="0.25">
      <c r="A29" s="22">
        <v>10</v>
      </c>
      <c r="B29" s="92"/>
      <c r="C29" s="94" t="s">
        <v>167</v>
      </c>
      <c r="D29" s="4">
        <v>1075</v>
      </c>
      <c r="E29" s="92"/>
      <c r="F29" s="94" t="s">
        <v>167</v>
      </c>
      <c r="G29" s="4">
        <v>1126</v>
      </c>
      <c r="H29" s="4">
        <v>50</v>
      </c>
      <c r="I29" s="94" t="s">
        <v>167</v>
      </c>
    </row>
    <row r="30" spans="1:9" x14ac:dyDescent="0.25">
      <c r="A30" s="41">
        <v>11</v>
      </c>
      <c r="B30" s="91"/>
      <c r="C30" s="105" t="s">
        <v>167</v>
      </c>
      <c r="D30" s="42">
        <v>1132</v>
      </c>
      <c r="E30" s="91"/>
      <c r="F30" s="105" t="s">
        <v>167</v>
      </c>
      <c r="G30" s="42">
        <v>1173</v>
      </c>
      <c r="H30" s="42">
        <v>50</v>
      </c>
      <c r="I30" s="105" t="s">
        <v>167</v>
      </c>
    </row>
    <row r="31" spans="1:9" x14ac:dyDescent="0.25">
      <c r="A31" s="41">
        <v>12</v>
      </c>
      <c r="B31" s="91"/>
      <c r="C31" s="105" t="s">
        <v>167</v>
      </c>
      <c r="D31" s="42">
        <v>1178</v>
      </c>
      <c r="E31" s="91"/>
      <c r="F31" s="105" t="s">
        <v>167</v>
      </c>
      <c r="G31" s="42">
        <v>1220</v>
      </c>
      <c r="H31" s="42">
        <v>50</v>
      </c>
      <c r="I31" s="105" t="s">
        <v>167</v>
      </c>
    </row>
    <row r="32" spans="1:9" x14ac:dyDescent="0.25">
      <c r="A32" s="28"/>
      <c r="B32" s="167" t="s">
        <v>60</v>
      </c>
      <c r="C32" s="168"/>
      <c r="D32" s="168"/>
      <c r="E32" s="168"/>
      <c r="F32" s="168"/>
      <c r="G32" s="168"/>
      <c r="H32" s="168"/>
      <c r="I32" s="169"/>
    </row>
    <row r="33" spans="1:9" x14ac:dyDescent="0.25">
      <c r="A33" s="29"/>
      <c r="B33" s="137" t="s">
        <v>120</v>
      </c>
      <c r="C33" s="138"/>
      <c r="D33" s="139"/>
      <c r="E33" s="137" t="s">
        <v>66</v>
      </c>
      <c r="F33" s="138"/>
      <c r="G33" s="139"/>
      <c r="H33" s="217" t="s">
        <v>122</v>
      </c>
      <c r="I33" s="218"/>
    </row>
    <row r="34" spans="1:9" ht="60" x14ac:dyDescent="0.25">
      <c r="A34" s="3" t="s">
        <v>0</v>
      </c>
      <c r="B34" s="14" t="s">
        <v>78</v>
      </c>
      <c r="C34" s="14" t="s">
        <v>68</v>
      </c>
      <c r="D34" s="14" t="s">
        <v>69</v>
      </c>
      <c r="E34" s="14" t="s">
        <v>78</v>
      </c>
      <c r="F34" s="14" t="s">
        <v>70</v>
      </c>
      <c r="G34" s="14" t="s">
        <v>69</v>
      </c>
      <c r="H34" s="14" t="s">
        <v>73</v>
      </c>
      <c r="I34" s="14" t="s">
        <v>123</v>
      </c>
    </row>
    <row r="35" spans="1:9" x14ac:dyDescent="0.25">
      <c r="A35" s="3">
        <v>1</v>
      </c>
      <c r="B35" s="91"/>
      <c r="C35" s="93" t="s">
        <v>167</v>
      </c>
      <c r="D35" s="2">
        <v>263</v>
      </c>
      <c r="E35" s="91"/>
      <c r="F35" s="93" t="s">
        <v>167</v>
      </c>
      <c r="G35" s="2">
        <v>390</v>
      </c>
      <c r="H35" s="2">
        <v>50</v>
      </c>
      <c r="I35" s="93" t="s">
        <v>167</v>
      </c>
    </row>
    <row r="36" spans="1:9" x14ac:dyDescent="0.25">
      <c r="A36" s="3">
        <v>2</v>
      </c>
      <c r="B36" s="91"/>
      <c r="C36" s="93" t="s">
        <v>167</v>
      </c>
      <c r="D36" s="2">
        <v>414</v>
      </c>
      <c r="E36" s="91"/>
      <c r="F36" s="93" t="s">
        <v>167</v>
      </c>
      <c r="G36" s="2">
        <v>502</v>
      </c>
      <c r="H36" s="2">
        <v>50</v>
      </c>
      <c r="I36" s="93" t="s">
        <v>167</v>
      </c>
    </row>
    <row r="37" spans="1:9" x14ac:dyDescent="0.25">
      <c r="A37" s="22">
        <v>3</v>
      </c>
      <c r="B37" s="92"/>
      <c r="C37" s="94" t="s">
        <v>167</v>
      </c>
      <c r="D37" s="4">
        <v>500</v>
      </c>
      <c r="E37" s="92"/>
      <c r="F37" s="94" t="s">
        <v>167</v>
      </c>
      <c r="G37" s="4">
        <v>593</v>
      </c>
      <c r="H37" s="2">
        <v>50</v>
      </c>
      <c r="I37" s="93" t="s">
        <v>167</v>
      </c>
    </row>
    <row r="38" spans="1:9" x14ac:dyDescent="0.25">
      <c r="A38" s="22">
        <v>4</v>
      </c>
      <c r="B38" s="92"/>
      <c r="C38" s="94" t="s">
        <v>167</v>
      </c>
      <c r="D38" s="4">
        <v>585</v>
      </c>
      <c r="E38" s="92"/>
      <c r="F38" s="94" t="s">
        <v>167</v>
      </c>
      <c r="G38" s="4">
        <v>654</v>
      </c>
      <c r="H38" s="4">
        <v>50</v>
      </c>
      <c r="I38" s="94" t="s">
        <v>167</v>
      </c>
    </row>
    <row r="39" spans="1:9" x14ac:dyDescent="0.25">
      <c r="A39" s="22">
        <v>5</v>
      </c>
      <c r="B39" s="92"/>
      <c r="C39" s="94" t="s">
        <v>167</v>
      </c>
      <c r="D39" s="4">
        <v>650</v>
      </c>
      <c r="E39" s="92"/>
      <c r="F39" s="94" t="s">
        <v>167</v>
      </c>
      <c r="G39" s="4">
        <v>710</v>
      </c>
      <c r="H39" s="4">
        <v>50</v>
      </c>
      <c r="I39" s="94" t="s">
        <v>167</v>
      </c>
    </row>
    <row r="40" spans="1:9" x14ac:dyDescent="0.25">
      <c r="A40" s="22">
        <v>6</v>
      </c>
      <c r="B40" s="92"/>
      <c r="C40" s="94" t="s">
        <v>167</v>
      </c>
      <c r="D40" s="4">
        <v>718</v>
      </c>
      <c r="E40" s="92"/>
      <c r="F40" s="94" t="s">
        <v>167</v>
      </c>
      <c r="G40" s="4">
        <v>763</v>
      </c>
      <c r="H40" s="4">
        <v>50</v>
      </c>
      <c r="I40" s="94" t="s">
        <v>167</v>
      </c>
    </row>
    <row r="41" spans="1:9" x14ac:dyDescent="0.25">
      <c r="A41" s="22">
        <v>7</v>
      </c>
      <c r="B41" s="92"/>
      <c r="C41" s="94" t="s">
        <v>167</v>
      </c>
      <c r="D41" s="4">
        <v>757</v>
      </c>
      <c r="E41" s="92"/>
      <c r="F41" s="94" t="s">
        <v>167</v>
      </c>
      <c r="G41" s="4">
        <v>790</v>
      </c>
      <c r="H41" s="4">
        <v>50</v>
      </c>
      <c r="I41" s="94" t="s">
        <v>167</v>
      </c>
    </row>
    <row r="42" spans="1:9" x14ac:dyDescent="0.25">
      <c r="A42" s="22">
        <v>8</v>
      </c>
      <c r="B42" s="92"/>
      <c r="C42" s="94" t="s">
        <v>167</v>
      </c>
      <c r="D42" s="4">
        <v>790</v>
      </c>
      <c r="E42" s="92"/>
      <c r="F42" s="94" t="s">
        <v>167</v>
      </c>
      <c r="G42" s="4">
        <v>816</v>
      </c>
      <c r="H42" s="4">
        <v>50</v>
      </c>
      <c r="I42" s="94" t="s">
        <v>167</v>
      </c>
    </row>
    <row r="43" spans="1:9" x14ac:dyDescent="0.25">
      <c r="A43" s="22">
        <v>9</v>
      </c>
      <c r="B43" s="92"/>
      <c r="C43" s="94" t="s">
        <v>167</v>
      </c>
      <c r="D43" s="4">
        <v>802</v>
      </c>
      <c r="E43" s="92"/>
      <c r="F43" s="94" t="s">
        <v>167</v>
      </c>
      <c r="G43" s="4">
        <v>820</v>
      </c>
      <c r="H43" s="4">
        <v>50</v>
      </c>
      <c r="I43" s="94" t="s">
        <v>167</v>
      </c>
    </row>
    <row r="44" spans="1:9" x14ac:dyDescent="0.25">
      <c r="A44" s="22">
        <v>10</v>
      </c>
      <c r="B44" s="92"/>
      <c r="C44" s="94" t="s">
        <v>167</v>
      </c>
      <c r="D44" s="4">
        <v>806</v>
      </c>
      <c r="E44" s="92"/>
      <c r="F44" s="94" t="s">
        <v>167</v>
      </c>
      <c r="G44" s="4">
        <v>826</v>
      </c>
      <c r="H44" s="4">
        <v>50</v>
      </c>
      <c r="I44" s="94" t="s">
        <v>167</v>
      </c>
    </row>
    <row r="45" spans="1:9" x14ac:dyDescent="0.25">
      <c r="A45" s="41">
        <v>11</v>
      </c>
      <c r="B45" s="91"/>
      <c r="C45" s="105" t="s">
        <v>167</v>
      </c>
      <c r="D45" s="42">
        <v>828</v>
      </c>
      <c r="E45" s="91"/>
      <c r="F45" s="105" t="s">
        <v>167</v>
      </c>
      <c r="G45" s="42">
        <v>840</v>
      </c>
      <c r="H45" s="42">
        <v>50</v>
      </c>
      <c r="I45" s="105" t="s">
        <v>167</v>
      </c>
    </row>
    <row r="46" spans="1:9" x14ac:dyDescent="0.25">
      <c r="A46" s="41">
        <v>12</v>
      </c>
      <c r="B46" s="91"/>
      <c r="C46" s="105" t="s">
        <v>167</v>
      </c>
      <c r="D46" s="42">
        <v>843</v>
      </c>
      <c r="E46" s="91"/>
      <c r="F46" s="105" t="s">
        <v>167</v>
      </c>
      <c r="G46" s="42">
        <v>852</v>
      </c>
      <c r="H46" s="42">
        <v>50</v>
      </c>
      <c r="I46" s="105" t="s">
        <v>167</v>
      </c>
    </row>
  </sheetData>
  <sheetProtection password="CDF6" sheet="1" objects="1" scenarios="1"/>
  <mergeCells count="21">
    <mergeCell ref="B33:D33"/>
    <mergeCell ref="E33:G33"/>
    <mergeCell ref="H33:I33"/>
    <mergeCell ref="B17:I17"/>
    <mergeCell ref="B18:D18"/>
    <mergeCell ref="E18:G18"/>
    <mergeCell ref="H18:I18"/>
    <mergeCell ref="B32:I32"/>
    <mergeCell ref="B11:D11"/>
    <mergeCell ref="E11:G11"/>
    <mergeCell ref="H11:I11"/>
    <mergeCell ref="B1:M1"/>
    <mergeCell ref="B2:M2"/>
    <mergeCell ref="B3:M3"/>
    <mergeCell ref="B4:M4"/>
    <mergeCell ref="B5:M5"/>
    <mergeCell ref="B6:M6"/>
    <mergeCell ref="A7:M7"/>
    <mergeCell ref="A8:C8"/>
    <mergeCell ref="A9:C9"/>
    <mergeCell ref="B10:I10"/>
  </mergeCells>
  <conditionalFormatting sqref="C13:C16">
    <cfRule type="cellIs" dxfId="92" priority="118" operator="lessThan">
      <formula>D13</formula>
    </cfRule>
    <cfRule type="cellIs" dxfId="91" priority="119" operator="greaterThanOrEqual">
      <formula>D13</formula>
    </cfRule>
  </conditionalFormatting>
  <conditionalFormatting sqref="F13:F16">
    <cfRule type="cellIs" dxfId="90" priority="116" operator="lessThan">
      <formula>G13</formula>
    </cfRule>
    <cfRule type="cellIs" dxfId="89" priority="117" operator="greaterThanOrEqual">
      <formula>G13</formula>
    </cfRule>
  </conditionalFormatting>
  <conditionalFormatting sqref="I13">
    <cfRule type="cellIs" dxfId="88" priority="114" operator="greaterThanOrEqual">
      <formula>H13</formula>
    </cfRule>
    <cfRule type="cellIs" dxfId="87" priority="115" operator="lessThan">
      <formula>H13</formula>
    </cfRule>
  </conditionalFormatting>
  <conditionalFormatting sqref="I14:I16">
    <cfRule type="cellIs" dxfId="86" priority="42" operator="greaterThanOrEqual">
      <formula>H14</formula>
    </cfRule>
    <cfRule type="cellIs" dxfId="85" priority="43" operator="lessThan">
      <formula>H14</formula>
    </cfRule>
  </conditionalFormatting>
  <conditionalFormatting sqref="C13:C16 F13:F16 I13:I16">
    <cfRule type="cellIs" dxfId="84" priority="37" operator="equal">
      <formula>"-"</formula>
    </cfRule>
  </conditionalFormatting>
  <conditionalFormatting sqref="C35:C46">
    <cfRule type="cellIs" dxfId="83" priority="6" operator="lessThan">
      <formula>D35</formula>
    </cfRule>
    <cfRule type="cellIs" dxfId="82" priority="7" operator="greaterThanOrEqual">
      <formula>D35</formula>
    </cfRule>
  </conditionalFormatting>
  <conditionalFormatting sqref="F35:F46">
    <cfRule type="cellIs" dxfId="81" priority="4" operator="lessThan">
      <formula>G35</formula>
    </cfRule>
    <cfRule type="cellIs" dxfId="80" priority="5" operator="greaterThanOrEqual">
      <formula>G35</formula>
    </cfRule>
  </conditionalFormatting>
  <conditionalFormatting sqref="I35:I46">
    <cfRule type="cellIs" dxfId="79" priority="2" operator="greaterThanOrEqual">
      <formula>H35</formula>
    </cfRule>
    <cfRule type="cellIs" dxfId="78" priority="3" operator="lessThan">
      <formula>H35</formula>
    </cfRule>
  </conditionalFormatting>
  <conditionalFormatting sqref="C35:C46 F35:F46 I35:I46">
    <cfRule type="cellIs" dxfId="77" priority="1" operator="equal">
      <formula>"-"</formula>
    </cfRule>
  </conditionalFormatting>
  <conditionalFormatting sqref="C21:C31">
    <cfRule type="cellIs" dxfId="76" priority="24" operator="lessThan">
      <formula>D21</formula>
    </cfRule>
    <cfRule type="cellIs" dxfId="75" priority="25" operator="greaterThanOrEqual">
      <formula>D21</formula>
    </cfRule>
  </conditionalFormatting>
  <conditionalFormatting sqref="F21:F31">
    <cfRule type="cellIs" dxfId="74" priority="22" operator="lessThan">
      <formula>G21</formula>
    </cfRule>
    <cfRule type="cellIs" dxfId="73" priority="23" operator="greaterThanOrEqual">
      <formula>G21</formula>
    </cfRule>
  </conditionalFormatting>
  <conditionalFormatting sqref="C20">
    <cfRule type="cellIs" dxfId="72" priority="20" operator="lessThan">
      <formula>D20</formula>
    </cfRule>
    <cfRule type="cellIs" dxfId="71" priority="21" operator="greaterThanOrEqual">
      <formula>D20</formula>
    </cfRule>
  </conditionalFormatting>
  <conditionalFormatting sqref="F20">
    <cfRule type="cellIs" dxfId="70" priority="18" operator="lessThan">
      <formula>G20</formula>
    </cfRule>
    <cfRule type="cellIs" dxfId="69" priority="19" operator="greaterThanOrEqual">
      <formula>G20</formula>
    </cfRule>
  </conditionalFormatting>
  <conditionalFormatting sqref="I20:I31">
    <cfRule type="cellIs" dxfId="68" priority="16" operator="greaterThanOrEqual">
      <formula>H20</formula>
    </cfRule>
    <cfRule type="cellIs" dxfId="67" priority="17" operator="lessThan">
      <formula>H20</formula>
    </cfRule>
  </conditionalFormatting>
  <conditionalFormatting sqref="C20:C31 F20:F31 I20:I31">
    <cfRule type="cellIs" dxfId="66" priority="15" operator="equal">
      <formula>"-"</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21"/>
  <sheetViews>
    <sheetView workbookViewId="0"/>
  </sheetViews>
  <sheetFormatPr defaultRowHeight="15" x14ac:dyDescent="0.25"/>
  <cols>
    <col min="1" max="1" width="16.7109375" customWidth="1"/>
    <col min="35" max="37" width="20.42578125" customWidth="1"/>
    <col min="41" max="41" width="9.140625" customWidth="1"/>
    <col min="44" max="44" width="22.5703125" customWidth="1"/>
    <col min="45" max="45" width="23.42578125" customWidth="1"/>
    <col min="46" max="46" width="23.140625" customWidth="1"/>
  </cols>
  <sheetData>
    <row r="1" spans="1:46" ht="30" x14ac:dyDescent="0.3">
      <c r="A1" s="119" t="s">
        <v>85</v>
      </c>
      <c r="B1" s="153" t="s">
        <v>136</v>
      </c>
      <c r="C1" s="153"/>
      <c r="D1" s="153"/>
      <c r="E1" s="153"/>
      <c r="F1" s="153"/>
      <c r="G1" s="153"/>
      <c r="H1" s="153"/>
      <c r="I1" s="153"/>
      <c r="J1" s="153"/>
      <c r="K1" s="153"/>
      <c r="L1" s="153"/>
      <c r="M1" s="153"/>
      <c r="N1" s="153"/>
      <c r="O1" s="153"/>
      <c r="Q1" s="229"/>
      <c r="R1" s="230"/>
      <c r="S1" s="230"/>
      <c r="T1" s="230"/>
      <c r="U1" s="230"/>
      <c r="V1" s="230"/>
      <c r="W1" s="230"/>
      <c r="X1" s="230"/>
      <c r="Y1" s="230"/>
      <c r="Z1" s="1"/>
    </row>
    <row r="2" spans="1:46" ht="18.75" x14ac:dyDescent="0.3">
      <c r="A2" s="119" t="s">
        <v>86</v>
      </c>
      <c r="B2" s="153" t="s">
        <v>135</v>
      </c>
      <c r="C2" s="153"/>
      <c r="D2" s="153"/>
      <c r="E2" s="153"/>
      <c r="F2" s="153"/>
      <c r="G2" s="153"/>
      <c r="H2" s="153"/>
      <c r="I2" s="153"/>
      <c r="J2" s="153"/>
      <c r="K2" s="153"/>
      <c r="L2" s="153"/>
      <c r="M2" s="153"/>
      <c r="N2" s="153"/>
      <c r="O2" s="153"/>
    </row>
    <row r="3" spans="1:46" ht="74.25" customHeight="1" x14ac:dyDescent="0.25">
      <c r="A3" s="120" t="s">
        <v>87</v>
      </c>
      <c r="B3" s="158" t="s">
        <v>137</v>
      </c>
      <c r="C3" s="158"/>
      <c r="D3" s="158"/>
      <c r="E3" s="158"/>
      <c r="F3" s="158"/>
      <c r="G3" s="158"/>
      <c r="H3" s="158"/>
      <c r="I3" s="158"/>
      <c r="J3" s="158"/>
      <c r="K3" s="158"/>
      <c r="L3" s="158"/>
      <c r="M3" s="158"/>
      <c r="N3" s="158"/>
      <c r="O3" s="158"/>
      <c r="Q3" s="229"/>
      <c r="R3" s="230"/>
      <c r="S3" s="230"/>
      <c r="T3" s="230"/>
      <c r="U3" s="230"/>
      <c r="V3" s="230"/>
      <c r="W3" s="230"/>
      <c r="X3" s="230"/>
      <c r="Y3" s="230"/>
      <c r="Z3" s="230"/>
      <c r="AA3" s="230"/>
      <c r="AB3" s="230"/>
      <c r="AC3" s="230"/>
      <c r="AD3" s="230"/>
      <c r="AE3" s="230"/>
      <c r="AF3" s="230"/>
    </row>
    <row r="4" spans="1:46" ht="30" x14ac:dyDescent="0.25">
      <c r="A4" s="119" t="s">
        <v>88</v>
      </c>
      <c r="B4" s="157" t="s">
        <v>139</v>
      </c>
      <c r="C4" s="157"/>
      <c r="D4" s="157"/>
      <c r="E4" s="157"/>
      <c r="F4" s="157"/>
      <c r="G4" s="157"/>
      <c r="H4" s="157"/>
      <c r="I4" s="157"/>
      <c r="J4" s="157"/>
      <c r="K4" s="157"/>
      <c r="L4" s="157"/>
      <c r="M4" s="157"/>
      <c r="N4" s="157"/>
      <c r="O4" s="157"/>
    </row>
    <row r="5" spans="1:46" x14ac:dyDescent="0.25">
      <c r="A5" s="120" t="s">
        <v>89</v>
      </c>
      <c r="B5" s="156" t="s">
        <v>138</v>
      </c>
      <c r="C5" s="156"/>
      <c r="D5" s="156"/>
      <c r="E5" s="156"/>
      <c r="F5" s="156"/>
      <c r="G5" s="156"/>
      <c r="H5" s="156"/>
      <c r="I5" s="156"/>
      <c r="J5" s="156"/>
      <c r="K5" s="156"/>
      <c r="L5" s="156"/>
      <c r="M5" s="156"/>
      <c r="N5" s="156"/>
      <c r="O5" s="156"/>
      <c r="Q5" s="229"/>
      <c r="R5" s="229"/>
      <c r="S5" s="229"/>
      <c r="T5" s="229"/>
      <c r="U5" s="229"/>
      <c r="V5" s="229"/>
      <c r="W5" s="229"/>
      <c r="X5" s="229"/>
      <c r="Y5" s="229"/>
      <c r="Z5" s="229"/>
      <c r="AA5" s="229"/>
      <c r="AB5" s="229"/>
      <c r="AC5" s="229"/>
      <c r="AD5" s="229"/>
      <c r="AE5" s="229"/>
      <c r="AF5" s="229"/>
    </row>
    <row r="6" spans="1:46" ht="285" customHeight="1" x14ac:dyDescent="0.25">
      <c r="A6" s="121" t="s">
        <v>140</v>
      </c>
      <c r="B6" s="155" t="s">
        <v>141</v>
      </c>
      <c r="C6" s="155"/>
      <c r="D6" s="155"/>
      <c r="E6" s="155"/>
      <c r="F6" s="155"/>
      <c r="G6" s="155"/>
      <c r="H6" s="155"/>
      <c r="I6" s="155"/>
      <c r="J6" s="155"/>
      <c r="K6" s="155"/>
      <c r="L6" s="155"/>
      <c r="M6" s="155"/>
      <c r="N6" s="155"/>
      <c r="O6" s="155"/>
    </row>
    <row r="7" spans="1:46" ht="18.75" x14ac:dyDescent="0.3">
      <c r="A7" s="179" t="s">
        <v>92</v>
      </c>
      <c r="B7" s="179"/>
      <c r="C7" s="179"/>
      <c r="D7" s="179"/>
      <c r="E7" s="179"/>
      <c r="F7" s="179"/>
      <c r="G7" s="179"/>
      <c r="H7" s="179"/>
      <c r="I7" s="179"/>
      <c r="J7" s="179"/>
      <c r="K7" s="179"/>
      <c r="L7" s="179"/>
      <c r="M7" s="179"/>
      <c r="N7" s="179"/>
      <c r="O7" s="179"/>
    </row>
    <row r="8" spans="1:46" x14ac:dyDescent="0.25">
      <c r="A8" s="150" t="s">
        <v>76</v>
      </c>
      <c r="B8" s="151"/>
      <c r="C8" s="152"/>
      <c r="D8" s="95"/>
      <c r="E8" s="31"/>
    </row>
    <row r="9" spans="1:46" x14ac:dyDescent="0.25">
      <c r="A9" s="180" t="s">
        <v>77</v>
      </c>
      <c r="B9" s="148"/>
      <c r="C9" s="149"/>
      <c r="D9" s="96"/>
    </row>
    <row r="10" spans="1:46" x14ac:dyDescent="0.25">
      <c r="A10" s="223" t="s">
        <v>8</v>
      </c>
      <c r="B10" s="223"/>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6" t="s">
        <v>9</v>
      </c>
      <c r="AM10" s="226"/>
      <c r="AN10" s="226"/>
      <c r="AO10" s="226"/>
      <c r="AP10" s="226"/>
      <c r="AQ10" s="226"/>
      <c r="AR10" s="226"/>
      <c r="AS10" s="226"/>
      <c r="AT10" s="226"/>
    </row>
    <row r="11" spans="1:46" x14ac:dyDescent="0.25">
      <c r="A11" s="34"/>
      <c r="B11" s="161" t="s">
        <v>2</v>
      </c>
      <c r="C11" s="162"/>
      <c r="D11" s="162"/>
      <c r="E11" s="162"/>
      <c r="F11" s="162"/>
      <c r="G11" s="162"/>
      <c r="H11" s="162"/>
      <c r="I11" s="162"/>
      <c r="J11" s="162"/>
      <c r="K11" s="162"/>
      <c r="L11" s="163"/>
      <c r="M11" s="231" t="s">
        <v>3</v>
      </c>
      <c r="N11" s="232"/>
      <c r="O11" s="232"/>
      <c r="P11" s="232"/>
      <c r="Q11" s="232"/>
      <c r="R11" s="232"/>
      <c r="S11" s="232"/>
      <c r="T11" s="232"/>
      <c r="U11" s="232"/>
      <c r="V11" s="232"/>
      <c r="W11" s="233"/>
      <c r="X11" s="161" t="s">
        <v>4</v>
      </c>
      <c r="Y11" s="162"/>
      <c r="Z11" s="162"/>
      <c r="AA11" s="162"/>
      <c r="AB11" s="162"/>
      <c r="AC11" s="162"/>
      <c r="AD11" s="162"/>
      <c r="AE11" s="162"/>
      <c r="AF11" s="162"/>
      <c r="AG11" s="162"/>
      <c r="AH11" s="163"/>
      <c r="AI11" s="162" t="s">
        <v>22</v>
      </c>
      <c r="AJ11" s="162"/>
      <c r="AK11" s="163"/>
      <c r="AL11" s="143" t="s">
        <v>11</v>
      </c>
      <c r="AM11" s="144"/>
      <c r="AN11" s="144"/>
      <c r="AO11" s="144"/>
      <c r="AP11" s="144"/>
      <c r="AQ11" s="145"/>
      <c r="AR11" s="140" t="s">
        <v>22</v>
      </c>
      <c r="AS11" s="141"/>
      <c r="AT11" s="142"/>
    </row>
    <row r="12" spans="1:46" ht="30.75" customHeight="1" x14ac:dyDescent="0.25">
      <c r="A12" s="34"/>
      <c r="B12" s="228" t="s">
        <v>15</v>
      </c>
      <c r="C12" s="228"/>
      <c r="D12" s="228"/>
      <c r="E12" s="228" t="s">
        <v>17</v>
      </c>
      <c r="F12" s="228"/>
      <c r="G12" s="228"/>
      <c r="H12" s="228" t="s">
        <v>16</v>
      </c>
      <c r="I12" s="228"/>
      <c r="J12" s="228"/>
      <c r="K12" s="210" t="s">
        <v>12</v>
      </c>
      <c r="L12" s="210"/>
      <c r="M12" s="234" t="s">
        <v>15</v>
      </c>
      <c r="N12" s="234"/>
      <c r="O12" s="234"/>
      <c r="P12" s="234" t="s">
        <v>17</v>
      </c>
      <c r="Q12" s="234"/>
      <c r="R12" s="234"/>
      <c r="S12" s="234" t="s">
        <v>16</v>
      </c>
      <c r="T12" s="234"/>
      <c r="U12" s="234"/>
      <c r="V12" s="235" t="s">
        <v>12</v>
      </c>
      <c r="W12" s="235"/>
      <c r="X12" s="228" t="s">
        <v>15</v>
      </c>
      <c r="Y12" s="228"/>
      <c r="Z12" s="228"/>
      <c r="AA12" s="228" t="s">
        <v>17</v>
      </c>
      <c r="AB12" s="228"/>
      <c r="AC12" s="228"/>
      <c r="AD12" s="228" t="s">
        <v>16</v>
      </c>
      <c r="AE12" s="228"/>
      <c r="AF12" s="228"/>
      <c r="AG12" s="210" t="s">
        <v>12</v>
      </c>
      <c r="AH12" s="210"/>
      <c r="AI12" s="224" t="s">
        <v>168</v>
      </c>
      <c r="AJ12" s="224"/>
      <c r="AK12" s="225"/>
      <c r="AL12" s="227" t="s">
        <v>15</v>
      </c>
      <c r="AM12" s="227"/>
      <c r="AN12" s="227" t="s">
        <v>17</v>
      </c>
      <c r="AO12" s="227"/>
      <c r="AP12" s="227" t="s">
        <v>16</v>
      </c>
      <c r="AQ12" s="227"/>
      <c r="AR12" s="220" t="s">
        <v>18</v>
      </c>
      <c r="AS12" s="221"/>
      <c r="AT12" s="222"/>
    </row>
    <row r="13" spans="1:46" ht="90" x14ac:dyDescent="0.25">
      <c r="A13" t="s">
        <v>0</v>
      </c>
      <c r="B13" s="16" t="s">
        <v>5</v>
      </c>
      <c r="C13" s="16" t="s">
        <v>6</v>
      </c>
      <c r="D13" s="16" t="s">
        <v>10</v>
      </c>
      <c r="E13" s="16" t="s">
        <v>5</v>
      </c>
      <c r="F13" s="16" t="s">
        <v>6</v>
      </c>
      <c r="G13" s="16" t="s">
        <v>10</v>
      </c>
      <c r="H13" s="16" t="s">
        <v>5</v>
      </c>
      <c r="I13" s="16" t="s">
        <v>6</v>
      </c>
      <c r="J13" s="16" t="s">
        <v>10</v>
      </c>
      <c r="K13" s="16" t="s">
        <v>7</v>
      </c>
      <c r="L13" s="16" t="s">
        <v>19</v>
      </c>
      <c r="M13" s="38" t="s">
        <v>5</v>
      </c>
      <c r="N13" s="38" t="s">
        <v>6</v>
      </c>
      <c r="O13" s="38" t="s">
        <v>10</v>
      </c>
      <c r="P13" s="38" t="s">
        <v>5</v>
      </c>
      <c r="Q13" s="38" t="s">
        <v>6</v>
      </c>
      <c r="R13" s="38" t="s">
        <v>10</v>
      </c>
      <c r="S13" s="38" t="s">
        <v>5</v>
      </c>
      <c r="T13" s="38" t="s">
        <v>6</v>
      </c>
      <c r="U13" s="38" t="s">
        <v>10</v>
      </c>
      <c r="V13" s="38" t="s">
        <v>7</v>
      </c>
      <c r="W13" s="38" t="s">
        <v>19</v>
      </c>
      <c r="X13" s="16" t="s">
        <v>5</v>
      </c>
      <c r="Y13" s="16" t="s">
        <v>6</v>
      </c>
      <c r="Z13" s="16" t="s">
        <v>10</v>
      </c>
      <c r="AA13" s="16" t="s">
        <v>5</v>
      </c>
      <c r="AB13" s="16" t="s">
        <v>6</v>
      </c>
      <c r="AC13" s="16" t="s">
        <v>10</v>
      </c>
      <c r="AD13" s="16" t="s">
        <v>5</v>
      </c>
      <c r="AE13" s="16" t="s">
        <v>6</v>
      </c>
      <c r="AF13" s="16" t="s">
        <v>10</v>
      </c>
      <c r="AG13" s="16" t="s">
        <v>7</v>
      </c>
      <c r="AH13" s="16" t="s">
        <v>19</v>
      </c>
      <c r="AI13" s="16" t="s">
        <v>142</v>
      </c>
      <c r="AJ13" s="16" t="s">
        <v>13</v>
      </c>
      <c r="AK13" s="16" t="s">
        <v>14</v>
      </c>
      <c r="AL13" s="15" t="s">
        <v>20</v>
      </c>
      <c r="AM13" s="15" t="s">
        <v>21</v>
      </c>
      <c r="AN13" s="15" t="s">
        <v>20</v>
      </c>
      <c r="AO13" s="15" t="s">
        <v>21</v>
      </c>
      <c r="AP13" s="15" t="s">
        <v>20</v>
      </c>
      <c r="AQ13" s="15" t="s">
        <v>21</v>
      </c>
      <c r="AR13" s="15" t="s">
        <v>25</v>
      </c>
      <c r="AS13" s="15" t="s">
        <v>24</v>
      </c>
      <c r="AT13" s="15" t="s">
        <v>23</v>
      </c>
    </row>
    <row r="14" spans="1:46" x14ac:dyDescent="0.25">
      <c r="A14" s="3" t="s">
        <v>1</v>
      </c>
      <c r="B14" s="2">
        <v>0</v>
      </c>
      <c r="C14" s="91"/>
      <c r="D14" s="2" t="e">
        <f>C14/$K14</f>
        <v>#DIV/0!</v>
      </c>
      <c r="E14" s="2">
        <v>13</v>
      </c>
      <c r="F14" s="91"/>
      <c r="G14" s="2" t="e">
        <f>F14/$K14</f>
        <v>#DIV/0!</v>
      </c>
      <c r="H14" s="2">
        <v>26</v>
      </c>
      <c r="I14" s="91"/>
      <c r="J14" s="2" t="e">
        <f>I14/$K14</f>
        <v>#DIV/0!</v>
      </c>
      <c r="K14" s="2">
        <f>SUM(C14,F14,I14)</f>
        <v>0</v>
      </c>
      <c r="L14" s="2" t="e">
        <f>I14/$K14</f>
        <v>#DIV/0!</v>
      </c>
      <c r="M14" s="23">
        <v>0</v>
      </c>
      <c r="N14" s="92"/>
      <c r="O14" s="23" t="e">
        <f t="shared" ref="O14:O20" si="0">N14/$V14</f>
        <v>#DIV/0!</v>
      </c>
      <c r="P14" s="23">
        <v>85</v>
      </c>
      <c r="Q14" s="92"/>
      <c r="R14" s="23" t="e">
        <f t="shared" ref="R14:R20" si="1">Q14/$V14</f>
        <v>#DIV/0!</v>
      </c>
      <c r="S14" s="23">
        <v>122</v>
      </c>
      <c r="T14" s="92"/>
      <c r="U14" s="23" t="e">
        <f>T14/$V14</f>
        <v>#DIV/0!</v>
      </c>
      <c r="V14" s="23">
        <f>SUM(N14,Q14,T14)</f>
        <v>0</v>
      </c>
      <c r="W14" s="23" t="e">
        <f>T14/$V14</f>
        <v>#DIV/0!</v>
      </c>
      <c r="X14" s="2">
        <v>0</v>
      </c>
      <c r="Y14" s="91"/>
      <c r="Z14" s="2" t="e">
        <f>Y14/$AG14</f>
        <v>#DIV/0!</v>
      </c>
      <c r="AA14" s="2">
        <v>89</v>
      </c>
      <c r="AB14" s="91"/>
      <c r="AC14" s="2" t="e">
        <f>AB14/$AG14</f>
        <v>#DIV/0!</v>
      </c>
      <c r="AD14" s="2">
        <v>119</v>
      </c>
      <c r="AE14" s="91"/>
      <c r="AF14" s="2" t="e">
        <f>AE14/$AG14</f>
        <v>#DIV/0!</v>
      </c>
      <c r="AG14" s="2">
        <f t="shared" ref="AG14:AG20" si="2">SUM(Y14,AB14,AE14)</f>
        <v>0</v>
      </c>
      <c r="AH14" s="2" t="e">
        <f t="shared" ref="AH14:AH20" si="3">AE14/AG14</f>
        <v>#DIV/0!</v>
      </c>
      <c r="AI14" s="2">
        <f t="shared" ref="AI14:AI20" si="4">AE14</f>
        <v>0</v>
      </c>
      <c r="AJ14" s="2">
        <f t="shared" ref="AJ14:AJ20" si="5">AG14</f>
        <v>0</v>
      </c>
      <c r="AK14" s="2" t="e">
        <f>SUM(AI14/AJ14)</f>
        <v>#DIV/0!</v>
      </c>
      <c r="AL14" s="2">
        <f t="shared" ref="AL14:AM20" si="6">Y14-C14</f>
        <v>0</v>
      </c>
      <c r="AM14" s="2" t="e">
        <f t="shared" si="6"/>
        <v>#DIV/0!</v>
      </c>
      <c r="AN14" s="2">
        <f t="shared" ref="AN14:AO20" si="7">AB14-F14</f>
        <v>0</v>
      </c>
      <c r="AO14" s="2" t="e">
        <f t="shared" si="7"/>
        <v>#DIV/0!</v>
      </c>
      <c r="AP14" s="2">
        <f t="shared" ref="AP14:AP20" si="8">AE14-I14</f>
        <v>0</v>
      </c>
      <c r="AQ14" s="2" t="e">
        <f t="shared" ref="AQ14:AQ20" si="9">AF14-J14</f>
        <v>#DIV/0!</v>
      </c>
      <c r="AR14" s="2" t="e">
        <f>SUM((C14+F14)/K14)</f>
        <v>#DIV/0!</v>
      </c>
      <c r="AS14" s="2" t="e">
        <f>SUM(AR14-(AR14*0.5))</f>
        <v>#DIV/0!</v>
      </c>
      <c r="AT14" s="2" t="e">
        <f>SUM((Y14+AB14)/AG14)</f>
        <v>#DIV/0!</v>
      </c>
    </row>
    <row r="15" spans="1:46" x14ac:dyDescent="0.25">
      <c r="A15" s="2">
        <v>1</v>
      </c>
      <c r="B15" s="2">
        <v>0</v>
      </c>
      <c r="C15" s="91"/>
      <c r="D15" s="2" t="e">
        <f t="shared" ref="D15:D20" si="10">C15/$K15</f>
        <v>#DIV/0!</v>
      </c>
      <c r="E15" s="2">
        <v>97</v>
      </c>
      <c r="F15" s="91"/>
      <c r="G15" s="2" t="e">
        <f t="shared" ref="G15:G20" si="11">F15/$K15</f>
        <v>#DIV/0!</v>
      </c>
      <c r="H15" s="2">
        <v>113</v>
      </c>
      <c r="I15" s="91"/>
      <c r="J15" s="2" t="e">
        <f t="shared" ref="J15:J20" si="12">I15/$K15</f>
        <v>#DIV/0!</v>
      </c>
      <c r="K15" s="2">
        <f t="shared" ref="K15:K20" si="13">SUM(C15,F15,I15)</f>
        <v>0</v>
      </c>
      <c r="L15" s="2" t="e">
        <f t="shared" ref="L15:L20" si="14">I15/$K15</f>
        <v>#DIV/0!</v>
      </c>
      <c r="M15" s="23">
        <v>0</v>
      </c>
      <c r="N15" s="92"/>
      <c r="O15" s="23" t="e">
        <f t="shared" si="0"/>
        <v>#DIV/0!</v>
      </c>
      <c r="P15" s="23">
        <v>100</v>
      </c>
      <c r="Q15" s="92"/>
      <c r="R15" s="23" t="e">
        <f t="shared" si="1"/>
        <v>#DIV/0!</v>
      </c>
      <c r="S15" s="23">
        <v>130</v>
      </c>
      <c r="T15" s="92"/>
      <c r="U15" s="23" t="e">
        <f t="shared" ref="U15:U20" si="15">T15/$V15</f>
        <v>#DIV/0!</v>
      </c>
      <c r="V15" s="23">
        <f t="shared" ref="V15:V20" si="16">SUM(N15,Q15,T15)</f>
        <v>0</v>
      </c>
      <c r="W15" s="23" t="e">
        <f t="shared" ref="W15:W20" si="17">T15/$V15</f>
        <v>#DIV/0!</v>
      </c>
      <c r="X15" s="2">
        <v>0</v>
      </c>
      <c r="Y15" s="91"/>
      <c r="Z15" s="2" t="e">
        <f t="shared" ref="Z15:Z20" si="18">Y15/$AG15</f>
        <v>#DIV/0!</v>
      </c>
      <c r="AA15" s="2">
        <v>111</v>
      </c>
      <c r="AB15" s="91"/>
      <c r="AC15" s="2" t="e">
        <f t="shared" ref="AC15:AC20" si="19">AB15/$AG15</f>
        <v>#DIV/0!</v>
      </c>
      <c r="AD15" s="2">
        <v>155</v>
      </c>
      <c r="AE15" s="91"/>
      <c r="AF15" s="2" t="e">
        <f t="shared" ref="AF15:AF20" si="20">AE15/$AG15</f>
        <v>#DIV/0!</v>
      </c>
      <c r="AG15" s="2">
        <f t="shared" si="2"/>
        <v>0</v>
      </c>
      <c r="AH15" s="2" t="e">
        <f t="shared" si="3"/>
        <v>#DIV/0!</v>
      </c>
      <c r="AI15" s="2">
        <f t="shared" si="4"/>
        <v>0</v>
      </c>
      <c r="AJ15" s="2">
        <f t="shared" si="5"/>
        <v>0</v>
      </c>
      <c r="AK15" s="2" t="e">
        <f t="shared" ref="AK15:AK20" si="21">SUM(AI15/AJ15)</f>
        <v>#DIV/0!</v>
      </c>
      <c r="AL15" s="2">
        <f t="shared" si="6"/>
        <v>0</v>
      </c>
      <c r="AM15" s="2" t="e">
        <f t="shared" si="6"/>
        <v>#DIV/0!</v>
      </c>
      <c r="AN15" s="2">
        <f t="shared" si="7"/>
        <v>0</v>
      </c>
      <c r="AO15" s="2" t="e">
        <f t="shared" si="7"/>
        <v>#DIV/0!</v>
      </c>
      <c r="AP15" s="2">
        <f t="shared" si="8"/>
        <v>0</v>
      </c>
      <c r="AQ15" s="2" t="e">
        <f t="shared" si="9"/>
        <v>#DIV/0!</v>
      </c>
      <c r="AR15" s="2" t="e">
        <f t="shared" ref="AR15:AR20" si="22">SUM((C15+F15)/K15)</f>
        <v>#DIV/0!</v>
      </c>
      <c r="AS15" s="2" t="e">
        <f t="shared" ref="AS15:AS20" si="23">SUM(AR15-(AR15*0.5))</f>
        <v>#DIV/0!</v>
      </c>
      <c r="AT15" s="2" t="e">
        <f t="shared" ref="AT15:AT20" si="24">SUM((Y15+AB15)/AG15)</f>
        <v>#DIV/0!</v>
      </c>
    </row>
    <row r="16" spans="1:46" x14ac:dyDescent="0.25">
      <c r="A16" s="2">
        <v>2</v>
      </c>
      <c r="B16" s="2">
        <v>0</v>
      </c>
      <c r="C16" s="91"/>
      <c r="D16" s="2" t="e">
        <f t="shared" si="10"/>
        <v>#DIV/0!</v>
      </c>
      <c r="E16" s="2">
        <v>109</v>
      </c>
      <c r="F16" s="91"/>
      <c r="G16" s="2" t="e">
        <f t="shared" si="11"/>
        <v>#DIV/0!</v>
      </c>
      <c r="H16" s="2">
        <v>141</v>
      </c>
      <c r="I16" s="91"/>
      <c r="J16" s="2" t="e">
        <f t="shared" si="12"/>
        <v>#DIV/0!</v>
      </c>
      <c r="K16" s="2">
        <f t="shared" si="13"/>
        <v>0</v>
      </c>
      <c r="L16" s="2" t="e">
        <f t="shared" si="14"/>
        <v>#DIV/0!</v>
      </c>
      <c r="M16" s="23">
        <v>0</v>
      </c>
      <c r="N16" s="92"/>
      <c r="O16" s="23" t="e">
        <f t="shared" si="0"/>
        <v>#DIV/0!</v>
      </c>
      <c r="P16" s="23">
        <v>145</v>
      </c>
      <c r="Q16" s="92"/>
      <c r="R16" s="23" t="e">
        <f t="shared" si="1"/>
        <v>#DIV/0!</v>
      </c>
      <c r="S16" s="23">
        <v>190</v>
      </c>
      <c r="T16" s="92"/>
      <c r="U16" s="23" t="e">
        <f t="shared" si="15"/>
        <v>#DIV/0!</v>
      </c>
      <c r="V16" s="23">
        <f t="shared" si="16"/>
        <v>0</v>
      </c>
      <c r="W16" s="23" t="e">
        <f t="shared" si="17"/>
        <v>#DIV/0!</v>
      </c>
      <c r="X16" s="2">
        <v>0</v>
      </c>
      <c r="Y16" s="91"/>
      <c r="Z16" s="2" t="e">
        <f t="shared" si="18"/>
        <v>#DIV/0!</v>
      </c>
      <c r="AA16" s="2">
        <v>180</v>
      </c>
      <c r="AB16" s="91"/>
      <c r="AC16" s="2" t="e">
        <f t="shared" si="19"/>
        <v>#DIV/0!</v>
      </c>
      <c r="AD16" s="2">
        <v>238</v>
      </c>
      <c r="AE16" s="91"/>
      <c r="AF16" s="2" t="e">
        <f t="shared" si="20"/>
        <v>#DIV/0!</v>
      </c>
      <c r="AG16" s="2">
        <f t="shared" si="2"/>
        <v>0</v>
      </c>
      <c r="AH16" s="2" t="e">
        <f t="shared" si="3"/>
        <v>#DIV/0!</v>
      </c>
      <c r="AI16" s="2">
        <f t="shared" si="4"/>
        <v>0</v>
      </c>
      <c r="AJ16" s="2">
        <f t="shared" si="5"/>
        <v>0</v>
      </c>
      <c r="AK16" s="2" t="e">
        <f t="shared" si="21"/>
        <v>#DIV/0!</v>
      </c>
      <c r="AL16" s="2">
        <f t="shared" si="6"/>
        <v>0</v>
      </c>
      <c r="AM16" s="2" t="e">
        <f t="shared" si="6"/>
        <v>#DIV/0!</v>
      </c>
      <c r="AN16" s="2">
        <f t="shared" si="7"/>
        <v>0</v>
      </c>
      <c r="AO16" s="2" t="e">
        <f t="shared" si="7"/>
        <v>#DIV/0!</v>
      </c>
      <c r="AP16" s="2">
        <f t="shared" si="8"/>
        <v>0</v>
      </c>
      <c r="AQ16" s="2" t="e">
        <f t="shared" si="9"/>
        <v>#DIV/0!</v>
      </c>
      <c r="AR16" s="2" t="e">
        <f t="shared" si="22"/>
        <v>#DIV/0!</v>
      </c>
      <c r="AS16" s="2" t="e">
        <f t="shared" si="23"/>
        <v>#DIV/0!</v>
      </c>
      <c r="AT16" s="2" t="e">
        <f t="shared" si="24"/>
        <v>#DIV/0!</v>
      </c>
    </row>
    <row r="17" spans="1:46" x14ac:dyDescent="0.25">
      <c r="A17" s="23">
        <v>3</v>
      </c>
      <c r="B17" s="23">
        <v>0</v>
      </c>
      <c r="C17" s="92"/>
      <c r="D17" s="23" t="e">
        <f>C17/$K17</f>
        <v>#DIV/0!</v>
      </c>
      <c r="E17" s="23">
        <v>180</v>
      </c>
      <c r="F17" s="92"/>
      <c r="G17" s="23" t="e">
        <f t="shared" si="11"/>
        <v>#DIV/0!</v>
      </c>
      <c r="H17" s="23">
        <v>220</v>
      </c>
      <c r="I17" s="92"/>
      <c r="J17" s="23" t="e">
        <f t="shared" si="12"/>
        <v>#DIV/0!</v>
      </c>
      <c r="K17" s="23">
        <f t="shared" si="13"/>
        <v>0</v>
      </c>
      <c r="L17" s="23" t="e">
        <f t="shared" si="14"/>
        <v>#DIV/0!</v>
      </c>
      <c r="M17" s="23">
        <v>0</v>
      </c>
      <c r="N17" s="92"/>
      <c r="O17" s="23" t="e">
        <f t="shared" si="0"/>
        <v>#DIV/0!</v>
      </c>
      <c r="P17" s="23">
        <v>235</v>
      </c>
      <c r="Q17" s="92"/>
      <c r="R17" s="23" t="e">
        <f t="shared" si="1"/>
        <v>#DIV/0!</v>
      </c>
      <c r="S17" s="23">
        <v>285</v>
      </c>
      <c r="T17" s="92"/>
      <c r="U17" s="23" t="e">
        <f t="shared" si="15"/>
        <v>#DIV/0!</v>
      </c>
      <c r="V17" s="23">
        <f t="shared" si="16"/>
        <v>0</v>
      </c>
      <c r="W17" s="23" t="e">
        <f t="shared" si="17"/>
        <v>#DIV/0!</v>
      </c>
      <c r="X17" s="23">
        <v>0</v>
      </c>
      <c r="Y17" s="92"/>
      <c r="Z17" s="23" t="e">
        <f t="shared" si="18"/>
        <v>#DIV/0!</v>
      </c>
      <c r="AA17" s="23">
        <v>280</v>
      </c>
      <c r="AB17" s="92"/>
      <c r="AC17" s="23" t="e">
        <f t="shared" si="19"/>
        <v>#DIV/0!</v>
      </c>
      <c r="AD17" s="23">
        <v>330</v>
      </c>
      <c r="AE17" s="92"/>
      <c r="AF17" s="23" t="e">
        <f t="shared" si="20"/>
        <v>#DIV/0!</v>
      </c>
      <c r="AG17" s="23">
        <f t="shared" si="2"/>
        <v>0</v>
      </c>
      <c r="AH17" s="23" t="e">
        <f t="shared" si="3"/>
        <v>#DIV/0!</v>
      </c>
      <c r="AI17" s="23">
        <f t="shared" si="4"/>
        <v>0</v>
      </c>
      <c r="AJ17" s="23">
        <f t="shared" si="5"/>
        <v>0</v>
      </c>
      <c r="AK17" s="23" t="e">
        <f t="shared" si="21"/>
        <v>#DIV/0!</v>
      </c>
      <c r="AL17" s="2">
        <f t="shared" si="6"/>
        <v>0</v>
      </c>
      <c r="AM17" s="2" t="e">
        <f t="shared" si="6"/>
        <v>#DIV/0!</v>
      </c>
      <c r="AN17" s="2">
        <f t="shared" si="7"/>
        <v>0</v>
      </c>
      <c r="AO17" s="2" t="e">
        <f t="shared" si="7"/>
        <v>#DIV/0!</v>
      </c>
      <c r="AP17" s="2">
        <f t="shared" si="8"/>
        <v>0</v>
      </c>
      <c r="AQ17" s="2" t="e">
        <f t="shared" si="9"/>
        <v>#DIV/0!</v>
      </c>
      <c r="AR17" s="2" t="e">
        <f t="shared" si="22"/>
        <v>#DIV/0!</v>
      </c>
      <c r="AS17" s="2" t="e">
        <f t="shared" si="23"/>
        <v>#DIV/0!</v>
      </c>
      <c r="AT17" s="2" t="e">
        <f t="shared" si="24"/>
        <v>#DIV/0!</v>
      </c>
    </row>
    <row r="18" spans="1:46" x14ac:dyDescent="0.25">
      <c r="A18" s="23">
        <v>4</v>
      </c>
      <c r="B18" s="23">
        <v>0</v>
      </c>
      <c r="C18" s="92"/>
      <c r="D18" s="23" t="e">
        <f t="shared" si="10"/>
        <v>#DIV/0!</v>
      </c>
      <c r="E18" s="23">
        <v>245</v>
      </c>
      <c r="F18" s="92"/>
      <c r="G18" s="23" t="e">
        <f t="shared" si="11"/>
        <v>#DIV/0!</v>
      </c>
      <c r="H18" s="23">
        <v>290</v>
      </c>
      <c r="I18" s="92"/>
      <c r="J18" s="23" t="e">
        <f t="shared" si="12"/>
        <v>#DIV/0!</v>
      </c>
      <c r="K18" s="23">
        <f t="shared" si="13"/>
        <v>0</v>
      </c>
      <c r="L18" s="23" t="e">
        <f t="shared" si="14"/>
        <v>#DIV/0!</v>
      </c>
      <c r="M18" s="23">
        <v>0</v>
      </c>
      <c r="N18" s="92"/>
      <c r="O18" s="23" t="e">
        <f t="shared" si="0"/>
        <v>#DIV/0!</v>
      </c>
      <c r="P18" s="23">
        <v>290</v>
      </c>
      <c r="Q18" s="92"/>
      <c r="R18" s="23" t="e">
        <f t="shared" si="1"/>
        <v>#DIV/0!</v>
      </c>
      <c r="S18" s="23">
        <v>330</v>
      </c>
      <c r="T18" s="92"/>
      <c r="U18" s="23" t="e">
        <f t="shared" si="15"/>
        <v>#DIV/0!</v>
      </c>
      <c r="V18" s="23">
        <f t="shared" si="16"/>
        <v>0</v>
      </c>
      <c r="W18" s="23" t="e">
        <f t="shared" si="17"/>
        <v>#DIV/0!</v>
      </c>
      <c r="X18" s="23">
        <v>0</v>
      </c>
      <c r="Y18" s="92"/>
      <c r="Z18" s="23" t="e">
        <f t="shared" si="18"/>
        <v>#DIV/0!</v>
      </c>
      <c r="AA18" s="23">
        <v>330</v>
      </c>
      <c r="AB18" s="92"/>
      <c r="AC18" s="23" t="e">
        <f t="shared" si="19"/>
        <v>#DIV/0!</v>
      </c>
      <c r="AD18" s="23">
        <v>391</v>
      </c>
      <c r="AE18" s="92"/>
      <c r="AF18" s="23" t="e">
        <f t="shared" si="20"/>
        <v>#DIV/0!</v>
      </c>
      <c r="AG18" s="23">
        <f t="shared" si="2"/>
        <v>0</v>
      </c>
      <c r="AH18" s="23" t="e">
        <f t="shared" si="3"/>
        <v>#DIV/0!</v>
      </c>
      <c r="AI18" s="23">
        <f t="shared" si="4"/>
        <v>0</v>
      </c>
      <c r="AJ18" s="23">
        <f t="shared" si="5"/>
        <v>0</v>
      </c>
      <c r="AK18" s="23" t="e">
        <f t="shared" si="21"/>
        <v>#DIV/0!</v>
      </c>
      <c r="AL18" s="23">
        <f t="shared" si="6"/>
        <v>0</v>
      </c>
      <c r="AM18" s="23" t="e">
        <f t="shared" si="6"/>
        <v>#DIV/0!</v>
      </c>
      <c r="AN18" s="23">
        <f t="shared" si="7"/>
        <v>0</v>
      </c>
      <c r="AO18" s="23" t="e">
        <f t="shared" si="7"/>
        <v>#DIV/0!</v>
      </c>
      <c r="AP18" s="23">
        <f t="shared" si="8"/>
        <v>0</v>
      </c>
      <c r="AQ18" s="23" t="e">
        <f t="shared" si="9"/>
        <v>#DIV/0!</v>
      </c>
      <c r="AR18" s="4" t="e">
        <f t="shared" si="22"/>
        <v>#DIV/0!</v>
      </c>
      <c r="AS18" s="4" t="e">
        <f t="shared" si="23"/>
        <v>#DIV/0!</v>
      </c>
      <c r="AT18" s="23" t="e">
        <f t="shared" si="24"/>
        <v>#DIV/0!</v>
      </c>
    </row>
    <row r="19" spans="1:46" x14ac:dyDescent="0.25">
      <c r="A19" s="23">
        <v>5</v>
      </c>
      <c r="B19" s="23">
        <v>0</v>
      </c>
      <c r="C19" s="92"/>
      <c r="D19" s="23" t="e">
        <f t="shared" si="10"/>
        <v>#DIV/0!</v>
      </c>
      <c r="E19" s="23">
        <v>258</v>
      </c>
      <c r="F19" s="92"/>
      <c r="G19" s="23" t="e">
        <f t="shared" si="11"/>
        <v>#DIV/0!</v>
      </c>
      <c r="H19" s="23">
        <v>357</v>
      </c>
      <c r="I19" s="92"/>
      <c r="J19" s="23" t="e">
        <f t="shared" si="12"/>
        <v>#DIV/0!</v>
      </c>
      <c r="K19" s="23">
        <f t="shared" si="13"/>
        <v>0</v>
      </c>
      <c r="L19" s="23" t="e">
        <f t="shared" si="14"/>
        <v>#DIV/0!</v>
      </c>
      <c r="M19" s="23">
        <v>0</v>
      </c>
      <c r="N19" s="92"/>
      <c r="O19" s="23" t="e">
        <f t="shared" si="0"/>
        <v>#DIV/0!</v>
      </c>
      <c r="P19" s="23">
        <v>310</v>
      </c>
      <c r="Q19" s="92"/>
      <c r="R19" s="23" t="e">
        <f t="shared" si="1"/>
        <v>#DIV/0!</v>
      </c>
      <c r="S19" s="23">
        <v>372</v>
      </c>
      <c r="T19" s="92"/>
      <c r="U19" s="23" t="e">
        <f t="shared" si="15"/>
        <v>#DIV/0!</v>
      </c>
      <c r="V19" s="23">
        <f t="shared" si="16"/>
        <v>0</v>
      </c>
      <c r="W19" s="23" t="e">
        <f t="shared" si="17"/>
        <v>#DIV/0!</v>
      </c>
      <c r="X19" s="23">
        <v>0</v>
      </c>
      <c r="Y19" s="92"/>
      <c r="Z19" s="23" t="e">
        <f t="shared" si="18"/>
        <v>#DIV/0!</v>
      </c>
      <c r="AA19" s="23">
        <v>340</v>
      </c>
      <c r="AB19" s="92"/>
      <c r="AC19" s="23" t="e">
        <f t="shared" si="19"/>
        <v>#DIV/0!</v>
      </c>
      <c r="AD19" s="23">
        <v>415</v>
      </c>
      <c r="AE19" s="92"/>
      <c r="AF19" s="23" t="e">
        <f t="shared" si="20"/>
        <v>#DIV/0!</v>
      </c>
      <c r="AG19" s="23">
        <f t="shared" si="2"/>
        <v>0</v>
      </c>
      <c r="AH19" s="23" t="e">
        <f t="shared" si="3"/>
        <v>#DIV/0!</v>
      </c>
      <c r="AI19" s="23">
        <f t="shared" si="4"/>
        <v>0</v>
      </c>
      <c r="AJ19" s="23">
        <f t="shared" si="5"/>
        <v>0</v>
      </c>
      <c r="AK19" s="23" t="e">
        <f t="shared" si="21"/>
        <v>#DIV/0!</v>
      </c>
      <c r="AL19" s="23">
        <f t="shared" si="6"/>
        <v>0</v>
      </c>
      <c r="AM19" s="23" t="e">
        <f t="shared" si="6"/>
        <v>#DIV/0!</v>
      </c>
      <c r="AN19" s="23">
        <f t="shared" si="7"/>
        <v>0</v>
      </c>
      <c r="AO19" s="23" t="e">
        <f t="shared" si="7"/>
        <v>#DIV/0!</v>
      </c>
      <c r="AP19" s="23">
        <f t="shared" si="8"/>
        <v>0</v>
      </c>
      <c r="AQ19" s="23" t="e">
        <f t="shared" si="9"/>
        <v>#DIV/0!</v>
      </c>
      <c r="AR19" s="4" t="e">
        <f t="shared" si="22"/>
        <v>#DIV/0!</v>
      </c>
      <c r="AS19" s="4" t="e">
        <f t="shared" si="23"/>
        <v>#DIV/0!</v>
      </c>
      <c r="AT19" s="23" t="e">
        <f t="shared" si="24"/>
        <v>#DIV/0!</v>
      </c>
    </row>
    <row r="20" spans="1:46" x14ac:dyDescent="0.25">
      <c r="A20" s="23">
        <v>6</v>
      </c>
      <c r="B20" s="23">
        <v>0</v>
      </c>
      <c r="C20" s="92"/>
      <c r="D20" s="23" t="e">
        <f t="shared" si="10"/>
        <v>#DIV/0!</v>
      </c>
      <c r="E20" s="23">
        <v>280</v>
      </c>
      <c r="F20" s="92"/>
      <c r="G20" s="23" t="e">
        <f t="shared" si="11"/>
        <v>#DIV/0!</v>
      </c>
      <c r="H20" s="23">
        <v>344</v>
      </c>
      <c r="I20" s="92"/>
      <c r="J20" s="23" t="e">
        <f t="shared" si="12"/>
        <v>#DIV/0!</v>
      </c>
      <c r="K20" s="23">
        <f t="shared" si="13"/>
        <v>0</v>
      </c>
      <c r="L20" s="23" t="e">
        <f t="shared" si="14"/>
        <v>#DIV/0!</v>
      </c>
      <c r="M20" s="23">
        <v>0</v>
      </c>
      <c r="N20" s="92"/>
      <c r="O20" s="23" t="e">
        <f t="shared" si="0"/>
        <v>#DIV/0!</v>
      </c>
      <c r="P20" s="23">
        <v>285</v>
      </c>
      <c r="Q20" s="92"/>
      <c r="R20" s="23" t="e">
        <f t="shared" si="1"/>
        <v>#DIV/0!</v>
      </c>
      <c r="S20" s="23">
        <v>358</v>
      </c>
      <c r="T20" s="92"/>
      <c r="U20" s="23" t="e">
        <f t="shared" si="15"/>
        <v>#DIV/0!</v>
      </c>
      <c r="V20" s="23">
        <f t="shared" si="16"/>
        <v>0</v>
      </c>
      <c r="W20" s="23" t="e">
        <f t="shared" si="17"/>
        <v>#DIV/0!</v>
      </c>
      <c r="X20" s="23">
        <v>0</v>
      </c>
      <c r="Y20" s="92"/>
      <c r="Z20" s="23" t="e">
        <f t="shared" si="18"/>
        <v>#DIV/0!</v>
      </c>
      <c r="AA20" s="23">
        <v>324</v>
      </c>
      <c r="AB20" s="92"/>
      <c r="AC20" s="23" t="e">
        <f t="shared" si="19"/>
        <v>#DIV/0!</v>
      </c>
      <c r="AD20" s="23">
        <v>380</v>
      </c>
      <c r="AE20" s="92"/>
      <c r="AF20" s="23" t="e">
        <f t="shared" si="20"/>
        <v>#DIV/0!</v>
      </c>
      <c r="AG20" s="23">
        <f t="shared" si="2"/>
        <v>0</v>
      </c>
      <c r="AH20" s="23" t="e">
        <f t="shared" si="3"/>
        <v>#DIV/0!</v>
      </c>
      <c r="AI20" s="23">
        <f t="shared" si="4"/>
        <v>0</v>
      </c>
      <c r="AJ20" s="23">
        <f t="shared" si="5"/>
        <v>0</v>
      </c>
      <c r="AK20" s="23" t="e">
        <f t="shared" si="21"/>
        <v>#DIV/0!</v>
      </c>
      <c r="AL20" s="23">
        <f t="shared" si="6"/>
        <v>0</v>
      </c>
      <c r="AM20" s="23" t="e">
        <f t="shared" si="6"/>
        <v>#DIV/0!</v>
      </c>
      <c r="AN20" s="23">
        <f t="shared" si="7"/>
        <v>0</v>
      </c>
      <c r="AO20" s="23" t="e">
        <f t="shared" si="7"/>
        <v>#DIV/0!</v>
      </c>
      <c r="AP20" s="23">
        <f t="shared" si="8"/>
        <v>0</v>
      </c>
      <c r="AQ20" s="23" t="e">
        <f t="shared" si="9"/>
        <v>#DIV/0!</v>
      </c>
      <c r="AR20" s="4" t="e">
        <f t="shared" si="22"/>
        <v>#DIV/0!</v>
      </c>
      <c r="AS20" s="4" t="e">
        <f t="shared" si="23"/>
        <v>#DIV/0!</v>
      </c>
      <c r="AT20" s="23" t="e">
        <f t="shared" si="24"/>
        <v>#DIV/0!</v>
      </c>
    </row>
    <row r="21" spans="1:46" x14ac:dyDescent="0.25">
      <c r="Q21" s="106"/>
    </row>
  </sheetData>
  <sheetProtection password="CDF6" sheet="1" objects="1" scenarios="1"/>
  <mergeCells count="37">
    <mergeCell ref="Q1:Y1"/>
    <mergeCell ref="Q3:AF3"/>
    <mergeCell ref="Q5:AF5"/>
    <mergeCell ref="AL11:AQ11"/>
    <mergeCell ref="K12:L12"/>
    <mergeCell ref="B11:L11"/>
    <mergeCell ref="M11:W11"/>
    <mergeCell ref="X11:AH11"/>
    <mergeCell ref="AI11:AK11"/>
    <mergeCell ref="S12:U12"/>
    <mergeCell ref="P12:R12"/>
    <mergeCell ref="M12:O12"/>
    <mergeCell ref="AL12:AM12"/>
    <mergeCell ref="AN12:AO12"/>
    <mergeCell ref="AG12:AH12"/>
    <mergeCell ref="V12:W12"/>
    <mergeCell ref="B1:O1"/>
    <mergeCell ref="B2:O2"/>
    <mergeCell ref="B3:O3"/>
    <mergeCell ref="B4:O4"/>
    <mergeCell ref="B5:O5"/>
    <mergeCell ref="AR12:AT12"/>
    <mergeCell ref="A10:AK10"/>
    <mergeCell ref="AI12:AK12"/>
    <mergeCell ref="B6:O6"/>
    <mergeCell ref="A7:O7"/>
    <mergeCell ref="A8:C8"/>
    <mergeCell ref="A9:C9"/>
    <mergeCell ref="AL10:AT10"/>
    <mergeCell ref="AR11:AT11"/>
    <mergeCell ref="AP12:AQ12"/>
    <mergeCell ref="H12:J12"/>
    <mergeCell ref="E12:G12"/>
    <mergeCell ref="B12:D12"/>
    <mergeCell ref="AD12:AF12"/>
    <mergeCell ref="AA12:AC12"/>
    <mergeCell ref="X12:Z12"/>
  </mergeCells>
  <conditionalFormatting sqref="AK14:AK20">
    <cfRule type="cellIs" dxfId="65" priority="3" operator="lessThan">
      <formula>0.5</formula>
    </cfRule>
    <cfRule type="cellIs" dxfId="64" priority="4" operator="greaterThanOrEqual">
      <formula>0.5</formula>
    </cfRule>
  </conditionalFormatting>
  <conditionalFormatting sqref="AT14:AT20">
    <cfRule type="cellIs" dxfId="63" priority="1" operator="greaterThan">
      <formula>$AS$14</formula>
    </cfRule>
    <cfRule type="cellIs" dxfId="62" priority="2" operator="lessThanOrEqual">
      <formula>$AS$14</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workbookViewId="0"/>
  </sheetViews>
  <sheetFormatPr defaultRowHeight="15" x14ac:dyDescent="0.25"/>
  <cols>
    <col min="1" max="1" width="12.42578125" customWidth="1"/>
    <col min="2" max="2" width="10.85546875" bestFit="1" customWidth="1"/>
    <col min="3" max="11" width="11.5703125" customWidth="1"/>
    <col min="12" max="12" width="18.28515625" customWidth="1"/>
    <col min="13" max="13" width="16.7109375" customWidth="1"/>
  </cols>
  <sheetData>
    <row r="1" spans="1:14" ht="30" x14ac:dyDescent="0.3">
      <c r="A1" s="119" t="s">
        <v>85</v>
      </c>
      <c r="B1" s="153" t="s">
        <v>143</v>
      </c>
      <c r="C1" s="153"/>
      <c r="D1" s="153"/>
      <c r="E1" s="153"/>
      <c r="F1" s="153"/>
      <c r="G1" s="153"/>
      <c r="H1" s="153"/>
      <c r="I1" s="153"/>
      <c r="J1" s="153"/>
      <c r="K1" s="153"/>
      <c r="L1" s="153"/>
      <c r="M1" s="153"/>
      <c r="N1" s="153"/>
    </row>
    <row r="2" spans="1:14" ht="18.75" x14ac:dyDescent="0.3">
      <c r="A2" s="119" t="s">
        <v>86</v>
      </c>
      <c r="B2" s="153" t="s">
        <v>144</v>
      </c>
      <c r="C2" s="153"/>
      <c r="D2" s="153"/>
      <c r="E2" s="153"/>
      <c r="F2" s="153"/>
      <c r="G2" s="153"/>
      <c r="H2" s="153"/>
      <c r="I2" s="153"/>
      <c r="J2" s="153"/>
      <c r="K2" s="153"/>
      <c r="L2" s="153"/>
      <c r="M2" s="153"/>
      <c r="N2" s="153"/>
    </row>
    <row r="3" spans="1:14" ht="31.5" customHeight="1" x14ac:dyDescent="0.25">
      <c r="A3" s="120" t="s">
        <v>87</v>
      </c>
      <c r="B3" s="158" t="s">
        <v>145</v>
      </c>
      <c r="C3" s="158"/>
      <c r="D3" s="158"/>
      <c r="E3" s="158"/>
      <c r="F3" s="158"/>
      <c r="G3" s="158"/>
      <c r="H3" s="158"/>
      <c r="I3" s="158"/>
      <c r="J3" s="158"/>
      <c r="K3" s="158"/>
      <c r="L3" s="158"/>
      <c r="M3" s="158"/>
      <c r="N3" s="158"/>
    </row>
    <row r="4" spans="1:14" ht="60" x14ac:dyDescent="0.25">
      <c r="A4" s="119" t="s">
        <v>88</v>
      </c>
      <c r="B4" s="157" t="s">
        <v>146</v>
      </c>
      <c r="C4" s="157"/>
      <c r="D4" s="157"/>
      <c r="E4" s="157"/>
      <c r="F4" s="157"/>
      <c r="G4" s="157"/>
      <c r="H4" s="157"/>
      <c r="I4" s="157"/>
      <c r="J4" s="157"/>
      <c r="K4" s="157"/>
      <c r="L4" s="157"/>
      <c r="M4" s="157"/>
      <c r="N4" s="157"/>
    </row>
    <row r="5" spans="1:14" ht="28.5" customHeight="1" x14ac:dyDescent="0.25">
      <c r="A5" s="120" t="s">
        <v>89</v>
      </c>
      <c r="B5" s="182" t="s">
        <v>147</v>
      </c>
      <c r="C5" s="183"/>
      <c r="D5" s="183"/>
      <c r="E5" s="183"/>
      <c r="F5" s="183"/>
      <c r="G5" s="183"/>
      <c r="H5" s="183"/>
      <c r="I5" s="183"/>
      <c r="J5" s="183"/>
      <c r="K5" s="183"/>
      <c r="L5" s="183"/>
      <c r="M5" s="183"/>
      <c r="N5" s="184"/>
    </row>
    <row r="6" spans="1:14" x14ac:dyDescent="0.25">
      <c r="A6" s="121" t="s">
        <v>90</v>
      </c>
      <c r="B6" s="155" t="s">
        <v>148</v>
      </c>
      <c r="C6" s="155"/>
      <c r="D6" s="155"/>
      <c r="E6" s="155"/>
      <c r="F6" s="155"/>
      <c r="G6" s="155"/>
      <c r="H6" s="155"/>
      <c r="I6" s="155"/>
      <c r="J6" s="155"/>
      <c r="K6" s="155"/>
      <c r="L6" s="155"/>
      <c r="M6" s="155"/>
      <c r="N6" s="155"/>
    </row>
    <row r="7" spans="1:14" ht="18.75" x14ac:dyDescent="0.3">
      <c r="A7" s="179" t="s">
        <v>92</v>
      </c>
      <c r="B7" s="179"/>
      <c r="C7" s="179"/>
      <c r="D7" s="179"/>
      <c r="E7" s="179"/>
      <c r="F7" s="179"/>
      <c r="G7" s="179"/>
      <c r="H7" s="179"/>
      <c r="I7" s="179"/>
      <c r="J7" s="179"/>
      <c r="K7" s="179"/>
      <c r="L7" s="179"/>
      <c r="M7" s="179"/>
      <c r="N7" s="179"/>
    </row>
    <row r="8" spans="1:14" x14ac:dyDescent="0.25">
      <c r="A8" s="150" t="s">
        <v>76</v>
      </c>
      <c r="B8" s="151"/>
      <c r="C8" s="152"/>
      <c r="D8" s="95"/>
      <c r="E8" s="31"/>
    </row>
    <row r="9" spans="1:14" x14ac:dyDescent="0.25">
      <c r="A9" s="147" t="s">
        <v>77</v>
      </c>
      <c r="B9" s="185"/>
      <c r="C9" s="186"/>
      <c r="D9" s="91"/>
      <c r="E9" s="27"/>
    </row>
    <row r="10" spans="1:14" x14ac:dyDescent="0.25">
      <c r="A10" s="34"/>
      <c r="B10" s="40"/>
      <c r="C10" s="210" t="s">
        <v>28</v>
      </c>
      <c r="D10" s="210"/>
      <c r="E10" s="210" t="s">
        <v>31</v>
      </c>
      <c r="F10" s="210"/>
      <c r="G10" s="210" t="s">
        <v>29</v>
      </c>
      <c r="H10" s="210"/>
      <c r="I10" s="210" t="s">
        <v>30</v>
      </c>
      <c r="J10" s="210"/>
      <c r="K10" s="210" t="s">
        <v>35</v>
      </c>
      <c r="L10" s="210"/>
      <c r="M10" s="210"/>
    </row>
    <row r="11" spans="1:14" ht="75.75" thickBot="1" x14ac:dyDescent="0.3">
      <c r="A11" s="2" t="s">
        <v>0</v>
      </c>
      <c r="B11" s="21" t="s">
        <v>26</v>
      </c>
      <c r="C11" s="39" t="s">
        <v>32</v>
      </c>
      <c r="D11" s="39" t="s">
        <v>33</v>
      </c>
      <c r="E11" s="39" t="s">
        <v>32</v>
      </c>
      <c r="F11" s="39" t="s">
        <v>33</v>
      </c>
      <c r="G11" s="39" t="s">
        <v>32</v>
      </c>
      <c r="H11" s="39" t="s">
        <v>33</v>
      </c>
      <c r="I11" s="39" t="s">
        <v>32</v>
      </c>
      <c r="J11" s="39" t="s">
        <v>33</v>
      </c>
      <c r="K11" s="39" t="s">
        <v>32</v>
      </c>
      <c r="L11" s="39" t="s">
        <v>34</v>
      </c>
      <c r="M11" s="39" t="s">
        <v>169</v>
      </c>
    </row>
    <row r="12" spans="1:14" x14ac:dyDescent="0.25">
      <c r="A12" s="5" t="s">
        <v>1</v>
      </c>
      <c r="B12" s="6" t="s">
        <v>27</v>
      </c>
      <c r="C12" s="107"/>
      <c r="D12" s="7" t="e">
        <f>C12/$K12</f>
        <v>#DIV/0!</v>
      </c>
      <c r="E12" s="57"/>
      <c r="F12" s="58"/>
      <c r="G12" s="107"/>
      <c r="H12" s="7" t="e">
        <f>G12/$K12</f>
        <v>#DIV/0!</v>
      </c>
      <c r="I12" s="57"/>
      <c r="J12" s="58"/>
      <c r="K12" s="7">
        <f>SUM(C12,G12)</f>
        <v>0</v>
      </c>
      <c r="L12" s="57"/>
      <c r="M12" s="58"/>
    </row>
    <row r="13" spans="1:14" x14ac:dyDescent="0.25">
      <c r="A13" s="8" t="s">
        <v>1</v>
      </c>
      <c r="B13" s="2">
        <v>1</v>
      </c>
      <c r="C13" s="91"/>
      <c r="D13" s="2" t="e">
        <f t="shared" ref="D13:D20" si="0">C13/$K13</f>
        <v>#DIV/0!</v>
      </c>
      <c r="E13" s="59"/>
      <c r="F13" s="60"/>
      <c r="G13" s="91"/>
      <c r="H13" s="2" t="e">
        <f t="shared" ref="H13:H35" si="1">G13/$K13</f>
        <v>#DIV/0!</v>
      </c>
      <c r="I13" s="59"/>
      <c r="J13" s="60"/>
      <c r="K13" s="2">
        <f t="shared" ref="K13:K15" si="2">SUM(C13,G13)</f>
        <v>0</v>
      </c>
      <c r="L13" s="59"/>
      <c r="M13" s="60"/>
    </row>
    <row r="14" spans="1:14" x14ac:dyDescent="0.25">
      <c r="A14" s="8" t="s">
        <v>1</v>
      </c>
      <c r="B14" s="2">
        <v>2</v>
      </c>
      <c r="C14" s="91"/>
      <c r="D14" s="2" t="e">
        <f t="shared" si="0"/>
        <v>#DIV/0!</v>
      </c>
      <c r="E14" s="59"/>
      <c r="F14" s="60"/>
      <c r="G14" s="91"/>
      <c r="H14" s="2" t="e">
        <f t="shared" si="1"/>
        <v>#DIV/0!</v>
      </c>
      <c r="I14" s="59"/>
      <c r="J14" s="60"/>
      <c r="K14" s="2">
        <f t="shared" si="2"/>
        <v>0</v>
      </c>
      <c r="L14" s="63"/>
      <c r="M14" s="64"/>
    </row>
    <row r="15" spans="1:14" ht="15.75" thickBot="1" x14ac:dyDescent="0.3">
      <c r="A15" s="46" t="s">
        <v>1</v>
      </c>
      <c r="B15" s="47">
        <v>3</v>
      </c>
      <c r="C15" s="108"/>
      <c r="D15" s="47" t="e">
        <f t="shared" si="0"/>
        <v>#DIV/0!</v>
      </c>
      <c r="E15" s="61"/>
      <c r="F15" s="62"/>
      <c r="G15" s="108"/>
      <c r="H15" s="53" t="e">
        <f t="shared" si="1"/>
        <v>#DIV/0!</v>
      </c>
      <c r="I15" s="65"/>
      <c r="J15" s="66"/>
      <c r="K15" s="47">
        <f t="shared" si="2"/>
        <v>0</v>
      </c>
      <c r="L15" s="47">
        <f>SUM(K12:K15)</f>
        <v>0</v>
      </c>
      <c r="M15" s="47" t="e">
        <f>G15/L15</f>
        <v>#DIV/0!</v>
      </c>
    </row>
    <row r="16" spans="1:14" x14ac:dyDescent="0.25">
      <c r="A16" s="5">
        <v>1</v>
      </c>
      <c r="B16" s="7">
        <v>4</v>
      </c>
      <c r="C16" s="107"/>
      <c r="D16" s="7" t="e">
        <f t="shared" si="0"/>
        <v>#DIV/0!</v>
      </c>
      <c r="E16" s="59"/>
      <c r="F16" s="60"/>
      <c r="G16" s="107"/>
      <c r="H16" s="7" t="e">
        <f>G16/$K16</f>
        <v>#DIV/0!</v>
      </c>
      <c r="I16" s="107"/>
      <c r="J16" s="7" t="e">
        <f t="shared" ref="J16:J35" si="3">I16/$K16</f>
        <v>#DIV/0!</v>
      </c>
      <c r="K16" s="7">
        <f>SUM(C16,G16,I16)</f>
        <v>0</v>
      </c>
      <c r="L16" s="57"/>
      <c r="M16" s="58"/>
    </row>
    <row r="17" spans="1:13" x14ac:dyDescent="0.25">
      <c r="A17" s="8">
        <v>1</v>
      </c>
      <c r="B17" s="2">
        <v>6</v>
      </c>
      <c r="C17" s="91"/>
      <c r="D17" s="2" t="e">
        <f t="shared" si="0"/>
        <v>#DIV/0!</v>
      </c>
      <c r="E17" s="59"/>
      <c r="F17" s="60"/>
      <c r="G17" s="91"/>
      <c r="H17" s="2" t="e">
        <f t="shared" si="1"/>
        <v>#DIV/0!</v>
      </c>
      <c r="I17" s="91"/>
      <c r="J17" s="2" t="e">
        <f t="shared" si="3"/>
        <v>#DIV/0!</v>
      </c>
      <c r="K17" s="2">
        <f t="shared" ref="K17:K20" si="4">SUM(C17,G17,I17)</f>
        <v>0</v>
      </c>
      <c r="L17" s="59"/>
      <c r="M17" s="60"/>
    </row>
    <row r="18" spans="1:13" x14ac:dyDescent="0.25">
      <c r="A18" s="8">
        <v>1</v>
      </c>
      <c r="B18" s="2">
        <v>8</v>
      </c>
      <c r="C18" s="91"/>
      <c r="D18" s="2" t="e">
        <f t="shared" si="0"/>
        <v>#DIV/0!</v>
      </c>
      <c r="E18" s="59"/>
      <c r="F18" s="60"/>
      <c r="G18" s="91"/>
      <c r="H18" s="2" t="e">
        <f t="shared" si="1"/>
        <v>#DIV/0!</v>
      </c>
      <c r="I18" s="91"/>
      <c r="J18" s="2" t="e">
        <f t="shared" si="3"/>
        <v>#DIV/0!</v>
      </c>
      <c r="K18" s="2">
        <f t="shared" si="4"/>
        <v>0</v>
      </c>
      <c r="L18" s="59"/>
      <c r="M18" s="60"/>
    </row>
    <row r="19" spans="1:13" x14ac:dyDescent="0.25">
      <c r="A19" s="8">
        <v>1</v>
      </c>
      <c r="B19" s="2">
        <v>10</v>
      </c>
      <c r="C19" s="91"/>
      <c r="D19" s="2" t="e">
        <f t="shared" si="0"/>
        <v>#DIV/0!</v>
      </c>
      <c r="E19" s="59"/>
      <c r="F19" s="60"/>
      <c r="G19" s="91"/>
      <c r="H19" s="2" t="e">
        <f t="shared" si="1"/>
        <v>#DIV/0!</v>
      </c>
      <c r="I19" s="91"/>
      <c r="J19" s="2" t="e">
        <f t="shared" si="3"/>
        <v>#DIV/0!</v>
      </c>
      <c r="K19" s="2">
        <f t="shared" si="4"/>
        <v>0</v>
      </c>
      <c r="L19" s="59"/>
      <c r="M19" s="60"/>
    </row>
    <row r="20" spans="1:13" x14ac:dyDescent="0.25">
      <c r="A20" s="8">
        <v>1</v>
      </c>
      <c r="B20" s="2">
        <v>12</v>
      </c>
      <c r="C20" s="91"/>
      <c r="D20" s="2" t="e">
        <f t="shared" si="0"/>
        <v>#DIV/0!</v>
      </c>
      <c r="E20" s="63"/>
      <c r="F20" s="64"/>
      <c r="G20" s="91"/>
      <c r="H20" s="2" t="e">
        <f t="shared" si="1"/>
        <v>#DIV/0!</v>
      </c>
      <c r="I20" s="91"/>
      <c r="J20" s="2" t="e">
        <f>I20/$K20</f>
        <v>#DIV/0!</v>
      </c>
      <c r="K20" s="2">
        <f t="shared" si="4"/>
        <v>0</v>
      </c>
      <c r="L20" s="59"/>
      <c r="M20" s="60"/>
    </row>
    <row r="21" spans="1:13" x14ac:dyDescent="0.25">
      <c r="A21" s="8">
        <v>1</v>
      </c>
      <c r="B21" s="2">
        <v>14</v>
      </c>
      <c r="C21" s="73"/>
      <c r="D21" s="74"/>
      <c r="E21" s="91"/>
      <c r="F21" s="2" t="e">
        <f t="shared" ref="F21:F35" si="5">E21/$K21</f>
        <v>#DIV/0!</v>
      </c>
      <c r="G21" s="91"/>
      <c r="H21" s="2" t="e">
        <f t="shared" si="1"/>
        <v>#DIV/0!</v>
      </c>
      <c r="I21" s="91"/>
      <c r="J21" s="2" t="e">
        <f t="shared" si="3"/>
        <v>#DIV/0!</v>
      </c>
      <c r="K21" s="2">
        <f>SUM(E21,G21,I21)</f>
        <v>0</v>
      </c>
      <c r="L21" s="63"/>
      <c r="M21" s="64"/>
    </row>
    <row r="22" spans="1:13" ht="15.75" thickBot="1" x14ac:dyDescent="0.3">
      <c r="A22" s="46">
        <v>1</v>
      </c>
      <c r="B22" s="47">
        <v>16</v>
      </c>
      <c r="C22" s="61"/>
      <c r="D22" s="62"/>
      <c r="E22" s="108"/>
      <c r="F22" s="47" t="e">
        <f t="shared" si="5"/>
        <v>#DIV/0!</v>
      </c>
      <c r="G22" s="108"/>
      <c r="H22" s="53" t="e">
        <f t="shared" si="1"/>
        <v>#DIV/0!</v>
      </c>
      <c r="I22" s="108"/>
      <c r="J22" s="53" t="e">
        <f t="shared" si="3"/>
        <v>#DIV/0!</v>
      </c>
      <c r="K22" s="47">
        <f t="shared" ref="K22:K29" si="6">SUM(E22,G22,I22)</f>
        <v>0</v>
      </c>
      <c r="L22" s="47">
        <f>SUM(K16:K22)</f>
        <v>0</v>
      </c>
      <c r="M22" s="47" t="e">
        <f>SUM((G22+I22)/L22)</f>
        <v>#DIV/0!</v>
      </c>
    </row>
    <row r="23" spans="1:13" x14ac:dyDescent="0.25">
      <c r="A23" s="9">
        <v>2</v>
      </c>
      <c r="B23" s="7">
        <v>18</v>
      </c>
      <c r="C23" s="59"/>
      <c r="D23" s="60"/>
      <c r="E23" s="107"/>
      <c r="F23" s="7" t="e">
        <f t="shared" si="5"/>
        <v>#DIV/0!</v>
      </c>
      <c r="G23" s="107"/>
      <c r="H23" s="7" t="e">
        <f t="shared" si="1"/>
        <v>#DIV/0!</v>
      </c>
      <c r="I23" s="107"/>
      <c r="J23" s="7" t="e">
        <f t="shared" si="3"/>
        <v>#DIV/0!</v>
      </c>
      <c r="K23" s="7">
        <f t="shared" si="6"/>
        <v>0</v>
      </c>
      <c r="L23" s="57"/>
      <c r="M23" s="58"/>
    </row>
    <row r="24" spans="1:13" x14ac:dyDescent="0.25">
      <c r="A24" s="10">
        <v>2</v>
      </c>
      <c r="B24" s="2">
        <v>20</v>
      </c>
      <c r="C24" s="59"/>
      <c r="D24" s="60"/>
      <c r="E24" s="91"/>
      <c r="F24" s="2" t="e">
        <f t="shared" si="5"/>
        <v>#DIV/0!</v>
      </c>
      <c r="G24" s="91"/>
      <c r="H24" s="2" t="e">
        <f t="shared" si="1"/>
        <v>#DIV/0!</v>
      </c>
      <c r="I24" s="91"/>
      <c r="J24" s="2" t="e">
        <f t="shared" si="3"/>
        <v>#DIV/0!</v>
      </c>
      <c r="K24" s="2">
        <f t="shared" si="6"/>
        <v>0</v>
      </c>
      <c r="L24" s="59"/>
      <c r="M24" s="60"/>
    </row>
    <row r="25" spans="1:13" x14ac:dyDescent="0.25">
      <c r="A25" s="10">
        <v>2</v>
      </c>
      <c r="B25" s="2">
        <v>24</v>
      </c>
      <c r="C25" s="59"/>
      <c r="D25" s="60"/>
      <c r="E25" s="91"/>
      <c r="F25" s="2" t="e">
        <f t="shared" si="5"/>
        <v>#DIV/0!</v>
      </c>
      <c r="G25" s="91"/>
      <c r="H25" s="2" t="e">
        <f t="shared" si="1"/>
        <v>#DIV/0!</v>
      </c>
      <c r="I25" s="91"/>
      <c r="J25" s="2" t="e">
        <f t="shared" si="3"/>
        <v>#DIV/0!</v>
      </c>
      <c r="K25" s="2">
        <f t="shared" si="6"/>
        <v>0</v>
      </c>
      <c r="L25" s="63"/>
      <c r="M25" s="64"/>
    </row>
    <row r="26" spans="1:13" ht="15.75" thickBot="1" x14ac:dyDescent="0.3">
      <c r="A26" s="48">
        <v>2</v>
      </c>
      <c r="B26" s="47">
        <v>28</v>
      </c>
      <c r="C26" s="61"/>
      <c r="D26" s="62"/>
      <c r="E26" s="108"/>
      <c r="F26" s="47" t="e">
        <f t="shared" si="5"/>
        <v>#DIV/0!</v>
      </c>
      <c r="G26" s="108"/>
      <c r="H26" s="53" t="e">
        <f t="shared" si="1"/>
        <v>#DIV/0!</v>
      </c>
      <c r="I26" s="108"/>
      <c r="J26" s="53" t="e">
        <f t="shared" si="3"/>
        <v>#DIV/0!</v>
      </c>
      <c r="K26" s="47">
        <f t="shared" si="6"/>
        <v>0</v>
      </c>
      <c r="L26" s="47">
        <f>SUM(K23:K26)</f>
        <v>0</v>
      </c>
      <c r="M26" s="47" t="e">
        <f>SUM((G26+I26)/L26)</f>
        <v>#DIV/0!</v>
      </c>
    </row>
    <row r="27" spans="1:13" x14ac:dyDescent="0.25">
      <c r="A27" s="11">
        <v>3</v>
      </c>
      <c r="B27" s="12">
        <v>30</v>
      </c>
      <c r="C27" s="69"/>
      <c r="D27" s="70"/>
      <c r="E27" s="109"/>
      <c r="F27" s="12" t="e">
        <f t="shared" si="5"/>
        <v>#DIV/0!</v>
      </c>
      <c r="G27" s="109"/>
      <c r="H27" s="12" t="e">
        <f t="shared" si="1"/>
        <v>#DIV/0!</v>
      </c>
      <c r="I27" s="109"/>
      <c r="J27" s="12" t="e">
        <f t="shared" si="3"/>
        <v>#DIV/0!</v>
      </c>
      <c r="K27" s="12">
        <f t="shared" si="6"/>
        <v>0</v>
      </c>
      <c r="L27" s="67"/>
      <c r="M27" s="68"/>
    </row>
    <row r="28" spans="1:13" x14ac:dyDescent="0.25">
      <c r="A28" s="13">
        <v>3</v>
      </c>
      <c r="B28" s="4">
        <v>34</v>
      </c>
      <c r="C28" s="69"/>
      <c r="D28" s="70"/>
      <c r="E28" s="92"/>
      <c r="F28" s="4" t="e">
        <f t="shared" si="5"/>
        <v>#DIV/0!</v>
      </c>
      <c r="G28" s="92"/>
      <c r="H28" s="4" t="e">
        <f t="shared" si="1"/>
        <v>#DIV/0!</v>
      </c>
      <c r="I28" s="92"/>
      <c r="J28" s="4" t="e">
        <f t="shared" si="3"/>
        <v>#DIV/0!</v>
      </c>
      <c r="K28" s="4">
        <f t="shared" si="6"/>
        <v>0</v>
      </c>
      <c r="L28" s="69"/>
      <c r="M28" s="70"/>
    </row>
    <row r="29" spans="1:13" x14ac:dyDescent="0.25">
      <c r="A29" s="13">
        <v>3</v>
      </c>
      <c r="B29" s="4">
        <v>38</v>
      </c>
      <c r="C29" s="69"/>
      <c r="D29" s="70"/>
      <c r="E29" s="92"/>
      <c r="F29" s="4" t="e">
        <f t="shared" si="5"/>
        <v>#DIV/0!</v>
      </c>
      <c r="G29" s="92"/>
      <c r="H29" s="4" t="e">
        <f t="shared" si="1"/>
        <v>#DIV/0!</v>
      </c>
      <c r="I29" s="92"/>
      <c r="J29" s="4" t="e">
        <f t="shared" si="3"/>
        <v>#DIV/0!</v>
      </c>
      <c r="K29" s="4">
        <f t="shared" si="6"/>
        <v>0</v>
      </c>
      <c r="L29" s="71"/>
      <c r="M29" s="72"/>
    </row>
    <row r="30" spans="1:13" ht="15.75" thickBot="1" x14ac:dyDescent="0.3">
      <c r="A30" s="49">
        <v>3</v>
      </c>
      <c r="B30" s="50">
        <v>40</v>
      </c>
      <c r="C30" s="75"/>
      <c r="D30" s="76"/>
      <c r="E30" s="110"/>
      <c r="F30" s="50" t="e">
        <f t="shared" si="5"/>
        <v>#DIV/0!</v>
      </c>
      <c r="G30" s="110"/>
      <c r="H30" s="50" t="e">
        <f t="shared" si="1"/>
        <v>#DIV/0!</v>
      </c>
      <c r="I30" s="110"/>
      <c r="J30" s="50" t="e">
        <f t="shared" si="3"/>
        <v>#DIV/0!</v>
      </c>
      <c r="K30" s="50">
        <f>SUM(E30,G30,I30)</f>
        <v>0</v>
      </c>
      <c r="L30" s="50">
        <f>SUM(K27:K30)</f>
        <v>0</v>
      </c>
      <c r="M30" s="50" t="e">
        <f>SUM((G30+I30)/L30)</f>
        <v>#DIV/0!</v>
      </c>
    </row>
    <row r="31" spans="1:13" ht="15.75" thickBot="1" x14ac:dyDescent="0.3">
      <c r="A31" s="51">
        <v>4</v>
      </c>
      <c r="B31" s="52">
        <v>40</v>
      </c>
      <c r="C31" s="75"/>
      <c r="D31" s="76"/>
      <c r="E31" s="111"/>
      <c r="F31" s="52" t="e">
        <f t="shared" si="5"/>
        <v>#DIV/0!</v>
      </c>
      <c r="G31" s="111"/>
      <c r="H31" s="52" t="e">
        <f t="shared" si="1"/>
        <v>#DIV/0!</v>
      </c>
      <c r="I31" s="111"/>
      <c r="J31" s="52" t="e">
        <f t="shared" si="3"/>
        <v>#DIV/0!</v>
      </c>
      <c r="K31" s="52">
        <f>SUM(E31,G31,I31)</f>
        <v>0</v>
      </c>
      <c r="L31" s="52">
        <f>K31</f>
        <v>0</v>
      </c>
      <c r="M31" s="52" t="e">
        <f>SUM((G31+I31)/L31)</f>
        <v>#DIV/0!</v>
      </c>
    </row>
    <row r="32" spans="1:13" ht="15.75" thickBot="1" x14ac:dyDescent="0.3">
      <c r="A32" s="51">
        <v>5</v>
      </c>
      <c r="B32" s="52">
        <v>50</v>
      </c>
      <c r="C32" s="75"/>
      <c r="D32" s="76"/>
      <c r="E32" s="111"/>
      <c r="F32" s="52" t="e">
        <f t="shared" si="5"/>
        <v>#DIV/0!</v>
      </c>
      <c r="G32" s="111"/>
      <c r="H32" s="52" t="e">
        <f t="shared" si="1"/>
        <v>#DIV/0!</v>
      </c>
      <c r="I32" s="111"/>
      <c r="J32" s="52" t="e">
        <f t="shared" si="3"/>
        <v>#DIV/0!</v>
      </c>
      <c r="K32" s="52">
        <f t="shared" ref="K32:K35" si="7">SUM(E32,G32,I32)</f>
        <v>0</v>
      </c>
      <c r="L32" s="52">
        <f t="shared" ref="L32:L35" si="8">K32</f>
        <v>0</v>
      </c>
      <c r="M32" s="52" t="e">
        <f t="shared" ref="M32:M35" si="9">SUM((G32+I32)/L32)</f>
        <v>#DIV/0!</v>
      </c>
    </row>
    <row r="33" spans="1:13" ht="15.75" thickBot="1" x14ac:dyDescent="0.3">
      <c r="A33" s="51">
        <v>6</v>
      </c>
      <c r="B33" s="52">
        <v>60</v>
      </c>
      <c r="C33" s="75"/>
      <c r="D33" s="76"/>
      <c r="E33" s="111"/>
      <c r="F33" s="52" t="e">
        <f t="shared" si="5"/>
        <v>#DIV/0!</v>
      </c>
      <c r="G33" s="111"/>
      <c r="H33" s="52" t="e">
        <f t="shared" si="1"/>
        <v>#DIV/0!</v>
      </c>
      <c r="I33" s="111"/>
      <c r="J33" s="52" t="e">
        <f t="shared" si="3"/>
        <v>#DIV/0!</v>
      </c>
      <c r="K33" s="52">
        <f t="shared" si="7"/>
        <v>0</v>
      </c>
      <c r="L33" s="52">
        <f t="shared" si="8"/>
        <v>0</v>
      </c>
      <c r="M33" s="52" t="e">
        <f t="shared" si="9"/>
        <v>#DIV/0!</v>
      </c>
    </row>
    <row r="34" spans="1:13" ht="15.75" thickBot="1" x14ac:dyDescent="0.3">
      <c r="A34" s="51">
        <v>7</v>
      </c>
      <c r="B34" s="52">
        <v>70</v>
      </c>
      <c r="C34" s="75"/>
      <c r="D34" s="76"/>
      <c r="E34" s="111"/>
      <c r="F34" s="52" t="e">
        <f t="shared" si="5"/>
        <v>#DIV/0!</v>
      </c>
      <c r="G34" s="111"/>
      <c r="H34" s="52" t="e">
        <f t="shared" si="1"/>
        <v>#DIV/0!</v>
      </c>
      <c r="I34" s="111"/>
      <c r="J34" s="52" t="e">
        <f t="shared" si="3"/>
        <v>#DIV/0!</v>
      </c>
      <c r="K34" s="52">
        <f t="shared" si="7"/>
        <v>0</v>
      </c>
      <c r="L34" s="52">
        <f t="shared" si="8"/>
        <v>0</v>
      </c>
      <c r="M34" s="52" t="e">
        <f t="shared" si="9"/>
        <v>#DIV/0!</v>
      </c>
    </row>
    <row r="35" spans="1:13" ht="15.75" thickBot="1" x14ac:dyDescent="0.3">
      <c r="A35" s="51">
        <v>8</v>
      </c>
      <c r="B35" s="52">
        <v>80</v>
      </c>
      <c r="C35" s="77"/>
      <c r="D35" s="78"/>
      <c r="E35" s="111"/>
      <c r="F35" s="52" t="e">
        <f t="shared" si="5"/>
        <v>#DIV/0!</v>
      </c>
      <c r="G35" s="111"/>
      <c r="H35" s="52" t="e">
        <f t="shared" si="1"/>
        <v>#DIV/0!</v>
      </c>
      <c r="I35" s="111"/>
      <c r="J35" s="52" t="e">
        <f t="shared" si="3"/>
        <v>#DIV/0!</v>
      </c>
      <c r="K35" s="52">
        <f t="shared" si="7"/>
        <v>0</v>
      </c>
      <c r="L35" s="52">
        <f t="shared" si="8"/>
        <v>0</v>
      </c>
      <c r="M35" s="52" t="e">
        <f t="shared" si="9"/>
        <v>#DIV/0!</v>
      </c>
    </row>
  </sheetData>
  <sheetProtection password="CDF6" sheet="1" objects="1" scenarios="1"/>
  <mergeCells count="14">
    <mergeCell ref="I10:J10"/>
    <mergeCell ref="G10:H10"/>
    <mergeCell ref="E10:F10"/>
    <mergeCell ref="C10:D10"/>
    <mergeCell ref="K10:M10"/>
    <mergeCell ref="B6:N6"/>
    <mergeCell ref="A7:N7"/>
    <mergeCell ref="A8:C8"/>
    <mergeCell ref="A9:C9"/>
    <mergeCell ref="B1:N1"/>
    <mergeCell ref="B2:N2"/>
    <mergeCell ref="B3:N3"/>
    <mergeCell ref="B4:N4"/>
    <mergeCell ref="B5:N5"/>
  </mergeCells>
  <conditionalFormatting sqref="M15 M22 M26 M30:M35">
    <cfRule type="cellIs" dxfId="61" priority="1" operator="lessThan">
      <formula>0.5</formula>
    </cfRule>
    <cfRule type="cellIs" dxfId="60" priority="2" operator="greaterThanOrEqual">
      <formula>0.5</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workbookViewId="0">
      <selection sqref="A1:O1"/>
    </sheetView>
  </sheetViews>
  <sheetFormatPr defaultRowHeight="15" x14ac:dyDescent="0.25"/>
  <cols>
    <col min="1" max="1" width="19.140625" customWidth="1"/>
    <col min="15" max="15" width="20.5703125" customWidth="1"/>
  </cols>
  <sheetData>
    <row r="1" spans="1:15" ht="18.75" x14ac:dyDescent="0.3">
      <c r="A1" s="236" t="s">
        <v>96</v>
      </c>
      <c r="B1" s="236"/>
      <c r="C1" s="236"/>
      <c r="D1" s="236"/>
      <c r="E1" s="236"/>
      <c r="F1" s="236"/>
      <c r="G1" s="236"/>
      <c r="H1" s="236"/>
      <c r="I1" s="236"/>
      <c r="J1" s="236"/>
      <c r="K1" s="236"/>
      <c r="L1" s="236"/>
      <c r="M1" s="236"/>
      <c r="N1" s="236"/>
      <c r="O1" s="236"/>
    </row>
    <row r="2" spans="1:15" ht="60.75" customHeight="1" x14ac:dyDescent="0.25">
      <c r="A2" s="30" t="s">
        <v>97</v>
      </c>
      <c r="B2" s="122" t="s">
        <v>98</v>
      </c>
      <c r="C2" s="122"/>
      <c r="D2" s="122"/>
      <c r="E2" s="122"/>
      <c r="F2" s="122"/>
      <c r="G2" s="122"/>
      <c r="H2" s="122"/>
      <c r="I2" s="122"/>
      <c r="J2" s="122"/>
      <c r="K2" s="122"/>
      <c r="L2" s="122"/>
      <c r="M2" s="122"/>
      <c r="N2" s="122"/>
      <c r="O2" s="122"/>
    </row>
    <row r="3" spans="1:15" ht="61.5" customHeight="1" x14ac:dyDescent="0.25">
      <c r="A3" s="30" t="s">
        <v>99</v>
      </c>
      <c r="B3" s="122" t="s">
        <v>100</v>
      </c>
      <c r="C3" s="122"/>
      <c r="D3" s="122"/>
      <c r="E3" s="122"/>
      <c r="F3" s="122"/>
      <c r="G3" s="122"/>
      <c r="H3" s="122"/>
      <c r="I3" s="122"/>
      <c r="J3" s="122"/>
      <c r="K3" s="122"/>
      <c r="L3" s="122"/>
      <c r="M3" s="122"/>
      <c r="N3" s="122"/>
      <c r="O3" s="122"/>
    </row>
    <row r="4" spans="1:15" ht="167.25" customHeight="1" x14ac:dyDescent="0.25">
      <c r="A4" s="32" t="s">
        <v>101</v>
      </c>
      <c r="B4" s="122" t="s">
        <v>129</v>
      </c>
      <c r="C4" s="122"/>
      <c r="D4" s="122"/>
      <c r="E4" s="122"/>
      <c r="F4" s="122"/>
      <c r="G4" s="122"/>
      <c r="H4" s="122"/>
      <c r="I4" s="122"/>
      <c r="J4" s="122"/>
      <c r="K4" s="122"/>
      <c r="L4" s="122"/>
      <c r="M4" s="122"/>
      <c r="N4" s="122"/>
      <c r="O4" s="122"/>
    </row>
    <row r="5" spans="1:15" ht="123.75" customHeight="1" x14ac:dyDescent="0.25">
      <c r="A5" s="32" t="s">
        <v>130</v>
      </c>
      <c r="B5" s="122" t="s">
        <v>131</v>
      </c>
      <c r="C5" s="122"/>
      <c r="D5" s="122"/>
      <c r="E5" s="122"/>
      <c r="F5" s="122"/>
      <c r="G5" s="122"/>
      <c r="H5" s="122"/>
      <c r="I5" s="122"/>
      <c r="J5" s="122"/>
      <c r="K5" s="122"/>
      <c r="L5" s="122"/>
      <c r="M5" s="122"/>
      <c r="N5" s="122"/>
      <c r="O5" s="122"/>
    </row>
    <row r="6" spans="1:15" ht="18.75" x14ac:dyDescent="0.3">
      <c r="A6" s="237" t="s">
        <v>150</v>
      </c>
      <c r="B6" s="237"/>
      <c r="C6" s="237"/>
      <c r="D6" s="237"/>
      <c r="E6" s="237"/>
      <c r="F6" s="237"/>
      <c r="G6" s="237"/>
      <c r="H6" s="237"/>
      <c r="I6" s="237"/>
      <c r="J6" s="237"/>
      <c r="K6" s="237"/>
      <c r="L6" s="237"/>
      <c r="M6" s="237"/>
      <c r="N6" s="237"/>
      <c r="O6" s="237"/>
    </row>
    <row r="7" spans="1:15" x14ac:dyDescent="0.25">
      <c r="A7" s="146"/>
      <c r="B7" s="146"/>
      <c r="C7" s="146"/>
      <c r="D7" s="146"/>
      <c r="E7" s="146"/>
      <c r="F7" s="146"/>
      <c r="G7" s="146"/>
      <c r="H7" s="146"/>
      <c r="I7" s="146"/>
      <c r="J7" s="146"/>
      <c r="K7" s="146"/>
      <c r="L7" s="146"/>
      <c r="M7" s="146"/>
      <c r="N7" s="146"/>
      <c r="O7" s="146"/>
    </row>
    <row r="8" spans="1:15" x14ac:dyDescent="0.25">
      <c r="A8" s="146"/>
      <c r="B8" s="146"/>
      <c r="C8" s="146"/>
      <c r="D8" s="146"/>
      <c r="E8" s="146"/>
      <c r="F8" s="146"/>
      <c r="G8" s="146"/>
      <c r="H8" s="146"/>
      <c r="I8" s="146"/>
      <c r="J8" s="146"/>
      <c r="K8" s="146"/>
      <c r="L8" s="146"/>
      <c r="M8" s="146"/>
      <c r="N8" s="146"/>
      <c r="O8" s="146"/>
    </row>
    <row r="9" spans="1:15" x14ac:dyDescent="0.25">
      <c r="A9" s="146"/>
      <c r="B9" s="146"/>
      <c r="C9" s="146"/>
      <c r="D9" s="146"/>
      <c r="E9" s="146"/>
      <c r="F9" s="146"/>
      <c r="G9" s="146"/>
      <c r="H9" s="146"/>
      <c r="I9" s="146"/>
      <c r="J9" s="146"/>
      <c r="K9" s="146"/>
      <c r="L9" s="146"/>
      <c r="M9" s="146"/>
      <c r="N9" s="146"/>
      <c r="O9" s="146"/>
    </row>
    <row r="10" spans="1:15" x14ac:dyDescent="0.25">
      <c r="A10" s="146"/>
      <c r="B10" s="146"/>
      <c r="C10" s="146"/>
      <c r="D10" s="146"/>
      <c r="E10" s="146"/>
      <c r="F10" s="146"/>
      <c r="G10" s="146"/>
      <c r="H10" s="146"/>
      <c r="I10" s="146"/>
      <c r="J10" s="146"/>
      <c r="K10" s="146"/>
      <c r="L10" s="146"/>
      <c r="M10" s="146"/>
      <c r="N10" s="146"/>
      <c r="O10" s="146"/>
    </row>
    <row r="11" spans="1:15" x14ac:dyDescent="0.25">
      <c r="A11" s="146"/>
      <c r="B11" s="146"/>
      <c r="C11" s="146"/>
      <c r="D11" s="146"/>
      <c r="E11" s="146"/>
      <c r="F11" s="146"/>
      <c r="G11" s="146"/>
      <c r="H11" s="146"/>
      <c r="I11" s="146"/>
      <c r="J11" s="146"/>
      <c r="K11" s="146"/>
      <c r="L11" s="146"/>
      <c r="M11" s="146"/>
      <c r="N11" s="146"/>
      <c r="O11" s="146"/>
    </row>
    <row r="12" spans="1:15" x14ac:dyDescent="0.25">
      <c r="A12" s="146"/>
      <c r="B12" s="146"/>
      <c r="C12" s="146"/>
      <c r="D12" s="146"/>
      <c r="E12" s="146"/>
      <c r="F12" s="146"/>
      <c r="G12" s="146"/>
      <c r="H12" s="146"/>
      <c r="I12" s="146"/>
      <c r="J12" s="146"/>
      <c r="K12" s="146"/>
      <c r="L12" s="146"/>
      <c r="M12" s="146"/>
      <c r="N12" s="146"/>
      <c r="O12" s="146"/>
    </row>
    <row r="13" spans="1:15" x14ac:dyDescent="0.25">
      <c r="A13" s="146"/>
      <c r="B13" s="146"/>
      <c r="C13" s="146"/>
      <c r="D13" s="146"/>
      <c r="E13" s="146"/>
      <c r="F13" s="146"/>
      <c r="G13" s="146"/>
      <c r="H13" s="146"/>
      <c r="I13" s="146"/>
      <c r="J13" s="146"/>
      <c r="K13" s="146"/>
      <c r="L13" s="146"/>
      <c r="M13" s="146"/>
      <c r="N13" s="146"/>
      <c r="O13" s="146"/>
    </row>
    <row r="14" spans="1:15" x14ac:dyDescent="0.25">
      <c r="A14" s="146"/>
      <c r="B14" s="146"/>
      <c r="C14" s="146"/>
      <c r="D14" s="146"/>
      <c r="E14" s="146"/>
      <c r="F14" s="146"/>
      <c r="G14" s="146"/>
      <c r="H14" s="146"/>
      <c r="I14" s="146"/>
      <c r="J14" s="146"/>
      <c r="K14" s="146"/>
      <c r="L14" s="146"/>
      <c r="M14" s="146"/>
      <c r="N14" s="146"/>
      <c r="O14" s="146"/>
    </row>
    <row r="15" spans="1:15" x14ac:dyDescent="0.25">
      <c r="A15" s="146"/>
      <c r="B15" s="146"/>
      <c r="C15" s="146"/>
      <c r="D15" s="146"/>
      <c r="E15" s="146"/>
      <c r="F15" s="146"/>
      <c r="G15" s="146"/>
      <c r="H15" s="146"/>
      <c r="I15" s="146"/>
      <c r="J15" s="146"/>
      <c r="K15" s="146"/>
      <c r="L15" s="146"/>
      <c r="M15" s="146"/>
      <c r="N15" s="146"/>
      <c r="O15" s="146"/>
    </row>
    <row r="16" spans="1:15" x14ac:dyDescent="0.25">
      <c r="A16" s="146"/>
      <c r="B16" s="146"/>
      <c r="C16" s="146"/>
      <c r="D16" s="146"/>
      <c r="E16" s="146"/>
      <c r="F16" s="146"/>
      <c r="G16" s="146"/>
      <c r="H16" s="146"/>
      <c r="I16" s="146"/>
      <c r="J16" s="146"/>
      <c r="K16" s="146"/>
      <c r="L16" s="146"/>
      <c r="M16" s="146"/>
      <c r="N16" s="146"/>
      <c r="O16" s="146"/>
    </row>
    <row r="17" spans="1:15" x14ac:dyDescent="0.25">
      <c r="A17" s="146"/>
      <c r="B17" s="146"/>
      <c r="C17" s="146"/>
      <c r="D17" s="146"/>
      <c r="E17" s="146"/>
      <c r="F17" s="146"/>
      <c r="G17" s="146"/>
      <c r="H17" s="146"/>
      <c r="I17" s="146"/>
      <c r="J17" s="146"/>
      <c r="K17" s="146"/>
      <c r="L17" s="146"/>
      <c r="M17" s="146"/>
      <c r="N17" s="146"/>
      <c r="O17" s="146"/>
    </row>
    <row r="18" spans="1:15" x14ac:dyDescent="0.25">
      <c r="A18" s="146"/>
      <c r="B18" s="146"/>
      <c r="C18" s="146"/>
      <c r="D18" s="146"/>
      <c r="E18" s="146"/>
      <c r="F18" s="146"/>
      <c r="G18" s="146"/>
      <c r="H18" s="146"/>
      <c r="I18" s="146"/>
      <c r="J18" s="146"/>
      <c r="K18" s="146"/>
      <c r="L18" s="146"/>
      <c r="M18" s="146"/>
      <c r="N18" s="146"/>
      <c r="O18" s="146"/>
    </row>
    <row r="19" spans="1:15" x14ac:dyDescent="0.25">
      <c r="A19" s="146"/>
      <c r="B19" s="146"/>
      <c r="C19" s="146"/>
      <c r="D19" s="146"/>
      <c r="E19" s="146"/>
      <c r="F19" s="146"/>
      <c r="G19" s="146"/>
      <c r="H19" s="146"/>
      <c r="I19" s="146"/>
      <c r="J19" s="146"/>
      <c r="K19" s="146"/>
      <c r="L19" s="146"/>
      <c r="M19" s="146"/>
      <c r="N19" s="146"/>
      <c r="O19" s="146"/>
    </row>
    <row r="20" spans="1:15" x14ac:dyDescent="0.25">
      <c r="A20" s="146"/>
      <c r="B20" s="146"/>
      <c r="C20" s="146"/>
      <c r="D20" s="146"/>
      <c r="E20" s="146"/>
      <c r="F20" s="146"/>
      <c r="G20" s="146"/>
      <c r="H20" s="146"/>
      <c r="I20" s="146"/>
      <c r="J20" s="146"/>
      <c r="K20" s="146"/>
      <c r="L20" s="146"/>
      <c r="M20" s="146"/>
      <c r="N20" s="146"/>
      <c r="O20" s="146"/>
    </row>
    <row r="21" spans="1:15" x14ac:dyDescent="0.25">
      <c r="A21" s="146"/>
      <c r="B21" s="146"/>
      <c r="C21" s="146"/>
      <c r="D21" s="146"/>
      <c r="E21" s="146"/>
      <c r="F21" s="146"/>
      <c r="G21" s="146"/>
      <c r="H21" s="146"/>
      <c r="I21" s="146"/>
      <c r="J21" s="146"/>
      <c r="K21" s="146"/>
      <c r="L21" s="146"/>
      <c r="M21" s="146"/>
      <c r="N21" s="146"/>
      <c r="O21" s="146"/>
    </row>
    <row r="22" spans="1:15" x14ac:dyDescent="0.25">
      <c r="A22" s="146"/>
      <c r="B22" s="146"/>
      <c r="C22" s="146"/>
      <c r="D22" s="146"/>
      <c r="E22" s="146"/>
      <c r="F22" s="146"/>
      <c r="G22" s="146"/>
      <c r="H22" s="146"/>
      <c r="I22" s="146"/>
      <c r="J22" s="146"/>
      <c r="K22" s="146"/>
      <c r="L22" s="146"/>
      <c r="M22" s="146"/>
      <c r="N22" s="146"/>
      <c r="O22" s="146"/>
    </row>
    <row r="23" spans="1:15" x14ac:dyDescent="0.25">
      <c r="A23" s="146"/>
      <c r="B23" s="146"/>
      <c r="C23" s="146"/>
      <c r="D23" s="146"/>
      <c r="E23" s="146"/>
      <c r="F23" s="146"/>
      <c r="G23" s="146"/>
      <c r="H23" s="146"/>
      <c r="I23" s="146"/>
      <c r="J23" s="146"/>
      <c r="K23" s="146"/>
      <c r="L23" s="146"/>
      <c r="M23" s="146"/>
      <c r="N23" s="146"/>
      <c r="O23" s="146"/>
    </row>
    <row r="24" spans="1:15" x14ac:dyDescent="0.25">
      <c r="A24" s="146"/>
      <c r="B24" s="146"/>
      <c r="C24" s="146"/>
      <c r="D24" s="146"/>
      <c r="E24" s="146"/>
      <c r="F24" s="146"/>
      <c r="G24" s="146"/>
      <c r="H24" s="146"/>
      <c r="I24" s="146"/>
      <c r="J24" s="146"/>
      <c r="K24" s="146"/>
      <c r="L24" s="146"/>
      <c r="M24" s="146"/>
      <c r="N24" s="146"/>
      <c r="O24" s="146"/>
    </row>
    <row r="25" spans="1:15" x14ac:dyDescent="0.25">
      <c r="A25" s="146"/>
      <c r="B25" s="146"/>
      <c r="C25" s="146"/>
      <c r="D25" s="146"/>
      <c r="E25" s="146"/>
      <c r="F25" s="146"/>
      <c r="G25" s="146"/>
      <c r="H25" s="146"/>
      <c r="I25" s="146"/>
      <c r="J25" s="146"/>
      <c r="K25" s="146"/>
      <c r="L25" s="146"/>
      <c r="M25" s="146"/>
      <c r="N25" s="146"/>
      <c r="O25" s="146"/>
    </row>
    <row r="26" spans="1:15" x14ac:dyDescent="0.25">
      <c r="A26" s="146"/>
      <c r="B26" s="146"/>
      <c r="C26" s="146"/>
      <c r="D26" s="146"/>
      <c r="E26" s="146"/>
      <c r="F26" s="146"/>
      <c r="G26" s="146"/>
      <c r="H26" s="146"/>
      <c r="I26" s="146"/>
      <c r="J26" s="146"/>
      <c r="K26" s="146"/>
      <c r="L26" s="146"/>
      <c r="M26" s="146"/>
      <c r="N26" s="146"/>
      <c r="O26" s="146"/>
    </row>
    <row r="27" spans="1:15" x14ac:dyDescent="0.25">
      <c r="A27" s="146"/>
      <c r="B27" s="146"/>
      <c r="C27" s="146"/>
      <c r="D27" s="146"/>
      <c r="E27" s="146"/>
      <c r="F27" s="146"/>
      <c r="G27" s="146"/>
      <c r="H27" s="146"/>
      <c r="I27" s="146"/>
      <c r="J27" s="146"/>
      <c r="K27" s="146"/>
      <c r="L27" s="146"/>
      <c r="M27" s="146"/>
      <c r="N27" s="146"/>
      <c r="O27" s="146"/>
    </row>
    <row r="28" spans="1:15" x14ac:dyDescent="0.25">
      <c r="A28" s="146"/>
      <c r="B28" s="146"/>
      <c r="C28" s="146"/>
      <c r="D28" s="146"/>
      <c r="E28" s="146"/>
      <c r="F28" s="146"/>
      <c r="G28" s="146"/>
      <c r="H28" s="146"/>
      <c r="I28" s="146"/>
      <c r="J28" s="146"/>
      <c r="K28" s="146"/>
      <c r="L28" s="146"/>
      <c r="M28" s="146"/>
      <c r="N28" s="146"/>
      <c r="O28" s="146"/>
    </row>
    <row r="29" spans="1:15" x14ac:dyDescent="0.25">
      <c r="A29" s="146"/>
      <c r="B29" s="146"/>
      <c r="C29" s="146"/>
      <c r="D29" s="146"/>
      <c r="E29" s="146"/>
      <c r="F29" s="146"/>
      <c r="G29" s="146"/>
      <c r="H29" s="146"/>
      <c r="I29" s="146"/>
      <c r="J29" s="146"/>
      <c r="K29" s="146"/>
      <c r="L29" s="146"/>
      <c r="M29" s="146"/>
      <c r="N29" s="146"/>
      <c r="O29" s="146"/>
    </row>
  </sheetData>
  <mergeCells count="7">
    <mergeCell ref="A1:O1"/>
    <mergeCell ref="B2:O2"/>
    <mergeCell ref="B3:O3"/>
    <mergeCell ref="B4:O4"/>
    <mergeCell ref="A7:O29"/>
    <mergeCell ref="A6:O6"/>
    <mergeCell ref="B5:O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0"/>
  <sheetViews>
    <sheetView zoomScaleNormal="100" workbookViewId="0"/>
  </sheetViews>
  <sheetFormatPr defaultRowHeight="15" x14ac:dyDescent="0.25"/>
  <cols>
    <col min="1" max="1" width="16.5703125" customWidth="1"/>
    <col min="2" max="41" width="11.7109375" customWidth="1"/>
  </cols>
  <sheetData>
    <row r="1" spans="1:15" ht="30" x14ac:dyDescent="0.3">
      <c r="A1" s="32" t="s">
        <v>85</v>
      </c>
      <c r="B1" s="238"/>
      <c r="C1" s="238"/>
      <c r="D1" s="238"/>
      <c r="E1" s="238"/>
      <c r="F1" s="238"/>
      <c r="G1" s="238"/>
      <c r="H1" s="238"/>
      <c r="I1" s="238"/>
      <c r="J1" s="238"/>
      <c r="K1" s="238"/>
      <c r="L1" s="238"/>
      <c r="M1" s="238"/>
      <c r="N1" s="238"/>
      <c r="O1" s="238"/>
    </row>
    <row r="2" spans="1:15" ht="18.75" x14ac:dyDescent="0.3">
      <c r="A2" s="32" t="s">
        <v>86</v>
      </c>
      <c r="B2" s="238"/>
      <c r="C2" s="238"/>
      <c r="D2" s="238"/>
      <c r="E2" s="238"/>
      <c r="F2" s="238"/>
      <c r="G2" s="238"/>
      <c r="H2" s="238"/>
      <c r="I2" s="238"/>
      <c r="J2" s="238"/>
      <c r="K2" s="238"/>
      <c r="L2" s="238"/>
      <c r="M2" s="238"/>
      <c r="N2" s="238"/>
      <c r="O2" s="238"/>
    </row>
    <row r="3" spans="1:15" x14ac:dyDescent="0.25">
      <c r="A3" s="30" t="s">
        <v>87</v>
      </c>
      <c r="B3" s="122"/>
      <c r="C3" s="122"/>
      <c r="D3" s="122"/>
      <c r="E3" s="122"/>
      <c r="F3" s="122"/>
      <c r="G3" s="122"/>
      <c r="H3" s="122"/>
      <c r="I3" s="122"/>
      <c r="J3" s="122"/>
      <c r="K3" s="122"/>
      <c r="L3" s="122"/>
      <c r="M3" s="122"/>
      <c r="N3" s="122"/>
      <c r="O3" s="122"/>
    </row>
    <row r="4" spans="1:15" ht="46.5" customHeight="1" x14ac:dyDescent="0.25">
      <c r="A4" s="32" t="s">
        <v>88</v>
      </c>
      <c r="B4" s="239"/>
      <c r="C4" s="239"/>
      <c r="D4" s="239"/>
      <c r="E4" s="239"/>
      <c r="F4" s="239"/>
      <c r="G4" s="239"/>
      <c r="H4" s="239"/>
      <c r="I4" s="239"/>
      <c r="J4" s="239"/>
      <c r="K4" s="239"/>
      <c r="L4" s="239"/>
      <c r="M4" s="239"/>
      <c r="N4" s="239"/>
      <c r="O4" s="239"/>
    </row>
    <row r="5" spans="1:15" x14ac:dyDescent="0.25">
      <c r="A5" s="30" t="s">
        <v>89</v>
      </c>
      <c r="B5" s="240"/>
      <c r="C5" s="241"/>
      <c r="D5" s="241"/>
      <c r="E5" s="241"/>
      <c r="F5" s="241"/>
      <c r="G5" s="241"/>
      <c r="H5" s="241"/>
      <c r="I5" s="241"/>
      <c r="J5" s="241"/>
      <c r="K5" s="241"/>
      <c r="L5" s="241"/>
      <c r="M5" s="241"/>
      <c r="N5" s="241"/>
      <c r="O5" s="242"/>
    </row>
    <row r="6" spans="1:15" ht="30" x14ac:dyDescent="0.25">
      <c r="A6" s="33" t="s">
        <v>90</v>
      </c>
      <c r="B6" s="243"/>
      <c r="C6" s="243"/>
      <c r="D6" s="243"/>
      <c r="E6" s="243"/>
      <c r="F6" s="243"/>
      <c r="G6" s="243"/>
      <c r="H6" s="243"/>
      <c r="I6" s="243"/>
      <c r="J6" s="243"/>
      <c r="K6" s="243"/>
      <c r="L6" s="243"/>
      <c r="M6" s="243"/>
      <c r="N6" s="243"/>
      <c r="O6" s="243"/>
    </row>
    <row r="7" spans="1:15" ht="18.75" x14ac:dyDescent="0.3">
      <c r="A7" s="179" t="s">
        <v>92</v>
      </c>
      <c r="B7" s="179"/>
      <c r="C7" s="179"/>
      <c r="D7" s="179"/>
      <c r="E7" s="179"/>
      <c r="F7" s="179"/>
      <c r="G7" s="179"/>
      <c r="H7" s="179"/>
      <c r="I7" s="179"/>
      <c r="J7" s="179"/>
      <c r="K7" s="179"/>
      <c r="L7" s="179"/>
      <c r="M7" s="179"/>
      <c r="N7" s="179"/>
      <c r="O7" s="179"/>
    </row>
    <row r="8" spans="1:15" x14ac:dyDescent="0.25">
      <c r="A8" s="150" t="s">
        <v>76</v>
      </c>
      <c r="B8" s="151"/>
      <c r="C8" s="152"/>
      <c r="D8" s="25"/>
    </row>
    <row r="9" spans="1:15" x14ac:dyDescent="0.25">
      <c r="A9" s="180" t="s">
        <v>77</v>
      </c>
      <c r="B9" s="148"/>
      <c r="C9" s="149"/>
      <c r="D9" s="24"/>
    </row>
    <row r="10" spans="1:15" ht="29.25" customHeight="1" x14ac:dyDescent="0.25">
      <c r="A10" s="244" t="s">
        <v>164</v>
      </c>
      <c r="B10" s="245"/>
      <c r="C10" s="245"/>
      <c r="D10" s="245"/>
      <c r="E10" s="245"/>
      <c r="F10" s="245"/>
      <c r="G10" s="245"/>
      <c r="H10" s="245"/>
      <c r="I10" s="245"/>
      <c r="J10" s="245"/>
      <c r="K10" s="246"/>
    </row>
    <row r="11" spans="1:15" x14ac:dyDescent="0.25">
      <c r="A11" s="28"/>
      <c r="B11" s="143" t="s">
        <v>57</v>
      </c>
      <c r="C11" s="144"/>
      <c r="D11" s="144"/>
      <c r="E11" s="144"/>
      <c r="F11" s="144"/>
      <c r="G11" s="144"/>
      <c r="H11" s="144"/>
      <c r="I11" s="144"/>
      <c r="J11" s="144"/>
      <c r="K11" s="145"/>
    </row>
    <row r="12" spans="1:15" x14ac:dyDescent="0.25">
      <c r="A12" s="29"/>
      <c r="B12" s="140" t="s">
        <v>152</v>
      </c>
      <c r="C12" s="141"/>
      <c r="D12" s="142"/>
      <c r="E12" s="140" t="s">
        <v>155</v>
      </c>
      <c r="F12" s="141"/>
      <c r="G12" s="142"/>
      <c r="H12" s="140" t="s">
        <v>156</v>
      </c>
      <c r="I12" s="141"/>
      <c r="J12" s="141"/>
      <c r="K12" s="142"/>
    </row>
    <row r="13" spans="1:15" ht="60" x14ac:dyDescent="0.25">
      <c r="A13" s="2" t="s">
        <v>0</v>
      </c>
      <c r="B13" s="15" t="s">
        <v>37</v>
      </c>
      <c r="C13" s="15" t="s">
        <v>154</v>
      </c>
      <c r="D13" s="15" t="s">
        <v>153</v>
      </c>
      <c r="E13" s="15" t="s">
        <v>37</v>
      </c>
      <c r="F13" s="15" t="s">
        <v>158</v>
      </c>
      <c r="G13" s="15" t="s">
        <v>153</v>
      </c>
      <c r="H13" s="15" t="s">
        <v>159</v>
      </c>
      <c r="I13" s="15" t="s">
        <v>160</v>
      </c>
      <c r="J13" s="15" t="s">
        <v>161</v>
      </c>
      <c r="K13" s="15" t="s">
        <v>163</v>
      </c>
    </row>
    <row r="14" spans="1:15" x14ac:dyDescent="0.25">
      <c r="A14" s="3" t="s">
        <v>1</v>
      </c>
      <c r="B14" s="2"/>
      <c r="C14" s="2"/>
      <c r="D14" s="2"/>
      <c r="E14" s="2"/>
      <c r="F14" s="2"/>
      <c r="G14" s="2"/>
      <c r="H14" s="2"/>
      <c r="I14" s="2"/>
      <c r="J14" s="2"/>
      <c r="K14" s="20"/>
    </row>
    <row r="15" spans="1:15" x14ac:dyDescent="0.25">
      <c r="A15" s="3">
        <v>1</v>
      </c>
      <c r="B15" s="2"/>
      <c r="C15" s="2"/>
      <c r="D15" s="2"/>
      <c r="E15" s="2"/>
      <c r="F15" s="2"/>
      <c r="G15" s="2"/>
      <c r="H15" s="2"/>
      <c r="I15" s="2"/>
      <c r="J15" s="2"/>
      <c r="K15" s="20"/>
    </row>
    <row r="16" spans="1:15" x14ac:dyDescent="0.25">
      <c r="A16" s="3">
        <v>2</v>
      </c>
      <c r="B16" s="2"/>
      <c r="C16" s="2"/>
      <c r="D16" s="2"/>
      <c r="E16" s="2"/>
      <c r="F16" s="2"/>
      <c r="G16" s="2"/>
      <c r="H16" s="2"/>
      <c r="I16" s="2"/>
      <c r="J16" s="2"/>
      <c r="K16" s="20"/>
    </row>
    <row r="17" spans="1:11" x14ac:dyDescent="0.25">
      <c r="A17" s="22">
        <v>3</v>
      </c>
      <c r="B17" s="4"/>
      <c r="C17" s="4"/>
      <c r="D17" s="4"/>
      <c r="E17" s="4"/>
      <c r="F17" s="4"/>
      <c r="G17" s="4"/>
      <c r="H17" s="2"/>
      <c r="I17" s="2"/>
      <c r="J17" s="2"/>
      <c r="K17" s="20"/>
    </row>
    <row r="18" spans="1:11" x14ac:dyDescent="0.25">
      <c r="A18" s="22">
        <v>4</v>
      </c>
      <c r="B18" s="4"/>
      <c r="C18" s="4"/>
      <c r="D18" s="4"/>
      <c r="E18" s="4"/>
      <c r="F18" s="4"/>
      <c r="G18" s="4"/>
      <c r="H18" s="4"/>
      <c r="I18" s="4"/>
      <c r="J18" s="4"/>
      <c r="K18" s="36"/>
    </row>
    <row r="19" spans="1:11" x14ac:dyDescent="0.25">
      <c r="A19" s="22">
        <v>5</v>
      </c>
      <c r="B19" s="4"/>
      <c r="C19" s="4"/>
      <c r="D19" s="4"/>
      <c r="E19" s="4"/>
      <c r="F19" s="4"/>
      <c r="G19" s="4"/>
      <c r="H19" s="4"/>
      <c r="I19" s="4"/>
      <c r="J19" s="4"/>
      <c r="K19" s="36"/>
    </row>
    <row r="20" spans="1:11" x14ac:dyDescent="0.25">
      <c r="A20" s="22">
        <v>6</v>
      </c>
      <c r="B20" s="4"/>
      <c r="C20" s="4"/>
      <c r="D20" s="4"/>
      <c r="E20" s="4"/>
      <c r="F20" s="4"/>
      <c r="G20" s="4"/>
      <c r="H20" s="4"/>
      <c r="I20" s="4"/>
      <c r="J20" s="4"/>
      <c r="K20" s="36"/>
    </row>
    <row r="21" spans="1:11" x14ac:dyDescent="0.25">
      <c r="A21" s="22">
        <v>7</v>
      </c>
      <c r="B21" s="4"/>
      <c r="C21" s="4"/>
      <c r="D21" s="4"/>
      <c r="E21" s="4"/>
      <c r="F21" s="4"/>
      <c r="G21" s="4"/>
      <c r="H21" s="4"/>
      <c r="I21" s="4"/>
      <c r="J21" s="4"/>
      <c r="K21" s="36"/>
    </row>
    <row r="22" spans="1:11" x14ac:dyDescent="0.25">
      <c r="A22" s="22">
        <v>8</v>
      </c>
      <c r="B22" s="4"/>
      <c r="C22" s="4"/>
      <c r="D22" s="4"/>
      <c r="E22" s="4"/>
      <c r="F22" s="4"/>
      <c r="G22" s="4"/>
      <c r="H22" s="4"/>
      <c r="I22" s="4"/>
      <c r="J22" s="4"/>
      <c r="K22" s="36"/>
    </row>
    <row r="23" spans="1:11" x14ac:dyDescent="0.25">
      <c r="A23" s="22">
        <v>9</v>
      </c>
      <c r="B23" s="4"/>
      <c r="C23" s="4"/>
      <c r="D23" s="4"/>
      <c r="E23" s="4"/>
      <c r="F23" s="4"/>
      <c r="G23" s="4"/>
      <c r="H23" s="4"/>
      <c r="I23" s="4"/>
      <c r="J23" s="4"/>
      <c r="K23" s="36"/>
    </row>
    <row r="24" spans="1:11" x14ac:dyDescent="0.25">
      <c r="A24" s="22">
        <v>10</v>
      </c>
      <c r="B24" s="4"/>
      <c r="C24" s="4"/>
      <c r="D24" s="4"/>
      <c r="E24" s="4"/>
      <c r="F24" s="4"/>
      <c r="G24" s="4"/>
      <c r="H24" s="4"/>
      <c r="I24" s="4"/>
      <c r="J24" s="4"/>
      <c r="K24" s="36"/>
    </row>
    <row r="25" spans="1:11" x14ac:dyDescent="0.25">
      <c r="A25" s="3">
        <v>11</v>
      </c>
      <c r="B25" s="2"/>
      <c r="C25" s="2"/>
      <c r="D25" s="2"/>
      <c r="E25" s="2"/>
      <c r="F25" s="2"/>
      <c r="G25" s="2"/>
      <c r="H25" s="2"/>
      <c r="I25" s="2"/>
      <c r="J25" s="2"/>
      <c r="K25" s="20"/>
    </row>
    <row r="26" spans="1:11" x14ac:dyDescent="0.25">
      <c r="A26" s="3">
        <v>12</v>
      </c>
      <c r="B26" s="2"/>
      <c r="C26" s="2"/>
      <c r="D26" s="2"/>
      <c r="E26" s="2"/>
      <c r="F26" s="2"/>
      <c r="G26" s="2"/>
      <c r="H26" s="2"/>
      <c r="I26" s="2"/>
      <c r="J26" s="2"/>
      <c r="K26" s="20"/>
    </row>
    <row r="27" spans="1:11" x14ac:dyDescent="0.25">
      <c r="B27" s="161" t="s">
        <v>102</v>
      </c>
      <c r="C27" s="162"/>
      <c r="D27" s="162"/>
      <c r="E27" s="162"/>
      <c r="F27" s="162"/>
      <c r="G27" s="162"/>
      <c r="H27" s="162"/>
      <c r="I27" s="162"/>
      <c r="J27" s="162"/>
      <c r="K27" s="163"/>
    </row>
    <row r="28" spans="1:11" x14ac:dyDescent="0.25">
      <c r="B28" s="164" t="s">
        <v>157</v>
      </c>
      <c r="C28" s="165"/>
      <c r="D28" s="166"/>
      <c r="E28" s="164" t="s">
        <v>155</v>
      </c>
      <c r="F28" s="165"/>
      <c r="G28" s="166"/>
      <c r="H28" s="164" t="s">
        <v>156</v>
      </c>
      <c r="I28" s="165"/>
      <c r="J28" s="165"/>
      <c r="K28" s="166"/>
    </row>
    <row r="29" spans="1:11" ht="60" x14ac:dyDescent="0.25">
      <c r="B29" s="16" t="s">
        <v>37</v>
      </c>
      <c r="C29" s="16" t="s">
        <v>162</v>
      </c>
      <c r="D29" s="16" t="s">
        <v>153</v>
      </c>
      <c r="E29" s="16" t="s">
        <v>37</v>
      </c>
      <c r="F29" s="16" t="s">
        <v>158</v>
      </c>
      <c r="G29" s="16" t="s">
        <v>153</v>
      </c>
      <c r="H29" s="16" t="s">
        <v>159</v>
      </c>
      <c r="I29" s="16" t="s">
        <v>160</v>
      </c>
      <c r="J29" s="16" t="s">
        <v>161</v>
      </c>
      <c r="K29" s="16" t="s">
        <v>163</v>
      </c>
    </row>
    <row r="30" spans="1:11" x14ac:dyDescent="0.25">
      <c r="B30" s="2"/>
      <c r="C30" s="2"/>
      <c r="D30" s="2"/>
      <c r="E30" s="2"/>
      <c r="F30" s="2"/>
      <c r="G30" s="2"/>
      <c r="H30" s="2"/>
      <c r="I30" s="2"/>
      <c r="J30" s="2"/>
      <c r="K30" s="20"/>
    </row>
    <row r="31" spans="1:11" x14ac:dyDescent="0.25">
      <c r="B31" s="2"/>
      <c r="C31" s="2"/>
      <c r="D31" s="2"/>
      <c r="E31" s="2"/>
      <c r="F31" s="2"/>
      <c r="G31" s="2"/>
      <c r="H31" s="2"/>
      <c r="I31" s="2"/>
      <c r="J31" s="2"/>
      <c r="K31" s="20"/>
    </row>
    <row r="32" spans="1:11" x14ac:dyDescent="0.25">
      <c r="B32" s="2"/>
      <c r="C32" s="2"/>
      <c r="D32" s="2"/>
      <c r="E32" s="2"/>
      <c r="F32" s="2"/>
      <c r="G32" s="2"/>
      <c r="H32" s="2"/>
      <c r="I32" s="2"/>
      <c r="J32" s="2"/>
      <c r="K32" s="20"/>
    </row>
    <row r="33" spans="2:11" x14ac:dyDescent="0.25">
      <c r="B33" s="4"/>
      <c r="C33" s="4"/>
      <c r="D33" s="4"/>
      <c r="E33" s="4"/>
      <c r="F33" s="4"/>
      <c r="G33" s="4"/>
      <c r="H33" s="2"/>
      <c r="I33" s="2"/>
      <c r="J33" s="2"/>
      <c r="K33" s="20"/>
    </row>
    <row r="34" spans="2:11" x14ac:dyDescent="0.25">
      <c r="B34" s="4"/>
      <c r="C34" s="4"/>
      <c r="D34" s="4"/>
      <c r="E34" s="4"/>
      <c r="F34" s="4"/>
      <c r="G34" s="4"/>
      <c r="H34" s="4"/>
      <c r="I34" s="4"/>
      <c r="J34" s="4"/>
      <c r="K34" s="36"/>
    </row>
    <row r="35" spans="2:11" x14ac:dyDescent="0.25">
      <c r="B35" s="4"/>
      <c r="C35" s="4"/>
      <c r="D35" s="4"/>
      <c r="E35" s="4"/>
      <c r="F35" s="4"/>
      <c r="G35" s="4"/>
      <c r="H35" s="4"/>
      <c r="I35" s="4"/>
      <c r="J35" s="4"/>
      <c r="K35" s="36"/>
    </row>
    <row r="36" spans="2:11" x14ac:dyDescent="0.25">
      <c r="B36" s="4"/>
      <c r="C36" s="4"/>
      <c r="D36" s="4"/>
      <c r="E36" s="4"/>
      <c r="F36" s="4"/>
      <c r="G36" s="4"/>
      <c r="H36" s="4"/>
      <c r="I36" s="4"/>
      <c r="J36" s="4"/>
      <c r="K36" s="36"/>
    </row>
    <row r="37" spans="2:11" x14ac:dyDescent="0.25">
      <c r="B37" s="4"/>
      <c r="C37" s="4"/>
      <c r="D37" s="4"/>
      <c r="E37" s="4"/>
      <c r="F37" s="4"/>
      <c r="G37" s="4"/>
      <c r="H37" s="4"/>
      <c r="I37" s="4"/>
      <c r="J37" s="4"/>
      <c r="K37" s="36"/>
    </row>
    <row r="38" spans="2:11" x14ac:dyDescent="0.25">
      <c r="B38" s="4"/>
      <c r="C38" s="4"/>
      <c r="D38" s="4"/>
      <c r="E38" s="4"/>
      <c r="F38" s="4"/>
      <c r="G38" s="4"/>
      <c r="H38" s="4"/>
      <c r="I38" s="4"/>
      <c r="J38" s="4"/>
      <c r="K38" s="36"/>
    </row>
    <row r="39" spans="2:11" x14ac:dyDescent="0.25">
      <c r="B39" s="4"/>
      <c r="C39" s="4"/>
      <c r="D39" s="4"/>
      <c r="E39" s="4"/>
      <c r="F39" s="4"/>
      <c r="G39" s="4"/>
      <c r="H39" s="4"/>
      <c r="I39" s="4"/>
      <c r="J39" s="4"/>
      <c r="K39" s="36"/>
    </row>
    <row r="40" spans="2:11" x14ac:dyDescent="0.25">
      <c r="B40" s="4"/>
      <c r="C40" s="4"/>
      <c r="D40" s="4"/>
      <c r="E40" s="4"/>
      <c r="F40" s="4"/>
      <c r="G40" s="4"/>
      <c r="H40" s="4"/>
      <c r="I40" s="4"/>
      <c r="J40" s="4"/>
      <c r="K40" s="36"/>
    </row>
    <row r="41" spans="2:11" x14ac:dyDescent="0.25">
      <c r="B41" s="2"/>
      <c r="C41" s="2"/>
      <c r="D41" s="2"/>
      <c r="E41" s="2"/>
      <c r="F41" s="2"/>
      <c r="G41" s="2"/>
      <c r="H41" s="2"/>
      <c r="I41" s="2"/>
      <c r="J41" s="2"/>
      <c r="K41" s="20"/>
    </row>
    <row r="42" spans="2:11" x14ac:dyDescent="0.25">
      <c r="B42" s="2"/>
      <c r="C42" s="2"/>
      <c r="D42" s="2"/>
      <c r="E42" s="2"/>
      <c r="F42" s="2"/>
      <c r="G42" s="2"/>
      <c r="H42" s="2"/>
      <c r="I42" s="2"/>
      <c r="J42" s="2"/>
      <c r="K42" s="20"/>
    </row>
    <row r="43" spans="2:11" x14ac:dyDescent="0.25">
      <c r="B43" s="167" t="s">
        <v>60</v>
      </c>
      <c r="C43" s="168"/>
      <c r="D43" s="168"/>
      <c r="E43" s="168"/>
      <c r="F43" s="168"/>
      <c r="G43" s="168"/>
      <c r="H43" s="168"/>
      <c r="I43" s="168"/>
      <c r="J43" s="168"/>
      <c r="K43" s="169"/>
    </row>
    <row r="44" spans="2:11" x14ac:dyDescent="0.25">
      <c r="B44" s="137" t="s">
        <v>157</v>
      </c>
      <c r="C44" s="138"/>
      <c r="D44" s="139"/>
      <c r="E44" s="137" t="s">
        <v>155</v>
      </c>
      <c r="F44" s="138"/>
      <c r="G44" s="139"/>
      <c r="H44" s="137" t="s">
        <v>156</v>
      </c>
      <c r="I44" s="138"/>
      <c r="J44" s="138"/>
      <c r="K44" s="139"/>
    </row>
    <row r="45" spans="2:11" ht="60" x14ac:dyDescent="0.25">
      <c r="B45" s="14" t="s">
        <v>37</v>
      </c>
      <c r="C45" s="14" t="s">
        <v>162</v>
      </c>
      <c r="D45" s="14" t="s">
        <v>153</v>
      </c>
      <c r="E45" s="14" t="s">
        <v>37</v>
      </c>
      <c r="F45" s="14" t="s">
        <v>158</v>
      </c>
      <c r="G45" s="14" t="s">
        <v>153</v>
      </c>
      <c r="H45" s="14" t="s">
        <v>159</v>
      </c>
      <c r="I45" s="14" t="s">
        <v>160</v>
      </c>
      <c r="J45" s="14" t="s">
        <v>161</v>
      </c>
      <c r="K45" s="14" t="s">
        <v>163</v>
      </c>
    </row>
    <row r="46" spans="2:11" x14ac:dyDescent="0.25">
      <c r="B46" s="2"/>
      <c r="C46" s="2"/>
      <c r="D46" s="2"/>
      <c r="E46" s="2"/>
      <c r="F46" s="2"/>
      <c r="G46" s="2"/>
      <c r="H46" s="2"/>
      <c r="I46" s="2"/>
      <c r="J46" s="2"/>
      <c r="K46" s="20"/>
    </row>
    <row r="47" spans="2:11" x14ac:dyDescent="0.25">
      <c r="B47" s="2"/>
      <c r="C47" s="2"/>
      <c r="D47" s="2"/>
      <c r="E47" s="2"/>
      <c r="F47" s="2"/>
      <c r="G47" s="2"/>
      <c r="H47" s="2"/>
      <c r="I47" s="2"/>
      <c r="J47" s="2"/>
      <c r="K47" s="20"/>
    </row>
    <row r="48" spans="2:11" x14ac:dyDescent="0.25">
      <c r="B48" s="2"/>
      <c r="C48" s="2"/>
      <c r="D48" s="2"/>
      <c r="E48" s="2"/>
      <c r="F48" s="2"/>
      <c r="G48" s="2"/>
      <c r="H48" s="2"/>
      <c r="I48" s="2"/>
      <c r="J48" s="2"/>
      <c r="K48" s="20"/>
    </row>
    <row r="49" spans="2:11" x14ac:dyDescent="0.25">
      <c r="B49" s="4"/>
      <c r="C49" s="4"/>
      <c r="D49" s="4"/>
      <c r="E49" s="4"/>
      <c r="F49" s="4"/>
      <c r="G49" s="4"/>
      <c r="H49" s="2"/>
      <c r="I49" s="2"/>
      <c r="J49" s="2"/>
      <c r="K49" s="20"/>
    </row>
    <row r="50" spans="2:11" x14ac:dyDescent="0.25">
      <c r="B50" s="4"/>
      <c r="C50" s="4"/>
      <c r="D50" s="4"/>
      <c r="E50" s="4"/>
      <c r="F50" s="4"/>
      <c r="G50" s="4"/>
      <c r="H50" s="4"/>
      <c r="I50" s="4"/>
      <c r="J50" s="4"/>
      <c r="K50" s="36"/>
    </row>
    <row r="51" spans="2:11" x14ac:dyDescent="0.25">
      <c r="B51" s="4"/>
      <c r="C51" s="4"/>
      <c r="D51" s="4"/>
      <c r="E51" s="4"/>
      <c r="F51" s="4"/>
      <c r="G51" s="4"/>
      <c r="H51" s="4"/>
      <c r="I51" s="4"/>
      <c r="J51" s="4"/>
      <c r="K51" s="36"/>
    </row>
    <row r="52" spans="2:11" x14ac:dyDescent="0.25">
      <c r="B52" s="4"/>
      <c r="C52" s="4"/>
      <c r="D52" s="4"/>
      <c r="E52" s="4"/>
      <c r="F52" s="4"/>
      <c r="G52" s="4"/>
      <c r="H52" s="4"/>
      <c r="I52" s="4"/>
      <c r="J52" s="4"/>
      <c r="K52" s="36"/>
    </row>
    <row r="53" spans="2:11" x14ac:dyDescent="0.25">
      <c r="B53" s="4"/>
      <c r="C53" s="4"/>
      <c r="D53" s="4"/>
      <c r="E53" s="4"/>
      <c r="F53" s="4"/>
      <c r="G53" s="4"/>
      <c r="H53" s="4"/>
      <c r="I53" s="4"/>
      <c r="J53" s="4"/>
      <c r="K53" s="36"/>
    </row>
    <row r="54" spans="2:11" x14ac:dyDescent="0.25">
      <c r="B54" s="4"/>
      <c r="C54" s="4"/>
      <c r="D54" s="4"/>
      <c r="E54" s="4"/>
      <c r="F54" s="4"/>
      <c r="G54" s="4"/>
      <c r="H54" s="4"/>
      <c r="I54" s="4"/>
      <c r="J54" s="4"/>
      <c r="K54" s="36"/>
    </row>
    <row r="55" spans="2:11" x14ac:dyDescent="0.25">
      <c r="B55" s="4"/>
      <c r="C55" s="4"/>
      <c r="D55" s="4"/>
      <c r="E55" s="4"/>
      <c r="F55" s="4"/>
      <c r="G55" s="4"/>
      <c r="H55" s="4"/>
      <c r="I55" s="4"/>
      <c r="J55" s="4"/>
      <c r="K55" s="36"/>
    </row>
    <row r="56" spans="2:11" x14ac:dyDescent="0.25">
      <c r="B56" s="4"/>
      <c r="C56" s="4"/>
      <c r="D56" s="4"/>
      <c r="E56" s="4"/>
      <c r="F56" s="4"/>
      <c r="G56" s="4"/>
      <c r="H56" s="4"/>
      <c r="I56" s="4"/>
      <c r="J56" s="4"/>
      <c r="K56" s="36"/>
    </row>
    <row r="57" spans="2:11" x14ac:dyDescent="0.25">
      <c r="B57" s="2"/>
      <c r="C57" s="2"/>
      <c r="D57" s="2"/>
      <c r="E57" s="2"/>
      <c r="F57" s="2"/>
      <c r="G57" s="2"/>
      <c r="H57" s="2"/>
      <c r="I57" s="2"/>
      <c r="J57" s="2"/>
      <c r="K57" s="20"/>
    </row>
    <row r="58" spans="2:11" x14ac:dyDescent="0.25">
      <c r="B58" s="2"/>
      <c r="C58" s="2"/>
      <c r="D58" s="2"/>
      <c r="E58" s="2"/>
      <c r="F58" s="2"/>
      <c r="G58" s="2"/>
      <c r="H58" s="2"/>
      <c r="I58" s="2"/>
      <c r="J58" s="2"/>
      <c r="K58" s="20"/>
    </row>
    <row r="59" spans="2:11" x14ac:dyDescent="0.25">
      <c r="B59" s="190" t="s">
        <v>103</v>
      </c>
      <c r="C59" s="191"/>
      <c r="D59" s="191"/>
      <c r="E59" s="191"/>
      <c r="F59" s="191"/>
      <c r="G59" s="191"/>
      <c r="H59" s="191"/>
      <c r="I59" s="191"/>
      <c r="J59" s="191"/>
      <c r="K59" s="192"/>
    </row>
    <row r="60" spans="2:11" x14ac:dyDescent="0.25">
      <c r="B60" s="193" t="s">
        <v>157</v>
      </c>
      <c r="C60" s="194"/>
      <c r="D60" s="195"/>
      <c r="E60" s="193" t="s">
        <v>155</v>
      </c>
      <c r="F60" s="194"/>
      <c r="G60" s="195"/>
      <c r="H60" s="193" t="s">
        <v>156</v>
      </c>
      <c r="I60" s="194"/>
      <c r="J60" s="194"/>
      <c r="K60" s="195"/>
    </row>
    <row r="61" spans="2:11" ht="60" x14ac:dyDescent="0.25">
      <c r="B61" s="19" t="s">
        <v>37</v>
      </c>
      <c r="C61" s="19" t="s">
        <v>162</v>
      </c>
      <c r="D61" s="19" t="s">
        <v>153</v>
      </c>
      <c r="E61" s="19" t="s">
        <v>37</v>
      </c>
      <c r="F61" s="19" t="s">
        <v>158</v>
      </c>
      <c r="G61" s="19" t="s">
        <v>153</v>
      </c>
      <c r="H61" s="19" t="s">
        <v>159</v>
      </c>
      <c r="I61" s="19" t="s">
        <v>160</v>
      </c>
      <c r="J61" s="19" t="s">
        <v>161</v>
      </c>
      <c r="K61" s="19" t="s">
        <v>163</v>
      </c>
    </row>
    <row r="62" spans="2:11" x14ac:dyDescent="0.25">
      <c r="B62" s="2"/>
      <c r="C62" s="2"/>
      <c r="D62" s="2"/>
      <c r="E62" s="2"/>
      <c r="F62" s="2"/>
      <c r="G62" s="2"/>
      <c r="H62" s="2"/>
      <c r="I62" s="2"/>
      <c r="J62" s="2"/>
      <c r="K62" s="20"/>
    </row>
    <row r="63" spans="2:11" x14ac:dyDescent="0.25">
      <c r="B63" s="2"/>
      <c r="C63" s="2"/>
      <c r="D63" s="2"/>
      <c r="E63" s="2"/>
      <c r="F63" s="2"/>
      <c r="G63" s="2"/>
      <c r="H63" s="2"/>
      <c r="I63" s="2"/>
      <c r="J63" s="2"/>
      <c r="K63" s="20"/>
    </row>
    <row r="64" spans="2:11" x14ac:dyDescent="0.25">
      <c r="B64" s="2"/>
      <c r="C64" s="2"/>
      <c r="D64" s="2"/>
      <c r="E64" s="2"/>
      <c r="F64" s="2"/>
      <c r="G64" s="2"/>
      <c r="H64" s="2"/>
      <c r="I64" s="2"/>
      <c r="J64" s="2"/>
      <c r="K64" s="20"/>
    </row>
    <row r="65" spans="2:11" x14ac:dyDescent="0.25">
      <c r="B65" s="4"/>
      <c r="C65" s="4"/>
      <c r="D65" s="4"/>
      <c r="E65" s="4"/>
      <c r="F65" s="4"/>
      <c r="G65" s="4"/>
      <c r="H65" s="2"/>
      <c r="I65" s="2"/>
      <c r="J65" s="2"/>
      <c r="K65" s="20"/>
    </row>
    <row r="66" spans="2:11" x14ac:dyDescent="0.25">
      <c r="B66" s="4"/>
      <c r="C66" s="4"/>
      <c r="D66" s="4"/>
      <c r="E66" s="4"/>
      <c r="F66" s="4"/>
      <c r="G66" s="4"/>
      <c r="H66" s="4"/>
      <c r="I66" s="4"/>
      <c r="J66" s="4"/>
      <c r="K66" s="36"/>
    </row>
    <row r="67" spans="2:11" x14ac:dyDescent="0.25">
      <c r="B67" s="4"/>
      <c r="C67" s="4"/>
      <c r="D67" s="4"/>
      <c r="E67" s="4"/>
      <c r="F67" s="4"/>
      <c r="G67" s="4"/>
      <c r="H67" s="4"/>
      <c r="I67" s="4"/>
      <c r="J67" s="4"/>
      <c r="K67" s="36"/>
    </row>
    <row r="68" spans="2:11" x14ac:dyDescent="0.25">
      <c r="B68" s="4"/>
      <c r="C68" s="4"/>
      <c r="D68" s="4"/>
      <c r="E68" s="4"/>
      <c r="F68" s="4"/>
      <c r="G68" s="4"/>
      <c r="H68" s="4"/>
      <c r="I68" s="4"/>
      <c r="J68" s="4"/>
      <c r="K68" s="36"/>
    </row>
    <row r="69" spans="2:11" x14ac:dyDescent="0.25">
      <c r="B69" s="4"/>
      <c r="C69" s="4"/>
      <c r="D69" s="4"/>
      <c r="E69" s="4"/>
      <c r="F69" s="4"/>
      <c r="G69" s="4"/>
      <c r="H69" s="4"/>
      <c r="I69" s="4"/>
      <c r="J69" s="4"/>
      <c r="K69" s="36"/>
    </row>
    <row r="70" spans="2:11" x14ac:dyDescent="0.25">
      <c r="B70" s="4"/>
      <c r="C70" s="4"/>
      <c r="D70" s="4"/>
      <c r="E70" s="4"/>
      <c r="F70" s="4"/>
      <c r="G70" s="4"/>
      <c r="H70" s="4"/>
      <c r="I70" s="4"/>
      <c r="J70" s="4"/>
      <c r="K70" s="36"/>
    </row>
    <row r="71" spans="2:11" x14ac:dyDescent="0.25">
      <c r="B71" s="4"/>
      <c r="C71" s="4"/>
      <c r="D71" s="4"/>
      <c r="E71" s="4"/>
      <c r="F71" s="4"/>
      <c r="G71" s="4"/>
      <c r="H71" s="4"/>
      <c r="I71" s="4"/>
      <c r="J71" s="4"/>
      <c r="K71" s="36"/>
    </row>
    <row r="72" spans="2:11" x14ac:dyDescent="0.25">
      <c r="B72" s="4"/>
      <c r="C72" s="4"/>
      <c r="D72" s="4"/>
      <c r="E72" s="4"/>
      <c r="F72" s="4"/>
      <c r="G72" s="4"/>
      <c r="H72" s="4"/>
      <c r="I72" s="4"/>
      <c r="J72" s="4"/>
      <c r="K72" s="36"/>
    </row>
    <row r="73" spans="2:11" x14ac:dyDescent="0.25">
      <c r="B73" s="2"/>
      <c r="C73" s="2"/>
      <c r="D73" s="2"/>
      <c r="E73" s="2"/>
      <c r="F73" s="2"/>
      <c r="G73" s="2"/>
      <c r="H73" s="2"/>
      <c r="I73" s="2"/>
      <c r="J73" s="2"/>
      <c r="K73" s="20"/>
    </row>
    <row r="74" spans="2:11" x14ac:dyDescent="0.25">
      <c r="B74" s="2"/>
      <c r="C74" s="2"/>
      <c r="D74" s="2"/>
      <c r="E74" s="2"/>
      <c r="F74" s="2"/>
      <c r="G74" s="2"/>
      <c r="H74" s="2"/>
      <c r="I74" s="2"/>
      <c r="J74" s="2"/>
      <c r="K74" s="20"/>
    </row>
    <row r="75" spans="2:11" x14ac:dyDescent="0.25">
      <c r="B75" s="196" t="s">
        <v>173</v>
      </c>
      <c r="C75" s="197"/>
      <c r="D75" s="197"/>
      <c r="E75" s="197"/>
      <c r="F75" s="197"/>
      <c r="G75" s="197"/>
      <c r="H75" s="197"/>
      <c r="I75" s="197"/>
      <c r="J75" s="197"/>
      <c r="K75" s="198"/>
    </row>
    <row r="76" spans="2:11" x14ac:dyDescent="0.25">
      <c r="B76" s="187" t="s">
        <v>157</v>
      </c>
      <c r="C76" s="188"/>
      <c r="D76" s="189"/>
      <c r="E76" s="187" t="s">
        <v>155</v>
      </c>
      <c r="F76" s="188"/>
      <c r="G76" s="189"/>
      <c r="H76" s="187" t="s">
        <v>156</v>
      </c>
      <c r="I76" s="188"/>
      <c r="J76" s="188"/>
      <c r="K76" s="189"/>
    </row>
    <row r="77" spans="2:11" ht="60" x14ac:dyDescent="0.25">
      <c r="B77" s="79" t="s">
        <v>37</v>
      </c>
      <c r="C77" s="79" t="s">
        <v>162</v>
      </c>
      <c r="D77" s="79" t="s">
        <v>153</v>
      </c>
      <c r="E77" s="79" t="s">
        <v>37</v>
      </c>
      <c r="F77" s="79" t="s">
        <v>158</v>
      </c>
      <c r="G77" s="79" t="s">
        <v>153</v>
      </c>
      <c r="H77" s="79" t="s">
        <v>159</v>
      </c>
      <c r="I77" s="79" t="s">
        <v>160</v>
      </c>
      <c r="J77" s="79" t="s">
        <v>161</v>
      </c>
      <c r="K77" s="79" t="s">
        <v>163</v>
      </c>
    </row>
    <row r="78" spans="2:11" x14ac:dyDescent="0.25">
      <c r="B78" s="2"/>
      <c r="C78" s="2"/>
      <c r="D78" s="2"/>
      <c r="E78" s="2"/>
      <c r="F78" s="2"/>
      <c r="G78" s="2"/>
      <c r="H78" s="2"/>
      <c r="I78" s="2"/>
      <c r="J78" s="2"/>
      <c r="K78" s="20"/>
    </row>
    <row r="79" spans="2:11" x14ac:dyDescent="0.25">
      <c r="B79" s="2"/>
      <c r="C79" s="2"/>
      <c r="D79" s="2"/>
      <c r="E79" s="2"/>
      <c r="F79" s="2"/>
      <c r="G79" s="2"/>
      <c r="H79" s="2"/>
      <c r="I79" s="2"/>
      <c r="J79" s="2"/>
      <c r="K79" s="20"/>
    </row>
    <row r="80" spans="2:11" x14ac:dyDescent="0.25">
      <c r="B80" s="2"/>
      <c r="C80" s="2"/>
      <c r="D80" s="2"/>
      <c r="E80" s="2"/>
      <c r="F80" s="2"/>
      <c r="G80" s="2"/>
      <c r="H80" s="2"/>
      <c r="I80" s="2"/>
      <c r="J80" s="2"/>
      <c r="K80" s="20"/>
    </row>
    <row r="81" spans="2:11" x14ac:dyDescent="0.25">
      <c r="B81" s="4"/>
      <c r="C81" s="4"/>
      <c r="D81" s="4"/>
      <c r="E81" s="4"/>
      <c r="F81" s="4"/>
      <c r="G81" s="4"/>
      <c r="H81" s="2"/>
      <c r="I81" s="2"/>
      <c r="J81" s="2"/>
      <c r="K81" s="20"/>
    </row>
    <row r="82" spans="2:11" x14ac:dyDescent="0.25">
      <c r="B82" s="4"/>
      <c r="C82" s="4"/>
      <c r="D82" s="4"/>
      <c r="E82" s="4"/>
      <c r="F82" s="4"/>
      <c r="G82" s="4"/>
      <c r="H82" s="4"/>
      <c r="I82" s="4"/>
      <c r="J82" s="4"/>
      <c r="K82" s="36"/>
    </row>
    <row r="83" spans="2:11" x14ac:dyDescent="0.25">
      <c r="B83" s="4"/>
      <c r="C83" s="4"/>
      <c r="D83" s="4"/>
      <c r="E83" s="4"/>
      <c r="F83" s="4"/>
      <c r="G83" s="4"/>
      <c r="H83" s="4"/>
      <c r="I83" s="4"/>
      <c r="J83" s="4"/>
      <c r="K83" s="36"/>
    </row>
    <row r="84" spans="2:11" x14ac:dyDescent="0.25">
      <c r="B84" s="4"/>
      <c r="C84" s="4"/>
      <c r="D84" s="4"/>
      <c r="E84" s="4"/>
      <c r="F84" s="4"/>
      <c r="G84" s="4"/>
      <c r="H84" s="4"/>
      <c r="I84" s="4"/>
      <c r="J84" s="4"/>
      <c r="K84" s="36"/>
    </row>
    <row r="85" spans="2:11" x14ac:dyDescent="0.25">
      <c r="B85" s="4"/>
      <c r="C85" s="4"/>
      <c r="D85" s="4"/>
      <c r="E85" s="4"/>
      <c r="F85" s="4"/>
      <c r="G85" s="4"/>
      <c r="H85" s="4"/>
      <c r="I85" s="4"/>
      <c r="J85" s="4"/>
      <c r="K85" s="36"/>
    </row>
    <row r="86" spans="2:11" x14ac:dyDescent="0.25">
      <c r="B86" s="4"/>
      <c r="C86" s="4"/>
      <c r="D86" s="4"/>
      <c r="E86" s="4"/>
      <c r="F86" s="4"/>
      <c r="G86" s="4"/>
      <c r="H86" s="4"/>
      <c r="I86" s="4"/>
      <c r="J86" s="4"/>
      <c r="K86" s="36"/>
    </row>
    <row r="87" spans="2:11" x14ac:dyDescent="0.25">
      <c r="B87" s="4"/>
      <c r="C87" s="4"/>
      <c r="D87" s="4"/>
      <c r="E87" s="4"/>
      <c r="F87" s="4"/>
      <c r="G87" s="4"/>
      <c r="H87" s="4"/>
      <c r="I87" s="4"/>
      <c r="J87" s="4"/>
      <c r="K87" s="36"/>
    </row>
    <row r="88" spans="2:11" x14ac:dyDescent="0.25">
      <c r="B88" s="4"/>
      <c r="C88" s="4"/>
      <c r="D88" s="4"/>
      <c r="E88" s="4"/>
      <c r="F88" s="4"/>
      <c r="G88" s="4"/>
      <c r="H88" s="4"/>
      <c r="I88" s="4"/>
      <c r="J88" s="4"/>
      <c r="K88" s="36"/>
    </row>
    <row r="89" spans="2:11" x14ac:dyDescent="0.25">
      <c r="B89" s="2"/>
      <c r="C89" s="2"/>
      <c r="D89" s="2"/>
      <c r="E89" s="2"/>
      <c r="F89" s="2"/>
      <c r="G89" s="2"/>
      <c r="H89" s="2"/>
      <c r="I89" s="2"/>
      <c r="J89" s="2"/>
      <c r="K89" s="20"/>
    </row>
    <row r="90" spans="2:11" x14ac:dyDescent="0.25">
      <c r="B90" s="2"/>
      <c r="C90" s="2"/>
      <c r="D90" s="2"/>
      <c r="E90" s="2"/>
      <c r="F90" s="2"/>
      <c r="G90" s="2"/>
      <c r="H90" s="2"/>
      <c r="I90" s="2"/>
      <c r="J90" s="2"/>
      <c r="K90" s="20"/>
    </row>
  </sheetData>
  <mergeCells count="30">
    <mergeCell ref="B75:K75"/>
    <mergeCell ref="B76:D76"/>
    <mergeCell ref="E76:G76"/>
    <mergeCell ref="H76:K76"/>
    <mergeCell ref="A10:K10"/>
    <mergeCell ref="B44:D44"/>
    <mergeCell ref="E44:G44"/>
    <mergeCell ref="H44:K44"/>
    <mergeCell ref="B59:K59"/>
    <mergeCell ref="B60:D60"/>
    <mergeCell ref="E60:G60"/>
    <mergeCell ref="H60:K60"/>
    <mergeCell ref="B27:K27"/>
    <mergeCell ref="B28:D28"/>
    <mergeCell ref="E28:G28"/>
    <mergeCell ref="H28:K28"/>
    <mergeCell ref="B43:K43"/>
    <mergeCell ref="E12:G12"/>
    <mergeCell ref="H12:K12"/>
    <mergeCell ref="B12:D12"/>
    <mergeCell ref="B11:K11"/>
    <mergeCell ref="A8:C8"/>
    <mergeCell ref="A9:C9"/>
    <mergeCell ref="A7:O7"/>
    <mergeCell ref="B1:O1"/>
    <mergeCell ref="B2:O2"/>
    <mergeCell ref="B3:O3"/>
    <mergeCell ref="B4:O4"/>
    <mergeCell ref="B5:O5"/>
    <mergeCell ref="B6:O6"/>
  </mergeCells>
  <conditionalFormatting sqref="C14">
    <cfRule type="cellIs" dxfId="59" priority="143" operator="lessThan">
      <formula>D14</formula>
    </cfRule>
    <cfRule type="cellIs" dxfId="58" priority="144" operator="greaterThanOrEqual">
      <formula>D14</formula>
    </cfRule>
  </conditionalFormatting>
  <conditionalFormatting sqref="F14">
    <cfRule type="cellIs" dxfId="57" priority="141" operator="lessThan">
      <formula>G14</formula>
    </cfRule>
    <cfRule type="cellIs" dxfId="56" priority="142" operator="greaterThanOrEqual">
      <formula>G14</formula>
    </cfRule>
  </conditionalFormatting>
  <conditionalFormatting sqref="J14">
    <cfRule type="cellIs" dxfId="55" priority="125" operator="lessThan">
      <formula>K14</formula>
    </cfRule>
    <cfRule type="cellIs" dxfId="54" priority="126" operator="greaterThanOrEqual">
      <formula>K14</formula>
    </cfRule>
  </conditionalFormatting>
  <conditionalFormatting sqref="C15:C26">
    <cfRule type="cellIs" dxfId="53" priority="119" operator="lessThan">
      <formula>D15</formula>
    </cfRule>
    <cfRule type="cellIs" dxfId="52" priority="120" operator="greaterThanOrEqual">
      <formula>D15</formula>
    </cfRule>
  </conditionalFormatting>
  <conditionalFormatting sqref="F15:F26">
    <cfRule type="cellIs" dxfId="51" priority="117" operator="lessThan">
      <formula>G15</formula>
    </cfRule>
    <cfRule type="cellIs" dxfId="50" priority="118" operator="greaterThanOrEqual">
      <formula>G15</formula>
    </cfRule>
  </conditionalFormatting>
  <conditionalFormatting sqref="J15:J26">
    <cfRule type="cellIs" dxfId="49" priority="101" operator="lessThan">
      <formula>K15</formula>
    </cfRule>
    <cfRule type="cellIs" dxfId="48" priority="102" operator="greaterThanOrEqual">
      <formula>K15</formula>
    </cfRule>
  </conditionalFormatting>
  <conditionalFormatting sqref="J79:J90">
    <cfRule type="cellIs" dxfId="47" priority="1" operator="lessThan">
      <formula>K79</formula>
    </cfRule>
    <cfRule type="cellIs" dxfId="46" priority="2" operator="greaterThanOrEqual">
      <formula>K79</formula>
    </cfRule>
  </conditionalFormatting>
  <conditionalFormatting sqref="C78">
    <cfRule type="cellIs" dxfId="45" priority="11" operator="lessThan">
      <formula>D78</formula>
    </cfRule>
    <cfRule type="cellIs" dxfId="44" priority="12" operator="greaterThanOrEqual">
      <formula>D78</formula>
    </cfRule>
  </conditionalFormatting>
  <conditionalFormatting sqref="F78">
    <cfRule type="cellIs" dxfId="43" priority="9" operator="lessThan">
      <formula>G78</formula>
    </cfRule>
    <cfRule type="cellIs" dxfId="42" priority="10" operator="greaterThanOrEqual">
      <formula>G78</formula>
    </cfRule>
  </conditionalFormatting>
  <conditionalFormatting sqref="J78">
    <cfRule type="cellIs" dxfId="41" priority="7" operator="lessThan">
      <formula>K78</formula>
    </cfRule>
    <cfRule type="cellIs" dxfId="40" priority="8" operator="greaterThanOrEqual">
      <formula>K78</formula>
    </cfRule>
  </conditionalFormatting>
  <conditionalFormatting sqref="C79:C90">
    <cfRule type="cellIs" dxfId="39" priority="5" operator="lessThan">
      <formula>D79</formula>
    </cfRule>
    <cfRule type="cellIs" dxfId="38" priority="6" operator="greaterThanOrEqual">
      <formula>D79</formula>
    </cfRule>
  </conditionalFormatting>
  <conditionalFormatting sqref="F79:F90">
    <cfRule type="cellIs" dxfId="37" priority="3" operator="lessThan">
      <formula>G79</formula>
    </cfRule>
    <cfRule type="cellIs" dxfId="36" priority="4" operator="greaterThanOrEqual">
      <formula>G79</formula>
    </cfRule>
  </conditionalFormatting>
  <conditionalFormatting sqref="J31:J42">
    <cfRule type="cellIs" dxfId="35" priority="73" operator="lessThan">
      <formula>K31</formula>
    </cfRule>
    <cfRule type="cellIs" dxfId="34" priority="74" operator="greaterThanOrEqual">
      <formula>K31</formula>
    </cfRule>
  </conditionalFormatting>
  <conditionalFormatting sqref="C30">
    <cfRule type="cellIs" dxfId="33" priority="83" operator="lessThan">
      <formula>D30</formula>
    </cfRule>
    <cfRule type="cellIs" dxfId="32" priority="84" operator="greaterThanOrEqual">
      <formula>D30</formula>
    </cfRule>
  </conditionalFormatting>
  <conditionalFormatting sqref="F30">
    <cfRule type="cellIs" dxfId="31" priority="81" operator="lessThan">
      <formula>G30</formula>
    </cfRule>
    <cfRule type="cellIs" dxfId="30" priority="82" operator="greaterThanOrEqual">
      <formula>G30</formula>
    </cfRule>
  </conditionalFormatting>
  <conditionalFormatting sqref="J30">
    <cfRule type="cellIs" dxfId="29" priority="79" operator="lessThan">
      <formula>K30</formula>
    </cfRule>
    <cfRule type="cellIs" dxfId="28" priority="80" operator="greaterThanOrEqual">
      <formula>K30</formula>
    </cfRule>
  </conditionalFormatting>
  <conditionalFormatting sqref="C31:C42">
    <cfRule type="cellIs" dxfId="27" priority="77" operator="lessThan">
      <formula>D31</formula>
    </cfRule>
    <cfRule type="cellIs" dxfId="26" priority="78" operator="greaterThanOrEqual">
      <formula>D31</formula>
    </cfRule>
  </conditionalFormatting>
  <conditionalFormatting sqref="F31:F42">
    <cfRule type="cellIs" dxfId="25" priority="75" operator="lessThan">
      <formula>G31</formula>
    </cfRule>
    <cfRule type="cellIs" dxfId="24" priority="76" operator="greaterThanOrEqual">
      <formula>G31</formula>
    </cfRule>
  </conditionalFormatting>
  <conditionalFormatting sqref="C46">
    <cfRule type="cellIs" dxfId="23" priority="59" operator="lessThan">
      <formula>D46</formula>
    </cfRule>
    <cfRule type="cellIs" dxfId="22" priority="60" operator="greaterThanOrEqual">
      <formula>D46</formula>
    </cfRule>
  </conditionalFormatting>
  <conditionalFormatting sqref="F46">
    <cfRule type="cellIs" dxfId="21" priority="57" operator="lessThan">
      <formula>G46</formula>
    </cfRule>
    <cfRule type="cellIs" dxfId="20" priority="58" operator="greaterThanOrEqual">
      <formula>G46</formula>
    </cfRule>
  </conditionalFormatting>
  <conditionalFormatting sqref="J46">
    <cfRule type="cellIs" dxfId="19" priority="55" operator="lessThan">
      <formula>K46</formula>
    </cfRule>
    <cfRule type="cellIs" dxfId="18" priority="56" operator="greaterThanOrEqual">
      <formula>K46</formula>
    </cfRule>
  </conditionalFormatting>
  <conditionalFormatting sqref="C47:C58">
    <cfRule type="cellIs" dxfId="17" priority="53" operator="lessThan">
      <formula>D47</formula>
    </cfRule>
    <cfRule type="cellIs" dxfId="16" priority="54" operator="greaterThanOrEqual">
      <formula>D47</formula>
    </cfRule>
  </conditionalFormatting>
  <conditionalFormatting sqref="F47:F58">
    <cfRule type="cellIs" dxfId="15" priority="51" operator="lessThan">
      <formula>G47</formula>
    </cfRule>
    <cfRule type="cellIs" dxfId="14" priority="52" operator="greaterThanOrEqual">
      <formula>G47</formula>
    </cfRule>
  </conditionalFormatting>
  <conditionalFormatting sqref="J47:J58">
    <cfRule type="cellIs" dxfId="13" priority="49" operator="lessThan">
      <formula>K47</formula>
    </cfRule>
    <cfRule type="cellIs" dxfId="12" priority="50" operator="greaterThanOrEqual">
      <formula>K47</formula>
    </cfRule>
  </conditionalFormatting>
  <conditionalFormatting sqref="C62">
    <cfRule type="cellIs" dxfId="11" priority="35" operator="lessThan">
      <formula>D62</formula>
    </cfRule>
    <cfRule type="cellIs" dxfId="10" priority="36" operator="greaterThanOrEqual">
      <formula>D62</formula>
    </cfRule>
  </conditionalFormatting>
  <conditionalFormatting sqref="F62">
    <cfRule type="cellIs" dxfId="9" priority="33" operator="lessThan">
      <formula>G62</formula>
    </cfRule>
    <cfRule type="cellIs" dxfId="8" priority="34" operator="greaterThanOrEqual">
      <formula>G62</formula>
    </cfRule>
  </conditionalFormatting>
  <conditionalFormatting sqref="J62">
    <cfRule type="cellIs" dxfId="7" priority="31" operator="lessThan">
      <formula>K62</formula>
    </cfRule>
    <cfRule type="cellIs" dxfId="6" priority="32" operator="greaterThanOrEqual">
      <formula>K62</formula>
    </cfRule>
  </conditionalFormatting>
  <conditionalFormatting sqref="C63:C74">
    <cfRule type="cellIs" dxfId="5" priority="29" operator="lessThan">
      <formula>D63</formula>
    </cfRule>
    <cfRule type="cellIs" dxfId="4" priority="30" operator="greaterThanOrEqual">
      <formula>D63</formula>
    </cfRule>
  </conditionalFormatting>
  <conditionalFormatting sqref="F63:F74">
    <cfRule type="cellIs" dxfId="3" priority="27" operator="lessThan">
      <formula>G63</formula>
    </cfRule>
    <cfRule type="cellIs" dxfId="2" priority="28" operator="greaterThanOrEqual">
      <formula>G63</formula>
    </cfRule>
  </conditionalFormatting>
  <conditionalFormatting sqref="J63:J74">
    <cfRule type="cellIs" dxfId="1" priority="25" operator="lessThan">
      <formula>K63</formula>
    </cfRule>
    <cfRule type="cellIs" dxfId="0" priority="26" operator="greaterThanOrEqual">
      <formula>K63</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Narrative and Signatures</vt:lpstr>
      <vt:lpstr>NWEA MAP</vt:lpstr>
      <vt:lpstr>Acuity</vt:lpstr>
      <vt:lpstr>Scantron</vt:lpstr>
      <vt:lpstr>Galileo</vt:lpstr>
      <vt:lpstr>STAR</vt:lpstr>
      <vt:lpstr>DIBELS</vt:lpstr>
      <vt:lpstr>DRA2</vt:lpstr>
      <vt:lpstr>ELP Growth</vt:lpstr>
      <vt:lpstr>Other Assessments</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Knevals, Jessica</dc:creator>
  <cp:lastModifiedBy>Knevals, Jessica</cp:lastModifiedBy>
  <dcterms:created xsi:type="dcterms:W3CDTF">2013-07-16T20:54:00Z</dcterms:created>
  <dcterms:modified xsi:type="dcterms:W3CDTF">2013-09-03T20:31:37Z</dcterms:modified>
</cp:coreProperties>
</file>