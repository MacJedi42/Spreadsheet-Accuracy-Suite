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30" yWindow="0" windowWidth="12960" windowHeight="7965" activeTab="2"/>
  </bookViews>
  <sheets>
    <sheet name="Private Schools" sheetId="1" r:id="rId1"/>
    <sheet name="Private Schools sheet 2" sheetId="2" r:id="rId2"/>
    <sheet name="ten year comparison" sheetId="3" r:id="rId3"/>
    <sheet name="Staffing" sheetId="4" r:id="rId4"/>
  </sheets>
  <calcPr calcId="145621"/>
</workbook>
</file>

<file path=xl/calcChain.xml><?xml version="1.0" encoding="utf-8"?>
<calcChain xmlns="http://schemas.openxmlformats.org/spreadsheetml/2006/main">
  <c r="F29" i="3" l="1"/>
  <c r="P38" i="2"/>
  <c r="P22" i="2"/>
  <c r="H30" i="1"/>
  <c r="H31" i="1"/>
  <c r="H32" i="1"/>
  <c r="H33" i="1"/>
  <c r="H34" i="1"/>
  <c r="H35" i="1"/>
  <c r="H36" i="1"/>
  <c r="H37" i="1"/>
  <c r="H38" i="1"/>
  <c r="H39" i="1"/>
  <c r="H40" i="1"/>
  <c r="H41" i="1"/>
  <c r="H27" i="1"/>
  <c r="H28" i="1"/>
  <c r="H29" i="1"/>
  <c r="H26" i="1"/>
  <c r="H25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J22" i="4" l="1"/>
  <c r="P29" i="2"/>
  <c r="J20" i="4" l="1"/>
  <c r="J12" i="4"/>
  <c r="J14" i="4"/>
  <c r="J6" i="4"/>
  <c r="J4" i="4"/>
  <c r="P39" i="2"/>
  <c r="P44" i="2"/>
  <c r="P43" i="2"/>
  <c r="P42" i="2"/>
  <c r="P41" i="2"/>
  <c r="P40" i="2"/>
  <c r="P24" i="2"/>
  <c r="P25" i="2"/>
  <c r="P26" i="2"/>
  <c r="P27" i="2"/>
  <c r="P28" i="2"/>
  <c r="P8" i="2"/>
  <c r="P9" i="2"/>
  <c r="P10" i="2"/>
  <c r="P11" i="2"/>
  <c r="P12" i="2"/>
  <c r="P13" i="2"/>
  <c r="P14" i="2"/>
  <c r="P15" i="2"/>
  <c r="P23" i="2"/>
  <c r="P30" i="2" l="1"/>
  <c r="J7" i="4"/>
  <c r="P37" i="2"/>
  <c r="B16" i="2"/>
  <c r="F21" i="1" l="1"/>
  <c r="D21" i="1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F42" i="1"/>
  <c r="D42" i="1"/>
  <c r="F23" i="3"/>
  <c r="P16" i="2" l="1"/>
  <c r="P45" i="2"/>
  <c r="H42" i="1"/>
  <c r="H21" i="1"/>
</calcChain>
</file>

<file path=xl/sharedStrings.xml><?xml version="1.0" encoding="utf-8"?>
<sst xmlns="http://schemas.openxmlformats.org/spreadsheetml/2006/main" count="186" uniqueCount="100">
  <si>
    <t>NEVADA DEPARTMENT OF EDUCATION</t>
  </si>
  <si>
    <t>NEVADA PRIVATE SCHOOLS</t>
  </si>
  <si>
    <t xml:space="preserve">END OF FIRST SCHOOL MONTH </t>
  </si>
  <si>
    <t>TOTAL STATE ENROLLMENT BY GRADE</t>
  </si>
  <si>
    <t>Grade</t>
  </si>
  <si>
    <t>Male</t>
  </si>
  <si>
    <t>Female</t>
  </si>
  <si>
    <t>Totals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</si>
  <si>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</si>
  <si>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</si>
  <si>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</si>
  <si>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</si>
  <si>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</si>
  <si>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</si>
  <si>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</si>
  <si>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</si>
  <si>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</si>
  <si>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</si>
  <si>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</si>
  <si>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</si>
  <si>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</si>
  <si>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STATE ENROLLMENT BY COUNTY</t>
  </si>
  <si>
    <t>County</t>
  </si>
  <si>
    <t>Carson City</t>
  </si>
  <si>
    <t>Churchill</t>
  </si>
  <si>
    <t>Clark</t>
  </si>
  <si>
    <t>Douglas</t>
  </si>
  <si>
    <t>Elko</t>
  </si>
  <si>
    <t>Esmeralda</t>
  </si>
  <si>
    <t>Eureka</t>
  </si>
  <si>
    <t>Humboldt</t>
  </si>
  <si>
    <t>Lander</t>
  </si>
  <si>
    <t>Lincoln</t>
  </si>
  <si>
    <t>Lyon</t>
  </si>
  <si>
    <t>Mineral</t>
  </si>
  <si>
    <t>Nye</t>
  </si>
  <si>
    <t>Pershing</t>
  </si>
  <si>
    <t>Storey</t>
  </si>
  <si>
    <t>Washoe</t>
  </si>
  <si>
    <t>White Pine</t>
  </si>
  <si>
    <t>Male Enrollment</t>
  </si>
  <si>
    <t>K</t>
  </si>
  <si>
    <t>Carson</t>
  </si>
  <si>
    <t>Female Enrollment</t>
  </si>
  <si>
    <t>Total Enrollment</t>
  </si>
  <si>
    <t xml:space="preserve"> PRIVATE SCHOOLS</t>
  </si>
  <si>
    <t>TEN YEAR COMPARISON OF ENROLLMENTS</t>
  </si>
  <si>
    <t xml:space="preserve"> END OF FIRST SCHOOL MONTH</t>
  </si>
  <si>
    <t>Loss over</t>
  </si>
  <si>
    <t>Public School</t>
  </si>
  <si>
    <t>School Year</t>
  </si>
  <si>
    <t>Grades 1-6</t>
  </si>
  <si>
    <t>Grades7-12</t>
  </si>
  <si>
    <t>Prior Year</t>
  </si>
  <si>
    <t xml:space="preserve">Enrollment    </t>
  </si>
  <si>
    <t>2003-2004</t>
  </si>
  <si>
    <t>2004-2005</t>
  </si>
  <si>
    <t xml:space="preserve">      </t>
  </si>
  <si>
    <t>2005-2006</t>
  </si>
  <si>
    <t>2006-2007</t>
  </si>
  <si>
    <t>2007-2008</t>
  </si>
  <si>
    <t>2008-2009</t>
  </si>
  <si>
    <t>2009-2010</t>
  </si>
  <si>
    <t>2010-2011*</t>
  </si>
  <si>
    <t xml:space="preserve"> District</t>
  </si>
  <si>
    <t>Percent Gain/</t>
  </si>
  <si>
    <t>Private School</t>
  </si>
  <si>
    <t>Enrollment</t>
  </si>
  <si>
    <r>
      <t>1</t>
    </r>
    <r>
      <rPr>
        <sz val="11"/>
        <rFont val="Century Gothic"/>
        <family val="2"/>
      </rPr>
      <t>Ungraded</t>
    </r>
  </si>
  <si>
    <t>to Public School</t>
  </si>
  <si>
    <t>Ungraded</t>
  </si>
  <si>
    <t>Ungraded for Private Schools refers to multiple grade grouping</t>
  </si>
  <si>
    <t>2012-2013</t>
  </si>
  <si>
    <t>2011-2012</t>
  </si>
  <si>
    <t>Corrected 11/2012</t>
  </si>
  <si>
    <t>-.54%</t>
  </si>
  <si>
    <t>Business &amp; Support Services</t>
  </si>
  <si>
    <t>Exempt Private</t>
  </si>
  <si>
    <t>Private                  (non-exempt)</t>
  </si>
  <si>
    <t>Number of Schools Licensed by Nevada DOE</t>
  </si>
  <si>
    <t>Number of School Accredited by Outside Agencies</t>
  </si>
  <si>
    <t>Licensed by County</t>
  </si>
  <si>
    <t>Accredited by County</t>
  </si>
  <si>
    <t>Total</t>
  </si>
  <si>
    <t>NV License to Teach</t>
  </si>
  <si>
    <t>Out-of-state License to Teach</t>
  </si>
  <si>
    <t>Exempt Private Schools are not required to report teacher qualifications.</t>
  </si>
  <si>
    <t>*Incomplete #</t>
  </si>
  <si>
    <t>2011-12 compared to 2009-10</t>
  </si>
  <si>
    <r>
      <rPr>
        <sz val="10"/>
        <color theme="1"/>
        <rFont val="Century Gothic"/>
        <family val="2"/>
      </rPr>
      <t>Bachelor's Degree + 3 years Verified Experience</t>
    </r>
    <r>
      <rPr>
        <sz val="12"/>
        <color theme="1"/>
        <rFont val="Century Gothic"/>
        <family val="2"/>
      </rPr>
      <t xml:space="preserve"> + </t>
    </r>
    <r>
      <rPr>
        <sz val="10"/>
        <color theme="1"/>
        <rFont val="Century Gothic"/>
        <family val="2"/>
      </rPr>
      <t>Clear Fingerprints</t>
    </r>
  </si>
  <si>
    <r>
      <rPr>
        <sz val="10"/>
        <color theme="1"/>
        <rFont val="Century Gothic"/>
        <family val="2"/>
      </rPr>
      <t>Master's Degree + 1 year Verified Experience</t>
    </r>
    <r>
      <rPr>
        <sz val="12"/>
        <color theme="1"/>
        <rFont val="Century Gothic"/>
        <family val="2"/>
      </rPr>
      <t xml:space="preserve"> + </t>
    </r>
    <r>
      <rPr>
        <sz val="10"/>
        <color theme="1"/>
        <rFont val="Century Gothic"/>
        <family val="2"/>
      </rPr>
      <t>Clear Fingerprints</t>
    </r>
  </si>
  <si>
    <t>1Ungraded refers to multiple grade grouping.</t>
  </si>
  <si>
    <t>Number of Teachers Employed</t>
  </si>
  <si>
    <t>Teachers by Qualifications</t>
  </si>
  <si>
    <t>All teachers in Private, non-exempt schools MUST qualify by one of the four categories above.</t>
  </si>
  <si>
    <t>2013-2014 SCHOOL YEAR</t>
  </si>
  <si>
    <t>NEVADA PRIVATE SCHOOLS, 2013-2014 SCHOOL YEAR</t>
  </si>
  <si>
    <t>2013-2014</t>
  </si>
  <si>
    <t>Nevada Department of Education</t>
  </si>
  <si>
    <t>4.50%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</si>
</sst>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sz val="1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vertAlign val="superscript"/>
      <sz val="11"/>
      <name val="Century Gothic"/>
      <family val="2"/>
    </font>
    <font>
      <b/>
      <sz val="1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6"/>
      <color theme="1"/>
      <name val="Century Gothic"/>
      <family val="2"/>
    </font>
    <font>
      <sz val="8"/>
      <name val="Century Gothic"/>
      <family val="2"/>
    </font>
    <font>
      <vertAlign val="superscript"/>
      <sz val="8"/>
      <name val="Century Gothic"/>
      <family val="2"/>
    </font>
    <font>
      <b/>
      <sz val="14"/>
      <color rgb="FF7030A0"/>
      <name val="Century Gothic"/>
      <family val="2"/>
    </font>
    <font>
      <b/>
      <sz val="10"/>
      <color rgb="FF7030A0"/>
      <name val="Century Gothic"/>
      <family val="2"/>
    </font>
    <font>
      <sz val="11"/>
      <color rgb="FFFF0066"/>
      <name val="Century Gothic"/>
      <family val="2"/>
    </font>
  </fonts>
  <fills count="5">
    <fill>
      <patternFill patternType="none"/>
    </fill>
    <fill>
      <patternFill patternType="gray125"/>
    </fill>
    <fill>
      <patternFill patternType="gray0625">
        <fgColor auto="1"/>
      </patternFill>
    </fill>
    <fill>
      <patternFill patternType="gray0625"/>
    </fill>
    <fill>
      <patternFill patternType="solid">
        <fgColor indexed="65"/>
        <bgColor auto="1"/>
      </patternFill>
    </fill>
  </fills>
  <borders count="1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7" fontId="1" fillId="0" borderId="0"/>
    <xf numFmtId="37" fontId="1" fillId="0" borderId="0"/>
    <xf numFmtId="37" fontId="1" fillId="0" borderId="0"/>
  </cellStyleXfs>
  <cellXfs count="165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Border="1"/>
    <xf numFmtId="0" fontId="5" fillId="0" borderId="0" xfId="0" applyFont="1"/>
    <xf numFmtId="0" fontId="6" fillId="0" borderId="0" xfId="0" applyFont="1" applyFill="1"/>
    <xf numFmtId="0" fontId="6" fillId="0" borderId="0" xfId="0" applyFont="1"/>
    <xf numFmtId="0" fontId="0" fillId="0" borderId="0" xfId="0"/>
    <xf numFmtId="0" fontId="8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1" fontId="7" fillId="0" borderId="0" xfId="0" applyNumberFormat="1" applyFont="1" applyBorder="1" applyAlignment="1">
      <alignment horizontal="right"/>
    </xf>
    <xf numFmtId="1" fontId="7" fillId="0" borderId="0" xfId="0" applyNumberFormat="1" applyFont="1" applyFill="1" applyBorder="1" applyAlignment="1">
      <alignment horizontal="right"/>
    </xf>
    <xf numFmtId="1" fontId="7" fillId="0" borderId="0" xfId="0" applyNumberFormat="1" applyFont="1" applyBorder="1" applyAlignment="1">
      <alignment horizontal="right" vertical="center" wrapText="1"/>
    </xf>
    <xf numFmtId="1" fontId="7" fillId="0" borderId="0" xfId="0" applyNumberFormat="1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3" fontId="9" fillId="0" borderId="0" xfId="0" applyNumberFormat="1" applyFont="1"/>
    <xf numFmtId="0" fontId="10" fillId="0" borderId="0" xfId="0" applyFont="1"/>
    <xf numFmtId="0" fontId="11" fillId="0" borderId="0" xfId="0" applyFont="1"/>
    <xf numFmtId="37" fontId="10" fillId="0" borderId="0" xfId="0" applyNumberFormat="1" applyFont="1"/>
    <xf numFmtId="37" fontId="12" fillId="0" borderId="0" xfId="1" applyFont="1" applyAlignment="1">
      <alignment vertical="center"/>
    </xf>
    <xf numFmtId="37" fontId="13" fillId="0" borderId="0" xfId="1" applyFont="1"/>
    <xf numFmtId="37" fontId="13" fillId="0" borderId="0" xfId="1" applyFont="1" applyFill="1" applyAlignment="1">
      <alignment vertical="center"/>
    </xf>
    <xf numFmtId="37" fontId="13" fillId="0" borderId="4" xfId="1" applyFont="1" applyFill="1" applyBorder="1" applyAlignment="1" applyProtection="1">
      <alignment horizontal="left" vertical="center"/>
    </xf>
    <xf numFmtId="37" fontId="13" fillId="0" borderId="4" xfId="1" applyFont="1" applyFill="1" applyBorder="1" applyAlignment="1">
      <alignment vertical="center"/>
    </xf>
    <xf numFmtId="37" fontId="13" fillId="0" borderId="4" xfId="1" applyFont="1" applyFill="1" applyBorder="1" applyAlignment="1" applyProtection="1">
      <alignment horizontal="right" vertical="center"/>
    </xf>
    <xf numFmtId="37" fontId="13" fillId="0" borderId="2" xfId="1" applyNumberFormat="1" applyFont="1" applyBorder="1" applyAlignment="1" applyProtection="1">
      <alignment horizontal="left" vertical="center"/>
    </xf>
    <xf numFmtId="37" fontId="13" fillId="0" borderId="2" xfId="1" applyFont="1" applyBorder="1" applyAlignment="1">
      <alignment vertical="center"/>
    </xf>
    <xf numFmtId="37" fontId="13" fillId="0" borderId="2" xfId="1" applyFont="1" applyBorder="1" applyAlignment="1" applyProtection="1">
      <alignment vertical="center"/>
    </xf>
    <xf numFmtId="37" fontId="13" fillId="0" borderId="1" xfId="1" applyNumberFormat="1" applyFont="1" applyBorder="1" applyAlignment="1" applyProtection="1">
      <alignment horizontal="left" vertical="center"/>
    </xf>
    <xf numFmtId="37" fontId="13" fillId="0" borderId="1" xfId="1" applyFont="1" applyBorder="1" applyAlignment="1">
      <alignment vertical="center"/>
    </xf>
    <xf numFmtId="37" fontId="13" fillId="0" borderId="1" xfId="1" applyFont="1" applyBorder="1" applyAlignment="1" applyProtection="1">
      <alignment vertical="center"/>
    </xf>
    <xf numFmtId="37" fontId="14" fillId="0" borderId="3" xfId="1" applyNumberFormat="1" applyFont="1" applyBorder="1" applyAlignment="1" applyProtection="1">
      <alignment horizontal="left" vertical="center"/>
    </xf>
    <xf numFmtId="37" fontId="13" fillId="0" borderId="3" xfId="1" applyFont="1" applyBorder="1" applyAlignment="1">
      <alignment vertical="center"/>
    </xf>
    <xf numFmtId="37" fontId="13" fillId="0" borderId="3" xfId="1" applyFont="1" applyBorder="1" applyAlignment="1" applyProtection="1">
      <alignment vertical="center"/>
    </xf>
    <xf numFmtId="37" fontId="12" fillId="0" borderId="0" xfId="1" applyFont="1"/>
    <xf numFmtId="37" fontId="12" fillId="0" borderId="5" xfId="1" applyFont="1" applyBorder="1" applyAlignment="1" applyProtection="1">
      <alignment horizontal="center" vertical="center"/>
    </xf>
    <xf numFmtId="37" fontId="12" fillId="0" borderId="5" xfId="1" applyFont="1" applyBorder="1" applyAlignment="1">
      <alignment vertical="center"/>
    </xf>
    <xf numFmtId="37" fontId="12" fillId="0" borderId="5" xfId="1" applyFont="1" applyBorder="1" applyAlignment="1" applyProtection="1">
      <alignment vertical="center"/>
    </xf>
    <xf numFmtId="37" fontId="13" fillId="0" borderId="0" xfId="1" applyFont="1" applyAlignment="1" applyProtection="1">
      <alignment horizontal="fill" vertical="center"/>
    </xf>
    <xf numFmtId="37" fontId="13" fillId="0" borderId="2" xfId="1" applyFont="1" applyBorder="1" applyAlignment="1" applyProtection="1">
      <alignment horizontal="left" vertical="center"/>
    </xf>
    <xf numFmtId="37" fontId="13" fillId="0" borderId="1" xfId="1" applyFont="1" applyBorder="1" applyAlignment="1" applyProtection="1">
      <alignment horizontal="left" vertical="center"/>
    </xf>
    <xf numFmtId="37" fontId="13" fillId="0" borderId="3" xfId="1" applyFont="1" applyBorder="1" applyAlignment="1" applyProtection="1">
      <alignment horizontal="left" vertical="center"/>
    </xf>
    <xf numFmtId="37" fontId="15" fillId="0" borderId="0" xfId="2" applyFont="1" applyFill="1" applyAlignment="1" applyProtection="1">
      <alignment horizontal="left" vertical="center"/>
    </xf>
    <xf numFmtId="37" fontId="7" fillId="0" borderId="3" xfId="2" applyFont="1" applyFill="1" applyBorder="1" applyAlignment="1">
      <alignment vertical="center"/>
    </xf>
    <xf numFmtId="37" fontId="7" fillId="0" borderId="0" xfId="2" applyFont="1" applyFill="1" applyAlignment="1">
      <alignment horizontal="centerContinuous" vertical="center"/>
    </xf>
    <xf numFmtId="37" fontId="7" fillId="0" borderId="3" xfId="2" applyFont="1" applyFill="1" applyBorder="1" applyAlignment="1" applyProtection="1">
      <alignment horizontal="left" vertical="center"/>
    </xf>
    <xf numFmtId="37" fontId="7" fillId="0" borderId="2" xfId="2" applyFont="1" applyFill="1" applyBorder="1" applyAlignment="1" applyProtection="1">
      <alignment horizontal="left" vertical="center"/>
    </xf>
    <xf numFmtId="0" fontId="8" fillId="0" borderId="8" xfId="0" applyFont="1" applyBorder="1" applyAlignment="1">
      <alignment horizontal="center"/>
    </xf>
    <xf numFmtId="37" fontId="7" fillId="0" borderId="1" xfId="2" applyFont="1" applyFill="1" applyBorder="1" applyAlignment="1" applyProtection="1">
      <alignment horizontal="left" vertical="center"/>
    </xf>
    <xf numFmtId="37" fontId="7" fillId="0" borderId="0" xfId="2" applyFont="1" applyFill="1" applyAlignment="1" applyProtection="1">
      <alignment horizontal="left" vertical="center"/>
    </xf>
    <xf numFmtId="37" fontId="7" fillId="0" borderId="0" xfId="2" applyFont="1" applyFill="1" applyAlignment="1" applyProtection="1">
      <alignment horizontal="center" vertical="center"/>
    </xf>
    <xf numFmtId="37" fontId="7" fillId="0" borderId="6" xfId="2" applyFont="1" applyFill="1" applyBorder="1" applyAlignment="1" applyProtection="1">
      <alignment vertical="center"/>
    </xf>
    <xf numFmtId="0" fontId="7" fillId="0" borderId="0" xfId="0" applyFont="1" applyFill="1"/>
    <xf numFmtId="37" fontId="7" fillId="0" borderId="3" xfId="2" applyFont="1" applyFill="1" applyBorder="1" applyAlignment="1" applyProtection="1">
      <alignment horizontal="center" vertical="center"/>
    </xf>
    <xf numFmtId="37" fontId="7" fillId="0" borderId="2" xfId="2" applyFont="1" applyFill="1" applyBorder="1" applyAlignment="1" applyProtection="1">
      <alignment vertical="center"/>
    </xf>
    <xf numFmtId="37" fontId="7" fillId="0" borderId="1" xfId="2" applyFont="1" applyFill="1" applyBorder="1" applyAlignment="1" applyProtection="1">
      <alignment vertical="center"/>
    </xf>
    <xf numFmtId="37" fontId="7" fillId="0" borderId="0" xfId="2" applyFont="1" applyFill="1" applyAlignment="1" applyProtection="1">
      <alignment vertical="center"/>
    </xf>
    <xf numFmtId="37" fontId="7" fillId="0" borderId="0" xfId="2" applyFont="1" applyFill="1"/>
    <xf numFmtId="37" fontId="15" fillId="0" borderId="0" xfId="2" applyFont="1" applyFill="1" applyAlignment="1">
      <alignment horizontal="right" vertical="center"/>
    </xf>
    <xf numFmtId="0" fontId="8" fillId="0" borderId="0" xfId="0" applyFont="1" applyFill="1"/>
    <xf numFmtId="37" fontId="7" fillId="0" borderId="0" xfId="2" applyFont="1" applyFill="1" applyBorder="1" applyAlignment="1" applyProtection="1">
      <alignment vertical="center"/>
    </xf>
    <xf numFmtId="37" fontId="7" fillId="0" borderId="0" xfId="2" applyFont="1" applyFill="1" applyAlignment="1">
      <alignment horizontal="right" vertical="center"/>
    </xf>
    <xf numFmtId="37" fontId="12" fillId="0" borderId="0" xfId="3" applyFont="1" applyAlignment="1" applyProtection="1">
      <alignment horizontal="left" vertical="center"/>
    </xf>
    <xf numFmtId="37" fontId="13" fillId="0" borderId="0" xfId="3" applyFont="1"/>
    <xf numFmtId="37" fontId="13" fillId="0" borderId="0" xfId="3" applyFont="1" applyAlignment="1" applyProtection="1">
      <alignment horizontal="left" vertical="center"/>
    </xf>
    <xf numFmtId="37" fontId="13" fillId="0" borderId="0" xfId="3" applyFont="1" applyAlignment="1">
      <alignment horizontal="right"/>
    </xf>
    <xf numFmtId="37" fontId="12" fillId="0" borderId="0" xfId="3" applyFont="1" applyAlignment="1">
      <alignment horizontal="right" vertical="center"/>
    </xf>
    <xf numFmtId="37" fontId="13" fillId="0" borderId="0" xfId="3" applyFont="1" applyFill="1" applyAlignment="1">
      <alignment vertical="center"/>
    </xf>
    <xf numFmtId="37" fontId="13" fillId="0" borderId="0" xfId="3" applyFont="1" applyFill="1" applyAlignment="1">
      <alignment horizontal="center" vertical="center"/>
    </xf>
    <xf numFmtId="37" fontId="13" fillId="0" borderId="0" xfId="3" applyFont="1" applyFill="1" applyAlignment="1" applyProtection="1">
      <alignment horizontal="center" vertical="center"/>
    </xf>
    <xf numFmtId="37" fontId="13" fillId="0" borderId="0" xfId="3" applyFont="1" applyFill="1" applyAlignment="1" applyProtection="1">
      <alignment horizontal="right" vertical="center"/>
    </xf>
    <xf numFmtId="37" fontId="13" fillId="0" borderId="0" xfId="3" applyFont="1" applyFill="1" applyAlignment="1" applyProtection="1">
      <alignment horizontal="left" vertical="center"/>
    </xf>
    <xf numFmtId="37" fontId="13" fillId="0" borderId="0" xfId="3" applyNumberFormat="1" applyFont="1" applyFill="1" applyBorder="1" applyAlignment="1" applyProtection="1">
      <alignment horizontal="center" vertical="center"/>
    </xf>
    <xf numFmtId="37" fontId="14" fillId="0" borderId="0" xfId="3" applyNumberFormat="1" applyFont="1" applyFill="1" applyBorder="1" applyAlignment="1" applyProtection="1">
      <alignment horizontal="center" vertical="center"/>
    </xf>
    <xf numFmtId="10" fontId="13" fillId="0" borderId="0" xfId="3" applyNumberFormat="1" applyFont="1" applyFill="1" applyBorder="1" applyAlignment="1" applyProtection="1">
      <alignment horizontal="center" vertical="center"/>
    </xf>
    <xf numFmtId="37" fontId="13" fillId="0" borderId="0" xfId="3" applyNumberFormat="1" applyFont="1" applyFill="1" applyBorder="1" applyAlignment="1" applyProtection="1">
      <alignment horizontal="right" vertical="center"/>
    </xf>
    <xf numFmtId="10" fontId="13" fillId="0" borderId="0" xfId="3" applyNumberFormat="1" applyFont="1" applyFill="1" applyBorder="1" applyAlignment="1" applyProtection="1">
      <alignment horizontal="right" vertical="center"/>
    </xf>
    <xf numFmtId="37" fontId="13" fillId="0" borderId="0" xfId="3" applyNumberFormat="1" applyFont="1" applyAlignment="1" applyProtection="1">
      <alignment vertical="center"/>
    </xf>
    <xf numFmtId="10" fontId="13" fillId="0" borderId="0" xfId="3" applyNumberFormat="1" applyFont="1" applyAlignment="1" applyProtection="1">
      <alignment vertical="center"/>
    </xf>
    <xf numFmtId="10" fontId="13" fillId="0" borderId="0" xfId="3" applyNumberFormat="1" applyFont="1" applyAlignment="1" applyProtection="1">
      <alignment horizontal="right" vertical="center"/>
    </xf>
    <xf numFmtId="37" fontId="13" fillId="0" borderId="0" xfId="3" applyNumberFormat="1" applyFont="1" applyAlignment="1" applyProtection="1">
      <alignment horizontal="right" vertical="center"/>
    </xf>
    <xf numFmtId="37" fontId="13" fillId="0" borderId="3" xfId="3" applyFont="1" applyBorder="1" applyAlignment="1">
      <alignment vertical="center"/>
    </xf>
    <xf numFmtId="37" fontId="13" fillId="0" borderId="3" xfId="3" applyNumberFormat="1" applyFont="1" applyBorder="1" applyAlignment="1" applyProtection="1">
      <alignment vertical="center"/>
    </xf>
    <xf numFmtId="10" fontId="13" fillId="0" borderId="3" xfId="3" applyNumberFormat="1" applyFont="1" applyBorder="1" applyAlignment="1" applyProtection="1">
      <alignment vertical="center"/>
    </xf>
    <xf numFmtId="37" fontId="13" fillId="0" borderId="3" xfId="3" applyNumberFormat="1" applyFont="1" applyBorder="1" applyAlignment="1" applyProtection="1">
      <alignment horizontal="right" vertical="center"/>
    </xf>
    <xf numFmtId="10" fontId="13" fillId="0" borderId="3" xfId="3" applyNumberFormat="1" applyFont="1" applyBorder="1" applyAlignment="1" applyProtection="1">
      <alignment horizontal="right" vertical="center"/>
    </xf>
    <xf numFmtId="37" fontId="13" fillId="0" borderId="3" xfId="3" applyFont="1" applyBorder="1" applyAlignment="1">
      <alignment horizontal="right" vertical="center"/>
    </xf>
    <xf numFmtId="37" fontId="13" fillId="0" borderId="0" xfId="3" applyFont="1" applyBorder="1" applyAlignment="1">
      <alignment vertical="center"/>
    </xf>
    <xf numFmtId="10" fontId="13" fillId="0" borderId="3" xfId="3" applyNumberFormat="1" applyFont="1" applyFill="1" applyBorder="1" applyAlignment="1" applyProtection="1">
      <alignment horizontal="right" vertical="center"/>
    </xf>
    <xf numFmtId="0" fontId="10" fillId="0" borderId="0" xfId="0" applyFont="1" applyAlignment="1">
      <alignment horizontal="right"/>
    </xf>
    <xf numFmtId="0" fontId="10" fillId="0" borderId="3" xfId="0" applyFont="1" applyBorder="1"/>
    <xf numFmtId="3" fontId="10" fillId="0" borderId="3" xfId="0" applyNumberFormat="1" applyFont="1" applyBorder="1"/>
    <xf numFmtId="10" fontId="10" fillId="0" borderId="3" xfId="0" applyNumberFormat="1" applyFont="1" applyBorder="1"/>
    <xf numFmtId="3" fontId="10" fillId="0" borderId="3" xfId="0" applyNumberFormat="1" applyFont="1" applyBorder="1" applyAlignment="1">
      <alignment horizontal="right"/>
    </xf>
    <xf numFmtId="10" fontId="10" fillId="0" borderId="3" xfId="0" applyNumberFormat="1" applyFont="1" applyBorder="1" applyAlignment="1">
      <alignment horizontal="right"/>
    </xf>
    <xf numFmtId="3" fontId="13" fillId="0" borderId="3" xfId="0" applyNumberFormat="1" applyFont="1" applyBorder="1"/>
    <xf numFmtId="49" fontId="13" fillId="0" borderId="3" xfId="0" applyNumberFormat="1" applyFont="1" applyBorder="1" applyAlignment="1">
      <alignment horizontal="right"/>
    </xf>
    <xf numFmtId="3" fontId="13" fillId="0" borderId="3" xfId="0" applyNumberFormat="1" applyFont="1" applyBorder="1" applyAlignment="1">
      <alignment horizontal="right"/>
    </xf>
    <xf numFmtId="3" fontId="8" fillId="0" borderId="8" xfId="0" applyNumberFormat="1" applyFont="1" applyBorder="1" applyAlignment="1">
      <alignment horizontal="center"/>
    </xf>
    <xf numFmtId="3" fontId="7" fillId="0" borderId="1" xfId="2" applyNumberFormat="1" applyFont="1" applyFill="1" applyBorder="1" applyAlignment="1" applyProtection="1">
      <alignment vertical="center"/>
    </xf>
    <xf numFmtId="3" fontId="6" fillId="0" borderId="0" xfId="0" applyNumberFormat="1" applyFont="1" applyFill="1"/>
    <xf numFmtId="3" fontId="6" fillId="0" borderId="0" xfId="0" applyNumberFormat="1" applyFont="1"/>
    <xf numFmtId="3" fontId="5" fillId="0" borderId="0" xfId="0" applyNumberFormat="1" applyFont="1"/>
    <xf numFmtId="0" fontId="7" fillId="0" borderId="0" xfId="0" applyFont="1" applyFill="1" applyBorder="1"/>
    <xf numFmtId="0" fontId="8" fillId="0" borderId="0" xfId="0" applyFont="1" applyFill="1" applyBorder="1"/>
    <xf numFmtId="37" fontId="8" fillId="0" borderId="0" xfId="0" applyNumberFormat="1" applyFont="1" applyFill="1" applyBorder="1"/>
    <xf numFmtId="3" fontId="13" fillId="0" borderId="3" xfId="0" applyNumberFormat="1" applyFont="1" applyBorder="1" applyAlignment="1"/>
    <xf numFmtId="10" fontId="13" fillId="0" borderId="3" xfId="0" applyNumberFormat="1" applyFont="1" applyBorder="1" applyAlignment="1"/>
    <xf numFmtId="37" fontId="13" fillId="0" borderId="0" xfId="3" applyFont="1" applyFill="1" applyBorder="1" applyAlignment="1" applyProtection="1">
      <alignment horizontal="left" vertical="center"/>
    </xf>
    <xf numFmtId="0" fontId="13" fillId="0" borderId="3" xfId="0" applyFont="1" applyBorder="1"/>
    <xf numFmtId="10" fontId="13" fillId="0" borderId="3" xfId="0" applyNumberFormat="1" applyFont="1" applyBorder="1" applyAlignment="1">
      <alignment horizontal="right"/>
    </xf>
    <xf numFmtId="0" fontId="8" fillId="0" borderId="0" xfId="0" applyFont="1"/>
    <xf numFmtId="0" fontId="18" fillId="0" borderId="0" xfId="0" applyFont="1"/>
    <xf numFmtId="0" fontId="8" fillId="2" borderId="0" xfId="0" applyFont="1" applyFill="1"/>
    <xf numFmtId="0" fontId="1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3" borderId="0" xfId="0" applyFont="1" applyFill="1"/>
    <xf numFmtId="0" fontId="8" fillId="4" borderId="0" xfId="0" applyFont="1" applyFill="1"/>
    <xf numFmtId="0" fontId="18" fillId="0" borderId="0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0" fontId="16" fillId="0" borderId="7" xfId="0" applyFont="1" applyBorder="1" applyAlignment="1">
      <alignment horizontal="center"/>
    </xf>
    <xf numFmtId="0" fontId="5" fillId="0" borderId="0" xfId="0" applyFont="1" applyFill="1"/>
    <xf numFmtId="37" fontId="20" fillId="0" borderId="3" xfId="2" applyFont="1" applyFill="1" applyBorder="1" applyAlignment="1">
      <alignment horizontal="center" vertical="center"/>
    </xf>
    <xf numFmtId="37" fontId="21" fillId="0" borderId="0" xfId="1" applyFont="1" applyAlignment="1" applyProtection="1">
      <alignment horizontal="left" vertical="center"/>
    </xf>
    <xf numFmtId="0" fontId="16" fillId="0" borderId="0" xfId="0" applyFont="1" applyAlignment="1">
      <alignment horizontal="center" wrapText="1"/>
    </xf>
    <xf numFmtId="0" fontId="11" fillId="0" borderId="0" xfId="0" applyFont="1" applyAlignment="1">
      <alignment horizontal="right"/>
    </xf>
    <xf numFmtId="14" fontId="10" fillId="0" borderId="0" xfId="0" applyNumberFormat="1" applyFont="1" applyAlignment="1"/>
    <xf numFmtId="37" fontId="13" fillId="0" borderId="0" xfId="1" applyFont="1" applyAlignment="1" applyProtection="1">
      <alignment horizontal="center" vertical="center"/>
    </xf>
    <xf numFmtId="37" fontId="12" fillId="0" borderId="0" xfId="1" applyFont="1" applyAlignment="1" applyProtection="1">
      <alignment horizontal="center" vertical="center"/>
    </xf>
    <xf numFmtId="37" fontId="13" fillId="0" borderId="0" xfId="1" applyFont="1" applyAlignment="1" applyProtection="1">
      <alignment vertical="center"/>
    </xf>
    <xf numFmtId="14" fontId="7" fillId="0" borderId="0" xfId="2" applyNumberFormat="1" applyFont="1" applyFill="1" applyAlignment="1"/>
    <xf numFmtId="37" fontId="7" fillId="0" borderId="7" xfId="2" applyFont="1" applyFill="1" applyBorder="1" applyAlignment="1">
      <alignment horizontal="center" vertical="center" wrapText="1"/>
    </xf>
    <xf numFmtId="37" fontId="15" fillId="0" borderId="0" xfId="2" applyFont="1" applyFill="1" applyAlignment="1" applyProtection="1">
      <alignment horizontal="center" vertical="center"/>
    </xf>
    <xf numFmtId="37" fontId="7" fillId="0" borderId="7" xfId="2" applyFont="1" applyFill="1" applyBorder="1" applyAlignment="1">
      <alignment horizontal="center" vertical="center"/>
    </xf>
    <xf numFmtId="37" fontId="12" fillId="0" borderId="0" xfId="3" applyFont="1" applyAlignment="1" applyProtection="1">
      <alignment horizontal="center" vertical="center"/>
    </xf>
    <xf numFmtId="0" fontId="16" fillId="0" borderId="7" xfId="0" applyFont="1" applyBorder="1" applyAlignment="1">
      <alignment horizontal="center"/>
    </xf>
    <xf numFmtId="0" fontId="8" fillId="0" borderId="9" xfId="0" applyFont="1" applyBorder="1" applyAlignment="1"/>
    <xf numFmtId="0" fontId="0" fillId="0" borderId="10" xfId="0" applyBorder="1" applyAlignme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8" fillId="0" borderId="11" xfId="0" applyFont="1" applyBorder="1" applyAlignment="1">
      <alignment wrapText="1"/>
    </xf>
    <xf numFmtId="0" fontId="0" fillId="0" borderId="13" xfId="0" applyBorder="1" applyAlignment="1">
      <alignment wrapText="1"/>
    </xf>
    <xf numFmtId="0" fontId="8" fillId="0" borderId="12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4" borderId="0" xfId="0" applyFont="1" applyFill="1" applyAlignment="1">
      <alignment horizontal="center"/>
    </xf>
    <xf numFmtId="0" fontId="8" fillId="0" borderId="11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0" fontId="24" fillId="0" borderId="3" xfId="3" applyNumberFormat="1" applyFont="1" applyBorder="1" applyAlignment="1" applyProtection="1">
      <alignment vertical="center"/>
    </xf>
    <xf numFmtId="0" fontId="24" fillId="0" borderId="0" xfId="0" applyFont="1"/>
    <xf numFmtId="10" fontId="24" fillId="0" borderId="3" xfId="0" applyNumberFormat="1" applyFont="1" applyBorder="1"/>
    <xf numFmtId="49" fontId="24" fillId="0" borderId="3" xfId="0" applyNumberFormat="1" applyFont="1" applyBorder="1" applyAlignment="1">
      <alignment horizontal="right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selection activeCell="F18" sqref="F18"/>
    </sheetView>
  </sheetViews>
  <sheetFormatPr defaultRowHeight="16.5" x14ac:dyDescent="0.3"/>
  <cols>
    <col min="1" max="3" width="9.140625" style="18"/>
    <col min="4" max="4" width="9.140625" style="18" customWidth="1"/>
    <col min="5" max="9" width="9.140625" style="18"/>
  </cols>
  <sheetData>
    <row r="1" spans="1:9" x14ac:dyDescent="0.3">
      <c r="A1" s="21" t="s">
        <v>98</v>
      </c>
      <c r="B1" s="22"/>
      <c r="C1" s="22"/>
      <c r="D1" s="22"/>
      <c r="E1" s="128" t="s">
        <v>76</v>
      </c>
      <c r="F1" s="128"/>
      <c r="G1" s="128"/>
      <c r="H1" s="128"/>
    </row>
    <row r="2" spans="1:9" x14ac:dyDescent="0.3">
      <c r="A2" s="131" t="s">
        <v>1</v>
      </c>
      <c r="B2" s="131"/>
      <c r="C2" s="131"/>
      <c r="D2" s="131"/>
      <c r="E2" s="131"/>
      <c r="F2" s="131"/>
      <c r="G2" s="131"/>
      <c r="H2" s="131"/>
    </row>
    <row r="3" spans="1:9" x14ac:dyDescent="0.3">
      <c r="A3" s="131" t="s">
        <v>2</v>
      </c>
      <c r="B3" s="131"/>
      <c r="C3" s="131"/>
      <c r="D3" s="131"/>
      <c r="E3" s="131"/>
      <c r="F3" s="131"/>
      <c r="G3" s="131"/>
      <c r="H3" s="131"/>
    </row>
    <row r="4" spans="1:9" x14ac:dyDescent="0.3">
      <c r="A4" s="131" t="s">
        <v>95</v>
      </c>
      <c r="B4" s="131"/>
      <c r="C4" s="131"/>
      <c r="D4" s="131"/>
      <c r="E4" s="131"/>
      <c r="F4" s="131"/>
      <c r="G4" s="131"/>
      <c r="H4" s="131"/>
    </row>
    <row r="5" spans="1:9" s="3" customFormat="1" x14ac:dyDescent="0.3">
      <c r="A5" s="130" t="s">
        <v>3</v>
      </c>
      <c r="B5" s="130"/>
      <c r="C5" s="130"/>
      <c r="D5" s="130"/>
      <c r="E5" s="132"/>
      <c r="F5" s="130"/>
      <c r="G5" s="130"/>
      <c r="H5" s="130"/>
      <c r="I5" s="18"/>
    </row>
    <row r="6" spans="1:9" x14ac:dyDescent="0.3">
      <c r="A6" s="23"/>
      <c r="B6" s="24" t="s">
        <v>4</v>
      </c>
      <c r="C6" s="25"/>
      <c r="D6" s="26" t="s">
        <v>5</v>
      </c>
      <c r="E6" s="25"/>
      <c r="F6" s="26" t="s">
        <v>6</v>
      </c>
      <c r="G6" s="25"/>
      <c r="H6" s="26" t="s">
        <v>7</v>
      </c>
    </row>
    <row r="7" spans="1:9" x14ac:dyDescent="0.3">
      <c r="A7" s="22"/>
      <c r="B7" s="27" t="s">
        <v>8</v>
      </c>
      <c r="C7" s="28"/>
      <c r="D7" s="29">
        <v>1439</v>
      </c>
      <c r="E7" s="28"/>
      <c r="F7" s="29">
        <v>1374</v>
      </c>
      <c r="G7" s="28"/>
      <c r="H7" s="29">
        <f>SUM(D7:G7)</f>
        <v>2813</v>
      </c>
    </row>
    <row r="8" spans="1:9" x14ac:dyDescent="0.3">
      <c r="A8" s="22"/>
      <c r="B8" s="30" t="s">
        <v>9</v>
      </c>
      <c r="C8" s="31"/>
      <c r="D8" s="32">
        <v>995</v>
      </c>
      <c r="E8" s="31"/>
      <c r="F8" s="32">
        <v>1010</v>
      </c>
      <c r="G8" s="31"/>
      <c r="H8" s="32">
        <f>SUM(D8:G8)</f>
        <v>2005</v>
      </c>
    </row>
    <row r="9" spans="1:9" x14ac:dyDescent="0.3">
      <c r="A9" s="22"/>
      <c r="B9" s="30" t="s">
        <v>10</v>
      </c>
      <c r="C9" s="31"/>
      <c r="D9" s="32">
        <v>837</v>
      </c>
      <c r="E9" s="31"/>
      <c r="F9" s="32">
        <v>979</v>
      </c>
      <c r="G9" s="31"/>
      <c r="H9" s="32">
        <f>SUM(D9:G9)</f>
        <v>1816</v>
      </c>
    </row>
    <row r="10" spans="1:9" x14ac:dyDescent="0.3">
      <c r="A10" s="22"/>
      <c r="B10" s="30" t="s">
        <v>11</v>
      </c>
      <c r="C10" s="31"/>
      <c r="D10" s="32">
        <v>797</v>
      </c>
      <c r="E10" s="31"/>
      <c r="F10" s="32">
        <v>830</v>
      </c>
      <c r="G10" s="31"/>
      <c r="H10" s="32">
        <f>SUM(D10:G10)</f>
        <v>1627</v>
      </c>
    </row>
    <row r="11" spans="1:9" x14ac:dyDescent="0.3">
      <c r="A11" s="22"/>
      <c r="B11" s="30" t="s">
        <v>12</v>
      </c>
      <c r="C11" s="31"/>
      <c r="D11" s="32">
        <v>808</v>
      </c>
      <c r="E11" s="31"/>
      <c r="F11" s="32">
        <v>793</v>
      </c>
      <c r="G11" s="31"/>
      <c r="H11" s="32">
        <f>SUM(D11:G11)</f>
        <v>1601</v>
      </c>
    </row>
    <row r="12" spans="1:9" x14ac:dyDescent="0.3">
      <c r="A12" s="22"/>
      <c r="B12" s="30" t="s">
        <v>13</v>
      </c>
      <c r="C12" s="31"/>
      <c r="D12" s="32">
        <v>758</v>
      </c>
      <c r="E12" s="31"/>
      <c r="F12" s="32">
        <v>741</v>
      </c>
      <c r="G12" s="31"/>
      <c r="H12" s="32">
        <f>SUM(D12:G12)</f>
        <v>1499</v>
      </c>
    </row>
    <row r="13" spans="1:9" x14ac:dyDescent="0.3">
      <c r="A13" s="22"/>
      <c r="B13" s="30" t="s">
        <v>14</v>
      </c>
      <c r="C13" s="31"/>
      <c r="D13" s="32">
        <v>724</v>
      </c>
      <c r="E13" s="31"/>
      <c r="F13" s="32">
        <v>761</v>
      </c>
      <c r="G13" s="31"/>
      <c r="H13" s="32">
        <f>SUM(D13:G13)</f>
        <v>1485</v>
      </c>
    </row>
    <row r="14" spans="1:9" x14ac:dyDescent="0.3">
      <c r="A14" s="22"/>
      <c r="B14" s="30" t="s">
        <v>15</v>
      </c>
      <c r="C14" s="31"/>
      <c r="D14" s="32">
        <v>677</v>
      </c>
      <c r="E14" s="31"/>
      <c r="F14" s="32">
        <v>722</v>
      </c>
      <c r="G14" s="31"/>
      <c r="H14" s="32">
        <f>SUM(D14:G14)</f>
        <v>1399</v>
      </c>
    </row>
    <row r="15" spans="1:9" x14ac:dyDescent="0.3">
      <c r="A15" s="22"/>
      <c r="B15" s="30" t="s">
        <v>16</v>
      </c>
      <c r="C15" s="31"/>
      <c r="D15" s="32">
        <v>665</v>
      </c>
      <c r="E15" s="31"/>
      <c r="F15" s="32">
        <v>675</v>
      </c>
      <c r="G15" s="31"/>
      <c r="H15" s="32">
        <f>SUM(D15:G15)</f>
        <v>1340</v>
      </c>
    </row>
    <row r="16" spans="1:9" x14ac:dyDescent="0.3">
      <c r="A16" s="22"/>
      <c r="B16" s="30" t="s">
        <v>17</v>
      </c>
      <c r="C16" s="31"/>
      <c r="D16" s="32">
        <v>589</v>
      </c>
      <c r="E16" s="31"/>
      <c r="F16" s="32">
        <v>570</v>
      </c>
      <c r="G16" s="31"/>
      <c r="H16" s="32">
        <f>SUM(D16:G16)</f>
        <v>1159</v>
      </c>
    </row>
    <row r="17" spans="1:11" ht="16.5" customHeight="1" x14ac:dyDescent="0.3">
      <c r="A17" s="22"/>
      <c r="B17" s="30" t="s">
        <v>18</v>
      </c>
      <c r="C17" s="31"/>
      <c r="D17" s="32">
        <v>554</v>
      </c>
      <c r="E17" s="31"/>
      <c r="F17" s="32">
        <v>553</v>
      </c>
      <c r="G17" s="31"/>
      <c r="H17" s="32">
        <f>SUM(D17:G17)</f>
        <v>1107</v>
      </c>
    </row>
    <row r="18" spans="1:11" x14ac:dyDescent="0.3">
      <c r="A18" s="22"/>
      <c r="B18" s="30" t="s">
        <v>19</v>
      </c>
      <c r="C18" s="31"/>
      <c r="D18" s="32">
        <v>550</v>
      </c>
      <c r="E18" s="31"/>
      <c r="F18" s="32">
        <v>531</v>
      </c>
      <c r="G18" s="31"/>
      <c r="H18" s="32">
        <f>SUM(D18:G18)</f>
        <v>1081</v>
      </c>
    </row>
    <row r="19" spans="1:11" x14ac:dyDescent="0.3">
      <c r="A19" s="22"/>
      <c r="B19" s="30" t="s">
        <v>20</v>
      </c>
      <c r="C19" s="31"/>
      <c r="D19" s="32">
        <v>517</v>
      </c>
      <c r="E19" s="31"/>
      <c r="F19" s="32">
        <v>469</v>
      </c>
      <c r="G19" s="31"/>
      <c r="H19" s="32">
        <f>SUM(D19:G19)</f>
        <v>986</v>
      </c>
    </row>
    <row r="20" spans="1:11" ht="16.5" customHeight="1" x14ac:dyDescent="0.3">
      <c r="A20" s="22"/>
      <c r="B20" s="33" t="s">
        <v>68</v>
      </c>
      <c r="C20" s="34"/>
      <c r="D20" s="35">
        <v>300</v>
      </c>
      <c r="E20" s="34"/>
      <c r="F20" s="35">
        <v>156</v>
      </c>
      <c r="G20" s="34"/>
      <c r="H20" s="35">
        <f>SUM(D20:G20)</f>
        <v>456</v>
      </c>
      <c r="I20" s="127" t="s">
        <v>91</v>
      </c>
      <c r="J20" s="127"/>
      <c r="K20" s="127"/>
    </row>
    <row r="21" spans="1:11" s="4" customFormat="1" ht="15.75" thickBot="1" x14ac:dyDescent="0.3">
      <c r="A21" s="36"/>
      <c r="B21" s="37" t="s">
        <v>7</v>
      </c>
      <c r="C21" s="38"/>
      <c r="D21" s="39">
        <f>SUM(D7:D20)</f>
        <v>10210</v>
      </c>
      <c r="E21" s="38"/>
      <c r="F21" s="39">
        <f>SUM(F7:F20)</f>
        <v>10164</v>
      </c>
      <c r="G21" s="38"/>
      <c r="H21" s="39">
        <f t="shared" ref="H21" si="0">SUM(D21:G21)</f>
        <v>20374</v>
      </c>
      <c r="I21" s="127"/>
      <c r="J21" s="127"/>
      <c r="K21" s="127"/>
    </row>
    <row r="22" spans="1:11" ht="17.25" thickTop="1" x14ac:dyDescent="0.3">
      <c r="A22" s="22"/>
      <c r="B22" s="40"/>
      <c r="C22" s="40"/>
      <c r="D22" s="40"/>
      <c r="E22" s="40"/>
      <c r="F22" s="40"/>
      <c r="G22" s="40"/>
      <c r="H22" s="40"/>
    </row>
    <row r="23" spans="1:11" x14ac:dyDescent="0.3">
      <c r="A23" s="130" t="s">
        <v>21</v>
      </c>
      <c r="B23" s="130"/>
      <c r="C23" s="130"/>
      <c r="D23" s="130"/>
      <c r="E23" s="130"/>
      <c r="F23" s="130"/>
      <c r="G23" s="130"/>
      <c r="H23" s="130"/>
    </row>
    <row r="24" spans="1:11" x14ac:dyDescent="0.3">
      <c r="A24" s="22"/>
      <c r="B24" s="24" t="s">
        <v>22</v>
      </c>
      <c r="C24" s="25"/>
      <c r="D24" s="26" t="s">
        <v>5</v>
      </c>
      <c r="E24" s="25"/>
      <c r="F24" s="26" t="s">
        <v>6</v>
      </c>
      <c r="G24" s="25"/>
      <c r="H24" s="26" t="s">
        <v>7</v>
      </c>
    </row>
    <row r="25" spans="1:11" x14ac:dyDescent="0.3">
      <c r="A25" s="22"/>
      <c r="B25" s="41" t="s">
        <v>23</v>
      </c>
      <c r="C25" s="28"/>
      <c r="D25" s="29">
        <v>256</v>
      </c>
      <c r="E25" s="28"/>
      <c r="F25" s="29">
        <v>256</v>
      </c>
      <c r="G25" s="28"/>
      <c r="H25" s="29">
        <f>SUM(D25:G25)</f>
        <v>512</v>
      </c>
      <c r="I25" s="20"/>
    </row>
    <row r="26" spans="1:11" x14ac:dyDescent="0.3">
      <c r="B26" s="42" t="s">
        <v>24</v>
      </c>
      <c r="C26" s="31"/>
      <c r="D26" s="32">
        <v>40</v>
      </c>
      <c r="E26" s="31"/>
      <c r="F26" s="32">
        <v>68</v>
      </c>
      <c r="G26" s="31"/>
      <c r="H26" s="32">
        <f>SUM(D26:G26)</f>
        <v>108</v>
      </c>
    </row>
    <row r="27" spans="1:11" x14ac:dyDescent="0.3">
      <c r="B27" s="42" t="s">
        <v>25</v>
      </c>
      <c r="C27" s="31"/>
      <c r="D27" s="32">
        <v>7814</v>
      </c>
      <c r="E27" s="31"/>
      <c r="F27" s="32">
        <v>7941</v>
      </c>
      <c r="G27" s="31"/>
      <c r="H27" s="32">
        <f>SUM(D27:G27)</f>
        <v>15755</v>
      </c>
    </row>
    <row r="28" spans="1:11" x14ac:dyDescent="0.3">
      <c r="B28" s="42" t="s">
        <v>26</v>
      </c>
      <c r="C28" s="31"/>
      <c r="D28" s="32">
        <v>154</v>
      </c>
      <c r="E28" s="31"/>
      <c r="F28" s="32">
        <v>104</v>
      </c>
      <c r="G28" s="31"/>
      <c r="H28" s="32">
        <f>SUM(D28:G28)</f>
        <v>258</v>
      </c>
    </row>
    <row r="29" spans="1:11" x14ac:dyDescent="0.3">
      <c r="B29" s="42" t="s">
        <v>27</v>
      </c>
      <c r="C29" s="31"/>
      <c r="D29" s="32">
        <v>19</v>
      </c>
      <c r="E29" s="31"/>
      <c r="F29" s="32">
        <v>15</v>
      </c>
      <c r="G29" s="31"/>
      <c r="H29" s="32">
        <f>SUM(D29:G29)</f>
        <v>34</v>
      </c>
    </row>
    <row r="30" spans="1:11" x14ac:dyDescent="0.3">
      <c r="B30" s="42" t="s">
        <v>28</v>
      </c>
      <c r="C30" s="31"/>
      <c r="D30" s="32">
        <v>0</v>
      </c>
      <c r="E30" s="31"/>
      <c r="F30" s="32">
        <v>0</v>
      </c>
      <c r="G30" s="31"/>
      <c r="H30" s="32">
        <f>SUM(D30:G30)</f>
        <v>0</v>
      </c>
    </row>
    <row r="31" spans="1:11" x14ac:dyDescent="0.3">
      <c r="B31" s="42" t="s">
        <v>29</v>
      </c>
      <c r="C31" s="31"/>
      <c r="D31" s="32">
        <v>0</v>
      </c>
      <c r="E31" s="31"/>
      <c r="F31" s="32">
        <v>0</v>
      </c>
      <c r="G31" s="31"/>
      <c r="H31" s="32">
        <f>SUM(D31:G31)</f>
        <v>0</v>
      </c>
    </row>
    <row r="32" spans="1:11" x14ac:dyDescent="0.3">
      <c r="B32" s="42" t="s">
        <v>30</v>
      </c>
      <c r="C32" s="31"/>
      <c r="D32" s="32">
        <v>0</v>
      </c>
      <c r="E32" s="31"/>
      <c r="F32" s="32">
        <v>0</v>
      </c>
      <c r="G32" s="31"/>
      <c r="H32" s="32">
        <f>SUM(D32:G32)</f>
        <v>0</v>
      </c>
    </row>
    <row r="33" spans="1:9" x14ac:dyDescent="0.3">
      <c r="B33" s="42" t="s">
        <v>31</v>
      </c>
      <c r="C33" s="31"/>
      <c r="D33" s="32">
        <v>0</v>
      </c>
      <c r="E33" s="31"/>
      <c r="F33" s="32">
        <v>0</v>
      </c>
      <c r="G33" s="31"/>
      <c r="H33" s="32">
        <f>SUM(D33:G33)</f>
        <v>0</v>
      </c>
    </row>
    <row r="34" spans="1:9" x14ac:dyDescent="0.3">
      <c r="B34" s="42" t="s">
        <v>32</v>
      </c>
      <c r="C34" s="31"/>
      <c r="D34" s="32">
        <v>0</v>
      </c>
      <c r="E34" s="31"/>
      <c r="F34" s="32">
        <v>0</v>
      </c>
      <c r="G34" s="31"/>
      <c r="H34" s="32">
        <f>SUM(D34:G34)</f>
        <v>0</v>
      </c>
    </row>
    <row r="35" spans="1:9" x14ac:dyDescent="0.3">
      <c r="B35" s="42" t="s">
        <v>33</v>
      </c>
      <c r="C35" s="31"/>
      <c r="D35" s="32">
        <v>22</v>
      </c>
      <c r="E35" s="31"/>
      <c r="F35" s="32">
        <v>15</v>
      </c>
      <c r="G35" s="31"/>
      <c r="H35" s="32">
        <f>SUM(D35:G35)</f>
        <v>37</v>
      </c>
    </row>
    <row r="36" spans="1:9" x14ac:dyDescent="0.3">
      <c r="B36" s="42" t="s">
        <v>34</v>
      </c>
      <c r="C36" s="31"/>
      <c r="D36" s="32">
        <v>0</v>
      </c>
      <c r="E36" s="31"/>
      <c r="F36" s="32">
        <v>0</v>
      </c>
      <c r="G36" s="31"/>
      <c r="H36" s="32">
        <f>SUM(D36:G36)</f>
        <v>0</v>
      </c>
    </row>
    <row r="37" spans="1:9" x14ac:dyDescent="0.3">
      <c r="B37" s="42" t="s">
        <v>35</v>
      </c>
      <c r="C37" s="31"/>
      <c r="D37" s="32">
        <v>70</v>
      </c>
      <c r="E37" s="31"/>
      <c r="F37" s="32">
        <v>66</v>
      </c>
      <c r="G37" s="31"/>
      <c r="H37" s="32">
        <f>SUM(D37:G37)</f>
        <v>136</v>
      </c>
    </row>
    <row r="38" spans="1:9" x14ac:dyDescent="0.3">
      <c r="B38" s="42" t="s">
        <v>36</v>
      </c>
      <c r="C38" s="31"/>
      <c r="D38" s="32">
        <v>0</v>
      </c>
      <c r="E38" s="31"/>
      <c r="F38" s="32">
        <v>0</v>
      </c>
      <c r="G38" s="31"/>
      <c r="H38" s="32">
        <f>SUM(D38:G38)</f>
        <v>0</v>
      </c>
    </row>
    <row r="39" spans="1:9" x14ac:dyDescent="0.3">
      <c r="B39" s="42" t="s">
        <v>37</v>
      </c>
      <c r="C39" s="31"/>
      <c r="D39" s="32">
        <v>0</v>
      </c>
      <c r="E39" s="31"/>
      <c r="F39" s="32">
        <v>0</v>
      </c>
      <c r="G39" s="31"/>
      <c r="H39" s="32">
        <f>SUM(D39:G39)</f>
        <v>0</v>
      </c>
    </row>
    <row r="40" spans="1:9" x14ac:dyDescent="0.3">
      <c r="B40" s="42" t="s">
        <v>38</v>
      </c>
      <c r="C40" s="31"/>
      <c r="D40" s="32">
        <v>1835</v>
      </c>
      <c r="E40" s="31"/>
      <c r="F40" s="32">
        <v>1699</v>
      </c>
      <c r="G40" s="31"/>
      <c r="H40" s="32">
        <f>SUM(D40:G40)</f>
        <v>3534</v>
      </c>
      <c r="I40" s="20"/>
    </row>
    <row r="41" spans="1:9" x14ac:dyDescent="0.3">
      <c r="B41" s="43" t="s">
        <v>39</v>
      </c>
      <c r="C41" s="34"/>
      <c r="D41" s="35">
        <v>0</v>
      </c>
      <c r="E41" s="34"/>
      <c r="F41" s="35">
        <v>0</v>
      </c>
      <c r="G41" s="34"/>
      <c r="H41" s="35">
        <f>SUM(D41:G41)</f>
        <v>0</v>
      </c>
    </row>
    <row r="42" spans="1:9" s="4" customFormat="1" ht="15.75" thickBot="1" x14ac:dyDescent="0.3">
      <c r="A42" s="36"/>
      <c r="B42" s="37" t="s">
        <v>7</v>
      </c>
      <c r="C42" s="38"/>
      <c r="D42" s="39">
        <f>SUM(D25:D41)</f>
        <v>10210</v>
      </c>
      <c r="E42" s="38"/>
      <c r="F42" s="39">
        <f>SUM(F25:F41)</f>
        <v>10164</v>
      </c>
      <c r="G42" s="38"/>
      <c r="H42" s="39">
        <f>SUM(H25:H41)</f>
        <v>20374</v>
      </c>
      <c r="I42" s="19"/>
    </row>
    <row r="43" spans="1:9" ht="17.25" thickTop="1" x14ac:dyDescent="0.3">
      <c r="A43" s="22"/>
      <c r="B43" s="40"/>
      <c r="C43" s="40"/>
      <c r="D43" s="40"/>
      <c r="E43" s="40"/>
      <c r="F43" s="40"/>
      <c r="G43" s="40"/>
      <c r="H43" s="40"/>
    </row>
    <row r="44" spans="1:9" x14ac:dyDescent="0.3">
      <c r="A44" s="22"/>
      <c r="B44" s="126"/>
      <c r="C44" s="22"/>
      <c r="D44" s="22"/>
      <c r="E44" s="22"/>
      <c r="F44" s="22"/>
      <c r="G44" s="22"/>
      <c r="H44" s="22"/>
    </row>
    <row r="45" spans="1:9" x14ac:dyDescent="0.3">
      <c r="G45" s="129"/>
      <c r="H45" s="129"/>
    </row>
  </sheetData>
  <mergeCells count="8">
    <mergeCell ref="I20:K21"/>
    <mergeCell ref="E1:H1"/>
    <mergeCell ref="G45:H45"/>
    <mergeCell ref="A23:H23"/>
    <mergeCell ref="A2:H2"/>
    <mergeCell ref="A3:H3"/>
    <mergeCell ref="A4:H4"/>
    <mergeCell ref="A5:H5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A31" workbookViewId="0">
      <selection activeCell="N32" sqref="N32"/>
    </sheetView>
  </sheetViews>
  <sheetFormatPr defaultRowHeight="17.25" x14ac:dyDescent="0.3"/>
  <cols>
    <col min="1" max="1" width="10.28515625" style="61" customWidth="1"/>
    <col min="2" max="14" width="7.7109375" style="61" customWidth="1"/>
    <col min="15" max="15" width="8.5703125" style="61" customWidth="1"/>
    <col min="16" max="16" width="12.7109375" style="61" customWidth="1"/>
    <col min="17" max="17" width="9.140625" style="124"/>
    <col min="18" max="16384" width="9.140625" style="6"/>
  </cols>
  <sheetData>
    <row r="1" spans="1:17" x14ac:dyDescent="0.3">
      <c r="A1" s="44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1"/>
      <c r="M1" s="59"/>
      <c r="N1" s="59"/>
      <c r="O1" s="59"/>
      <c r="P1" s="60" t="s">
        <v>76</v>
      </c>
    </row>
    <row r="3" spans="1:17" ht="15.75" x14ac:dyDescent="0.25">
      <c r="A3" s="135" t="s">
        <v>96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</row>
    <row r="4" spans="1:17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7" s="8" customFormat="1" x14ac:dyDescent="0.25">
      <c r="A5" s="46"/>
      <c r="B5" s="136" t="s">
        <v>40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46"/>
      <c r="Q5" s="7"/>
    </row>
    <row r="6" spans="1:17" x14ac:dyDescent="0.25">
      <c r="A6" s="46"/>
      <c r="B6" s="134"/>
      <c r="C6" s="134"/>
      <c r="D6" s="134"/>
      <c r="E6" s="134"/>
      <c r="F6" s="134"/>
      <c r="G6" s="134"/>
      <c r="H6" s="134" t="s">
        <v>4</v>
      </c>
      <c r="I6" s="134"/>
      <c r="J6" s="134"/>
      <c r="K6" s="134"/>
      <c r="L6" s="134"/>
      <c r="M6" s="134"/>
      <c r="N6" s="134"/>
      <c r="O6" s="134"/>
      <c r="P6" s="46"/>
    </row>
    <row r="7" spans="1:17" x14ac:dyDescent="0.25">
      <c r="A7" s="47" t="s">
        <v>64</v>
      </c>
      <c r="B7" s="55" t="s">
        <v>41</v>
      </c>
      <c r="C7" s="55">
        <v>1</v>
      </c>
      <c r="D7" s="55">
        <v>2</v>
      </c>
      <c r="E7" s="55">
        <v>3</v>
      </c>
      <c r="F7" s="55">
        <v>4</v>
      </c>
      <c r="G7" s="55">
        <v>5</v>
      </c>
      <c r="H7" s="55">
        <v>6</v>
      </c>
      <c r="I7" s="55">
        <v>7</v>
      </c>
      <c r="J7" s="55">
        <v>8</v>
      </c>
      <c r="K7" s="55">
        <v>9</v>
      </c>
      <c r="L7" s="55">
        <v>10</v>
      </c>
      <c r="M7" s="55">
        <v>11</v>
      </c>
      <c r="N7" s="55">
        <v>12</v>
      </c>
      <c r="O7" s="125" t="s">
        <v>70</v>
      </c>
      <c r="P7" s="55" t="s">
        <v>7</v>
      </c>
    </row>
    <row r="8" spans="1:17" x14ac:dyDescent="0.3">
      <c r="A8" s="48" t="s">
        <v>42</v>
      </c>
      <c r="B8" s="49">
        <v>19</v>
      </c>
      <c r="C8" s="49">
        <v>30</v>
      </c>
      <c r="D8" s="49">
        <v>19</v>
      </c>
      <c r="E8" s="49">
        <v>18</v>
      </c>
      <c r="F8" s="49">
        <v>25</v>
      </c>
      <c r="G8" s="49">
        <v>20</v>
      </c>
      <c r="H8" s="49">
        <v>20</v>
      </c>
      <c r="I8" s="49">
        <v>28</v>
      </c>
      <c r="J8" s="49">
        <v>27</v>
      </c>
      <c r="K8" s="49">
        <v>17</v>
      </c>
      <c r="L8" s="49">
        <v>10</v>
      </c>
      <c r="M8" s="49">
        <v>11</v>
      </c>
      <c r="N8" s="49">
        <v>12</v>
      </c>
      <c r="O8" s="49">
        <v>0</v>
      </c>
      <c r="P8" s="49">
        <f t="shared" ref="P8:P16" si="0">SUM(B8:O8)</f>
        <v>256</v>
      </c>
    </row>
    <row r="9" spans="1:17" x14ac:dyDescent="0.3">
      <c r="A9" s="50" t="s">
        <v>24</v>
      </c>
      <c r="B9" s="49">
        <v>10</v>
      </c>
      <c r="C9" s="49">
        <v>10</v>
      </c>
      <c r="D9" s="49">
        <v>6</v>
      </c>
      <c r="E9" s="49">
        <v>4</v>
      </c>
      <c r="F9" s="49">
        <v>5</v>
      </c>
      <c r="G9" s="49">
        <v>5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f t="shared" si="0"/>
        <v>40</v>
      </c>
    </row>
    <row r="10" spans="1:17" x14ac:dyDescent="0.3">
      <c r="A10" s="50" t="s">
        <v>25</v>
      </c>
      <c r="B10" s="100">
        <v>1111</v>
      </c>
      <c r="C10" s="49">
        <v>826</v>
      </c>
      <c r="D10" s="49">
        <v>699</v>
      </c>
      <c r="E10" s="49">
        <v>665</v>
      </c>
      <c r="F10" s="49">
        <v>650</v>
      </c>
      <c r="G10" s="49">
        <v>617</v>
      </c>
      <c r="H10" s="49">
        <v>569</v>
      </c>
      <c r="I10" s="49">
        <v>506</v>
      </c>
      <c r="J10" s="49">
        <v>537</v>
      </c>
      <c r="K10" s="49">
        <v>441</v>
      </c>
      <c r="L10" s="49">
        <v>424</v>
      </c>
      <c r="M10" s="49">
        <v>411</v>
      </c>
      <c r="N10" s="49">
        <v>358</v>
      </c>
      <c r="O10" s="49">
        <v>0</v>
      </c>
      <c r="P10" s="100">
        <f t="shared" si="0"/>
        <v>7814</v>
      </c>
    </row>
    <row r="11" spans="1:17" x14ac:dyDescent="0.3">
      <c r="A11" s="50" t="s">
        <v>26</v>
      </c>
      <c r="B11" s="49">
        <v>19</v>
      </c>
      <c r="C11" s="49">
        <v>2</v>
      </c>
      <c r="D11" s="49">
        <v>7</v>
      </c>
      <c r="E11" s="49">
        <v>2</v>
      </c>
      <c r="F11" s="49">
        <v>7</v>
      </c>
      <c r="G11" s="49">
        <v>5</v>
      </c>
      <c r="H11" s="49">
        <v>9</v>
      </c>
      <c r="I11" s="49">
        <v>11</v>
      </c>
      <c r="J11" s="49">
        <v>6</v>
      </c>
      <c r="K11" s="49">
        <v>3</v>
      </c>
      <c r="L11" s="49">
        <v>12</v>
      </c>
      <c r="M11" s="49">
        <v>20</v>
      </c>
      <c r="N11" s="49">
        <v>51</v>
      </c>
      <c r="O11" s="49">
        <v>0</v>
      </c>
      <c r="P11" s="49">
        <f t="shared" si="0"/>
        <v>154</v>
      </c>
    </row>
    <row r="12" spans="1:17" x14ac:dyDescent="0.3">
      <c r="A12" s="50" t="s">
        <v>27</v>
      </c>
      <c r="B12" s="49">
        <v>2</v>
      </c>
      <c r="C12" s="49">
        <v>0</v>
      </c>
      <c r="D12" s="49">
        <v>1</v>
      </c>
      <c r="E12" s="49">
        <v>2</v>
      </c>
      <c r="F12" s="49">
        <v>1</v>
      </c>
      <c r="G12" s="49">
        <v>1</v>
      </c>
      <c r="H12" s="49">
        <v>4</v>
      </c>
      <c r="I12" s="49">
        <v>1</v>
      </c>
      <c r="J12" s="49">
        <v>2</v>
      </c>
      <c r="K12" s="49">
        <v>1</v>
      </c>
      <c r="L12" s="49">
        <v>2</v>
      </c>
      <c r="M12" s="49">
        <v>2</v>
      </c>
      <c r="N12" s="49">
        <v>0</v>
      </c>
      <c r="O12" s="49">
        <v>0</v>
      </c>
      <c r="P12" s="49">
        <f t="shared" si="0"/>
        <v>19</v>
      </c>
    </row>
    <row r="13" spans="1:17" x14ac:dyDescent="0.3">
      <c r="A13" s="50" t="s">
        <v>33</v>
      </c>
      <c r="B13" s="49">
        <v>7</v>
      </c>
      <c r="C13" s="49">
        <v>1</v>
      </c>
      <c r="D13" s="49">
        <v>3</v>
      </c>
      <c r="E13" s="49">
        <v>0</v>
      </c>
      <c r="F13" s="49">
        <v>1</v>
      </c>
      <c r="G13" s="49">
        <v>3</v>
      </c>
      <c r="H13" s="49">
        <v>3</v>
      </c>
      <c r="I13" s="49">
        <v>0</v>
      </c>
      <c r="J13" s="49">
        <v>2</v>
      </c>
      <c r="K13" s="49">
        <v>1</v>
      </c>
      <c r="L13" s="49">
        <v>1</v>
      </c>
      <c r="M13" s="49">
        <v>0</v>
      </c>
      <c r="N13" s="49">
        <v>0</v>
      </c>
      <c r="O13" s="49">
        <v>0</v>
      </c>
      <c r="P13" s="49">
        <f t="shared" si="0"/>
        <v>22</v>
      </c>
    </row>
    <row r="14" spans="1:17" x14ac:dyDescent="0.3">
      <c r="A14" s="50" t="s">
        <v>35</v>
      </c>
      <c r="B14" s="49">
        <v>10</v>
      </c>
      <c r="C14" s="49">
        <v>5</v>
      </c>
      <c r="D14" s="49">
        <v>6</v>
      </c>
      <c r="E14" s="49">
        <v>7</v>
      </c>
      <c r="F14" s="49">
        <v>5</v>
      </c>
      <c r="G14" s="49">
        <v>7</v>
      </c>
      <c r="H14" s="49">
        <v>4</v>
      </c>
      <c r="I14" s="49">
        <v>7</v>
      </c>
      <c r="J14" s="49">
        <v>4</v>
      </c>
      <c r="K14" s="49">
        <v>6</v>
      </c>
      <c r="L14" s="49">
        <v>3</v>
      </c>
      <c r="M14" s="49">
        <v>2</v>
      </c>
      <c r="N14" s="49">
        <v>4</v>
      </c>
      <c r="O14" s="49">
        <v>0</v>
      </c>
      <c r="P14" s="49">
        <f t="shared" si="0"/>
        <v>70</v>
      </c>
    </row>
    <row r="15" spans="1:17" x14ac:dyDescent="0.3">
      <c r="A15" s="51" t="s">
        <v>38</v>
      </c>
      <c r="B15" s="49">
        <v>261</v>
      </c>
      <c r="C15" s="49">
        <v>121</v>
      </c>
      <c r="D15" s="49">
        <v>96</v>
      </c>
      <c r="E15" s="49">
        <v>99</v>
      </c>
      <c r="F15" s="49">
        <v>114</v>
      </c>
      <c r="G15" s="49">
        <v>100</v>
      </c>
      <c r="H15" s="49">
        <v>115</v>
      </c>
      <c r="I15" s="49">
        <v>124</v>
      </c>
      <c r="J15" s="49">
        <v>87</v>
      </c>
      <c r="K15" s="49">
        <v>120</v>
      </c>
      <c r="L15" s="49">
        <v>102</v>
      </c>
      <c r="M15" s="49">
        <v>104</v>
      </c>
      <c r="N15" s="49">
        <v>92</v>
      </c>
      <c r="O15" s="49">
        <v>300</v>
      </c>
      <c r="P15" s="49">
        <f t="shared" si="0"/>
        <v>1835</v>
      </c>
    </row>
    <row r="16" spans="1:17" s="8" customFormat="1" ht="18" thickBot="1" x14ac:dyDescent="0.3">
      <c r="A16" s="52" t="s">
        <v>7</v>
      </c>
      <c r="B16" s="53">
        <f t="shared" ref="B16:O16" si="1">SUM(B8:B15)</f>
        <v>1439</v>
      </c>
      <c r="C16" s="53">
        <f t="shared" si="1"/>
        <v>995</v>
      </c>
      <c r="D16" s="53">
        <f t="shared" si="1"/>
        <v>837</v>
      </c>
      <c r="E16" s="53">
        <f t="shared" si="1"/>
        <v>797</v>
      </c>
      <c r="F16" s="53">
        <f t="shared" si="1"/>
        <v>808</v>
      </c>
      <c r="G16" s="53">
        <f t="shared" si="1"/>
        <v>758</v>
      </c>
      <c r="H16" s="53">
        <f t="shared" si="1"/>
        <v>724</v>
      </c>
      <c r="I16" s="53">
        <f t="shared" si="1"/>
        <v>677</v>
      </c>
      <c r="J16" s="53">
        <f t="shared" si="1"/>
        <v>665</v>
      </c>
      <c r="K16" s="53">
        <f t="shared" si="1"/>
        <v>589</v>
      </c>
      <c r="L16" s="53">
        <f t="shared" si="1"/>
        <v>554</v>
      </c>
      <c r="M16" s="53">
        <f t="shared" si="1"/>
        <v>550</v>
      </c>
      <c r="N16" s="53">
        <f t="shared" si="1"/>
        <v>517</v>
      </c>
      <c r="O16" s="53">
        <f t="shared" si="1"/>
        <v>300</v>
      </c>
      <c r="P16" s="53">
        <f t="shared" si="0"/>
        <v>10210</v>
      </c>
      <c r="Q16" s="7"/>
    </row>
    <row r="17" spans="1:19" ht="18" thickTop="1" x14ac:dyDescent="0.3">
      <c r="A17" s="52"/>
      <c r="B17" s="62"/>
    </row>
    <row r="18" spans="1:19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9" s="8" customFormat="1" x14ac:dyDescent="0.25">
      <c r="A19" s="46"/>
      <c r="B19" s="136" t="s">
        <v>43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46"/>
      <c r="Q19" s="7"/>
    </row>
    <row r="20" spans="1:19" x14ac:dyDescent="0.25">
      <c r="A20" s="46"/>
      <c r="B20" s="134"/>
      <c r="C20" s="134"/>
      <c r="D20" s="134"/>
      <c r="E20" s="134"/>
      <c r="F20" s="134"/>
      <c r="G20" s="134"/>
      <c r="H20" s="134" t="s">
        <v>4</v>
      </c>
      <c r="I20" s="134"/>
      <c r="J20" s="134"/>
      <c r="K20" s="134"/>
      <c r="L20" s="134"/>
      <c r="M20" s="134"/>
      <c r="N20" s="134"/>
      <c r="O20" s="134"/>
      <c r="P20" s="46"/>
      <c r="Q20" s="7"/>
      <c r="R20" s="8"/>
      <c r="S20" s="8"/>
    </row>
    <row r="21" spans="1:19" x14ac:dyDescent="0.25">
      <c r="A21" s="47" t="s">
        <v>64</v>
      </c>
      <c r="B21" s="55" t="s">
        <v>41</v>
      </c>
      <c r="C21" s="55">
        <v>1</v>
      </c>
      <c r="D21" s="55">
        <v>2</v>
      </c>
      <c r="E21" s="55">
        <v>3</v>
      </c>
      <c r="F21" s="55">
        <v>4</v>
      </c>
      <c r="G21" s="55">
        <v>5</v>
      </c>
      <c r="H21" s="55">
        <v>6</v>
      </c>
      <c r="I21" s="55">
        <v>7</v>
      </c>
      <c r="J21" s="55">
        <v>8</v>
      </c>
      <c r="K21" s="55">
        <v>9</v>
      </c>
      <c r="L21" s="55">
        <v>10</v>
      </c>
      <c r="M21" s="55">
        <v>11</v>
      </c>
      <c r="N21" s="55">
        <v>12</v>
      </c>
      <c r="O21" s="125" t="s">
        <v>70</v>
      </c>
      <c r="P21" s="55" t="s">
        <v>7</v>
      </c>
      <c r="Q21" s="7"/>
      <c r="R21" s="8"/>
      <c r="S21" s="8"/>
    </row>
    <row r="22" spans="1:19" x14ac:dyDescent="0.3">
      <c r="A22" s="48" t="s">
        <v>42</v>
      </c>
      <c r="B22" s="49">
        <v>23</v>
      </c>
      <c r="C22" s="49">
        <v>20</v>
      </c>
      <c r="D22" s="49">
        <v>29</v>
      </c>
      <c r="E22" s="49">
        <v>22</v>
      </c>
      <c r="F22" s="49">
        <v>23</v>
      </c>
      <c r="G22" s="49">
        <v>24</v>
      </c>
      <c r="H22" s="49">
        <v>26</v>
      </c>
      <c r="I22" s="49">
        <v>21</v>
      </c>
      <c r="J22" s="49">
        <v>17</v>
      </c>
      <c r="K22" s="49">
        <v>17</v>
      </c>
      <c r="L22" s="49">
        <v>17</v>
      </c>
      <c r="M22" s="49">
        <v>9</v>
      </c>
      <c r="N22" s="49">
        <v>8</v>
      </c>
      <c r="O22" s="49">
        <v>0</v>
      </c>
      <c r="P22" s="49">
        <f>SUM(B22:O22)</f>
        <v>256</v>
      </c>
      <c r="Q22" s="7"/>
      <c r="R22" s="8"/>
      <c r="S22" s="8"/>
    </row>
    <row r="23" spans="1:19" x14ac:dyDescent="0.3">
      <c r="A23" s="50" t="s">
        <v>24</v>
      </c>
      <c r="B23" s="49">
        <v>7</v>
      </c>
      <c r="C23" s="49">
        <v>11</v>
      </c>
      <c r="D23" s="49">
        <v>10</v>
      </c>
      <c r="E23" s="49">
        <v>7</v>
      </c>
      <c r="F23" s="49">
        <v>10</v>
      </c>
      <c r="G23" s="49">
        <v>8</v>
      </c>
      <c r="H23" s="49">
        <v>10</v>
      </c>
      <c r="I23" s="49">
        <v>3</v>
      </c>
      <c r="J23" s="49">
        <v>2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f t="shared" ref="P23:P28" si="2">SUM(B23:O23)</f>
        <v>68</v>
      </c>
      <c r="Q23" s="7"/>
      <c r="R23" s="8"/>
      <c r="S23" s="8"/>
    </row>
    <row r="24" spans="1:19" x14ac:dyDescent="0.3">
      <c r="A24" s="50" t="s">
        <v>25</v>
      </c>
      <c r="B24" s="100">
        <v>1110</v>
      </c>
      <c r="C24" s="49">
        <v>841</v>
      </c>
      <c r="D24" s="49">
        <v>789</v>
      </c>
      <c r="E24" s="49">
        <v>675</v>
      </c>
      <c r="F24" s="49">
        <v>616</v>
      </c>
      <c r="G24" s="49">
        <v>597</v>
      </c>
      <c r="H24" s="49">
        <v>600</v>
      </c>
      <c r="I24" s="49">
        <v>578</v>
      </c>
      <c r="J24" s="49">
        <v>530</v>
      </c>
      <c r="K24" s="49">
        <v>438</v>
      </c>
      <c r="L24" s="49">
        <v>410</v>
      </c>
      <c r="M24" s="49">
        <v>410</v>
      </c>
      <c r="N24" s="49">
        <v>347</v>
      </c>
      <c r="O24" s="49">
        <v>0</v>
      </c>
      <c r="P24" s="100">
        <f t="shared" si="2"/>
        <v>7941</v>
      </c>
      <c r="Q24" s="7"/>
      <c r="R24" s="8"/>
      <c r="S24" s="8"/>
    </row>
    <row r="25" spans="1:19" x14ac:dyDescent="0.3">
      <c r="A25" s="50" t="s">
        <v>26</v>
      </c>
      <c r="B25" s="49">
        <v>20</v>
      </c>
      <c r="C25" s="49">
        <v>10</v>
      </c>
      <c r="D25" s="49">
        <v>14</v>
      </c>
      <c r="E25" s="49">
        <v>10</v>
      </c>
      <c r="F25" s="49">
        <v>7</v>
      </c>
      <c r="G25" s="49">
        <v>9</v>
      </c>
      <c r="H25" s="49">
        <v>6</v>
      </c>
      <c r="I25" s="49">
        <v>6</v>
      </c>
      <c r="J25" s="49">
        <v>9</v>
      </c>
      <c r="K25" s="49">
        <v>1</v>
      </c>
      <c r="L25" s="49">
        <v>1</v>
      </c>
      <c r="M25" s="49">
        <v>5</v>
      </c>
      <c r="N25" s="49">
        <v>6</v>
      </c>
      <c r="O25" s="49">
        <v>0</v>
      </c>
      <c r="P25" s="49">
        <f t="shared" si="2"/>
        <v>104</v>
      </c>
      <c r="Q25" s="7"/>
      <c r="R25" s="8"/>
      <c r="S25" s="8"/>
    </row>
    <row r="26" spans="1:19" x14ac:dyDescent="0.3">
      <c r="A26" s="50" t="s">
        <v>27</v>
      </c>
      <c r="B26" s="49">
        <v>2</v>
      </c>
      <c r="C26" s="49">
        <v>0</v>
      </c>
      <c r="D26" s="49">
        <v>3</v>
      </c>
      <c r="E26" s="49">
        <v>1</v>
      </c>
      <c r="F26" s="49">
        <v>3</v>
      </c>
      <c r="G26" s="49">
        <v>1</v>
      </c>
      <c r="H26" s="49">
        <v>1</v>
      </c>
      <c r="I26" s="49">
        <v>0</v>
      </c>
      <c r="J26" s="49">
        <v>3</v>
      </c>
      <c r="K26" s="49">
        <v>0</v>
      </c>
      <c r="L26" s="49">
        <v>1</v>
      </c>
      <c r="M26" s="49">
        <v>0</v>
      </c>
      <c r="N26" s="49">
        <v>0</v>
      </c>
      <c r="O26" s="49">
        <v>0</v>
      </c>
      <c r="P26" s="49">
        <f t="shared" si="2"/>
        <v>15</v>
      </c>
      <c r="Q26" s="7"/>
      <c r="R26" s="8"/>
      <c r="S26" s="8"/>
    </row>
    <row r="27" spans="1:19" x14ac:dyDescent="0.3">
      <c r="A27" s="50" t="s">
        <v>33</v>
      </c>
      <c r="B27" s="49">
        <v>5</v>
      </c>
      <c r="C27" s="49">
        <v>2</v>
      </c>
      <c r="D27" s="49">
        <v>2</v>
      </c>
      <c r="E27" s="49">
        <v>0</v>
      </c>
      <c r="F27" s="49">
        <v>0</v>
      </c>
      <c r="G27" s="49">
        <v>0</v>
      </c>
      <c r="H27" s="49">
        <v>2</v>
      </c>
      <c r="I27" s="49">
        <v>0</v>
      </c>
      <c r="J27" s="49">
        <v>1</v>
      </c>
      <c r="K27" s="49">
        <v>0</v>
      </c>
      <c r="L27" s="49">
        <v>1</v>
      </c>
      <c r="M27" s="49">
        <v>0</v>
      </c>
      <c r="N27" s="49">
        <v>2</v>
      </c>
      <c r="O27" s="49">
        <v>0</v>
      </c>
      <c r="P27" s="49">
        <f t="shared" si="2"/>
        <v>15</v>
      </c>
      <c r="Q27" s="7"/>
      <c r="R27" s="8"/>
      <c r="S27" s="8"/>
    </row>
    <row r="28" spans="1:19" x14ac:dyDescent="0.3">
      <c r="A28" s="50" t="s">
        <v>35</v>
      </c>
      <c r="B28" s="49">
        <v>11</v>
      </c>
      <c r="C28" s="49">
        <v>6</v>
      </c>
      <c r="D28" s="49">
        <v>8</v>
      </c>
      <c r="E28" s="49">
        <v>6</v>
      </c>
      <c r="F28" s="49">
        <v>7</v>
      </c>
      <c r="G28" s="49">
        <v>6</v>
      </c>
      <c r="H28" s="49">
        <v>1</v>
      </c>
      <c r="I28" s="49">
        <v>6</v>
      </c>
      <c r="J28" s="49">
        <v>3</v>
      </c>
      <c r="K28" s="49">
        <v>4</v>
      </c>
      <c r="L28" s="49">
        <v>1</v>
      </c>
      <c r="M28" s="49">
        <v>3</v>
      </c>
      <c r="N28" s="49">
        <v>4</v>
      </c>
      <c r="O28" s="49">
        <v>0</v>
      </c>
      <c r="P28" s="49">
        <f t="shared" si="2"/>
        <v>66</v>
      </c>
      <c r="Q28" s="7"/>
      <c r="R28" s="8"/>
      <c r="S28" s="8"/>
    </row>
    <row r="29" spans="1:19" x14ac:dyDescent="0.3">
      <c r="A29" s="51" t="s">
        <v>38</v>
      </c>
      <c r="B29" s="49">
        <v>196</v>
      </c>
      <c r="C29" s="49">
        <v>120</v>
      </c>
      <c r="D29" s="49">
        <v>124</v>
      </c>
      <c r="E29" s="49">
        <v>109</v>
      </c>
      <c r="F29" s="49">
        <v>127</v>
      </c>
      <c r="G29" s="49">
        <v>96</v>
      </c>
      <c r="H29" s="49">
        <v>115</v>
      </c>
      <c r="I29" s="49">
        <v>108</v>
      </c>
      <c r="J29" s="49">
        <v>110</v>
      </c>
      <c r="K29" s="49">
        <v>110</v>
      </c>
      <c r="L29" s="49">
        <v>122</v>
      </c>
      <c r="M29" s="49">
        <v>104</v>
      </c>
      <c r="N29" s="49">
        <v>102</v>
      </c>
      <c r="O29" s="49">
        <v>156</v>
      </c>
      <c r="P29" s="100">
        <f>SUM(B29:O29)</f>
        <v>1699</v>
      </c>
      <c r="Q29" s="7"/>
      <c r="R29" s="8"/>
      <c r="S29" s="8"/>
    </row>
    <row r="30" spans="1:19" ht="18" thickBot="1" x14ac:dyDescent="0.3">
      <c r="A30" s="52" t="s">
        <v>7</v>
      </c>
      <c r="B30" s="53">
        <f t="shared" ref="B30:O30" si="3">SUM(B22:B29)</f>
        <v>1374</v>
      </c>
      <c r="C30" s="53">
        <f t="shared" si="3"/>
        <v>1010</v>
      </c>
      <c r="D30" s="53">
        <f t="shared" si="3"/>
        <v>979</v>
      </c>
      <c r="E30" s="53">
        <f t="shared" si="3"/>
        <v>830</v>
      </c>
      <c r="F30" s="53">
        <f t="shared" si="3"/>
        <v>793</v>
      </c>
      <c r="G30" s="53">
        <f t="shared" si="3"/>
        <v>741</v>
      </c>
      <c r="H30" s="53">
        <f t="shared" si="3"/>
        <v>761</v>
      </c>
      <c r="I30" s="53">
        <f t="shared" si="3"/>
        <v>722</v>
      </c>
      <c r="J30" s="53">
        <f t="shared" si="3"/>
        <v>675</v>
      </c>
      <c r="K30" s="53">
        <f t="shared" si="3"/>
        <v>570</v>
      </c>
      <c r="L30" s="53">
        <f t="shared" si="3"/>
        <v>553</v>
      </c>
      <c r="M30" s="53">
        <f t="shared" si="3"/>
        <v>531</v>
      </c>
      <c r="N30" s="53">
        <f t="shared" si="3"/>
        <v>469</v>
      </c>
      <c r="O30" s="53">
        <f t="shared" si="3"/>
        <v>156</v>
      </c>
      <c r="P30" s="53">
        <f>SUM(P22:P29)</f>
        <v>10164</v>
      </c>
      <c r="Q30" s="7"/>
      <c r="R30" s="8"/>
      <c r="S30" s="8"/>
    </row>
    <row r="31" spans="1:19" ht="18" thickTop="1" x14ac:dyDescent="0.25">
      <c r="A31" s="5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7"/>
      <c r="R31" s="8"/>
      <c r="S31" s="8"/>
    </row>
    <row r="32" spans="1:19" x14ac:dyDescent="0.3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7"/>
      <c r="R32" s="8"/>
      <c r="S32" s="8"/>
    </row>
    <row r="33" spans="1:19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7"/>
      <c r="R33" s="8"/>
      <c r="S33" s="8"/>
    </row>
    <row r="34" spans="1:19" x14ac:dyDescent="0.25">
      <c r="A34" s="46"/>
      <c r="B34" s="136" t="s">
        <v>44</v>
      </c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46"/>
      <c r="Q34" s="7"/>
      <c r="R34" s="8"/>
      <c r="S34" s="8"/>
    </row>
    <row r="35" spans="1:19" x14ac:dyDescent="0.25">
      <c r="A35" s="46"/>
      <c r="B35" s="134"/>
      <c r="C35" s="134"/>
      <c r="D35" s="134"/>
      <c r="E35" s="134"/>
      <c r="F35" s="134"/>
      <c r="G35" s="134"/>
      <c r="H35" s="134" t="s">
        <v>4</v>
      </c>
      <c r="I35" s="134"/>
      <c r="J35" s="134"/>
      <c r="K35" s="134"/>
      <c r="L35" s="134"/>
      <c r="M35" s="134"/>
      <c r="N35" s="134"/>
      <c r="O35" s="134"/>
      <c r="P35" s="46"/>
      <c r="Q35" s="7"/>
      <c r="R35" s="8"/>
      <c r="S35" s="8"/>
    </row>
    <row r="36" spans="1:19" x14ac:dyDescent="0.25">
      <c r="A36" s="47" t="s">
        <v>64</v>
      </c>
      <c r="B36" s="55" t="s">
        <v>41</v>
      </c>
      <c r="C36" s="55">
        <v>1</v>
      </c>
      <c r="D36" s="55">
        <v>2</v>
      </c>
      <c r="E36" s="55">
        <v>3</v>
      </c>
      <c r="F36" s="55">
        <v>4</v>
      </c>
      <c r="G36" s="55">
        <v>5</v>
      </c>
      <c r="H36" s="55">
        <v>6</v>
      </c>
      <c r="I36" s="55">
        <v>7</v>
      </c>
      <c r="J36" s="55">
        <v>8</v>
      </c>
      <c r="K36" s="55">
        <v>9</v>
      </c>
      <c r="L36" s="55">
        <v>10</v>
      </c>
      <c r="M36" s="55">
        <v>11</v>
      </c>
      <c r="N36" s="55">
        <v>12</v>
      </c>
      <c r="O36" s="125" t="s">
        <v>70</v>
      </c>
      <c r="P36" s="55" t="s">
        <v>7</v>
      </c>
      <c r="Q36" s="7"/>
      <c r="R36" s="8"/>
      <c r="S36" s="8"/>
    </row>
    <row r="37" spans="1:19" x14ac:dyDescent="0.3">
      <c r="A37" s="56" t="s">
        <v>42</v>
      </c>
      <c r="B37" s="10">
        <v>42</v>
      </c>
      <c r="C37" s="10">
        <v>50</v>
      </c>
      <c r="D37" s="11">
        <v>48</v>
      </c>
      <c r="E37" s="10">
        <v>40</v>
      </c>
      <c r="F37" s="10">
        <v>48</v>
      </c>
      <c r="G37" s="10">
        <v>44</v>
      </c>
      <c r="H37" s="10">
        <v>46</v>
      </c>
      <c r="I37" s="10">
        <v>49</v>
      </c>
      <c r="J37" s="10">
        <v>44</v>
      </c>
      <c r="K37" s="10">
        <v>34</v>
      </c>
      <c r="L37" s="10">
        <v>27</v>
      </c>
      <c r="M37" s="10">
        <v>20</v>
      </c>
      <c r="N37" s="10">
        <v>20</v>
      </c>
      <c r="O37" s="10">
        <v>0</v>
      </c>
      <c r="P37" s="10">
        <f t="shared" ref="P37:P45" si="4">SUM(B37:O37)</f>
        <v>512</v>
      </c>
      <c r="Q37" s="7"/>
      <c r="R37" s="8"/>
      <c r="S37" s="8"/>
    </row>
    <row r="38" spans="1:19" x14ac:dyDescent="0.3">
      <c r="A38" s="57" t="s">
        <v>24</v>
      </c>
      <c r="B38" s="10">
        <v>17</v>
      </c>
      <c r="C38" s="10">
        <v>21</v>
      </c>
      <c r="D38" s="11">
        <v>16</v>
      </c>
      <c r="E38" s="10">
        <v>11</v>
      </c>
      <c r="F38" s="10">
        <v>15</v>
      </c>
      <c r="G38" s="10">
        <v>13</v>
      </c>
      <c r="H38" s="10">
        <v>10</v>
      </c>
      <c r="I38" s="10">
        <v>3</v>
      </c>
      <c r="J38" s="10">
        <v>2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f t="shared" si="4"/>
        <v>108</v>
      </c>
      <c r="Q38" s="7"/>
      <c r="R38" s="8"/>
      <c r="S38" s="8"/>
    </row>
    <row r="39" spans="1:19" s="104" customFormat="1" x14ac:dyDescent="0.3">
      <c r="A39" s="101" t="s">
        <v>25</v>
      </c>
      <c r="B39" s="11">
        <v>2221</v>
      </c>
      <c r="C39" s="11">
        <v>1667</v>
      </c>
      <c r="D39" s="11">
        <v>1488</v>
      </c>
      <c r="E39" s="11">
        <v>1340</v>
      </c>
      <c r="F39" s="11">
        <v>1266</v>
      </c>
      <c r="G39" s="11">
        <v>1214</v>
      </c>
      <c r="H39" s="11">
        <v>1169</v>
      </c>
      <c r="I39" s="11">
        <v>1084</v>
      </c>
      <c r="J39" s="11">
        <v>1067</v>
      </c>
      <c r="K39" s="11">
        <v>879</v>
      </c>
      <c r="L39" s="11">
        <v>834</v>
      </c>
      <c r="M39" s="11">
        <v>821</v>
      </c>
      <c r="N39" s="11">
        <v>705</v>
      </c>
      <c r="O39" s="11">
        <v>0</v>
      </c>
      <c r="P39" s="11">
        <f t="shared" si="4"/>
        <v>15755</v>
      </c>
      <c r="Q39" s="102"/>
      <c r="R39" s="103"/>
      <c r="S39" s="103"/>
    </row>
    <row r="40" spans="1:19" x14ac:dyDescent="0.3">
      <c r="A40" s="57" t="s">
        <v>26</v>
      </c>
      <c r="B40" s="10">
        <v>39</v>
      </c>
      <c r="C40" s="10">
        <v>12</v>
      </c>
      <c r="D40" s="11">
        <v>21</v>
      </c>
      <c r="E40" s="10">
        <v>12</v>
      </c>
      <c r="F40" s="10">
        <v>14</v>
      </c>
      <c r="G40" s="10">
        <v>14</v>
      </c>
      <c r="H40" s="10">
        <v>15</v>
      </c>
      <c r="I40" s="10">
        <v>17</v>
      </c>
      <c r="J40" s="10">
        <v>15</v>
      </c>
      <c r="K40" s="10">
        <v>4</v>
      </c>
      <c r="L40" s="10">
        <v>13</v>
      </c>
      <c r="M40" s="10">
        <v>25</v>
      </c>
      <c r="N40" s="10">
        <v>57</v>
      </c>
      <c r="O40" s="10">
        <v>0</v>
      </c>
      <c r="P40" s="10">
        <f t="shared" si="4"/>
        <v>258</v>
      </c>
      <c r="Q40" s="7"/>
      <c r="R40" s="8"/>
      <c r="S40" s="8"/>
    </row>
    <row r="41" spans="1:19" x14ac:dyDescent="0.3">
      <c r="A41" s="57" t="s">
        <v>27</v>
      </c>
      <c r="B41" s="10">
        <v>4</v>
      </c>
      <c r="C41" s="10">
        <v>0</v>
      </c>
      <c r="D41" s="11">
        <v>4</v>
      </c>
      <c r="E41" s="10">
        <v>3</v>
      </c>
      <c r="F41" s="10">
        <v>4</v>
      </c>
      <c r="G41" s="10">
        <v>2</v>
      </c>
      <c r="H41" s="10">
        <v>5</v>
      </c>
      <c r="I41" s="10">
        <v>1</v>
      </c>
      <c r="J41" s="10">
        <v>5</v>
      </c>
      <c r="K41" s="10">
        <v>1</v>
      </c>
      <c r="L41" s="10">
        <v>3</v>
      </c>
      <c r="M41" s="10">
        <v>2</v>
      </c>
      <c r="N41" s="10">
        <v>0</v>
      </c>
      <c r="O41" s="10">
        <v>0</v>
      </c>
      <c r="P41" s="10">
        <f t="shared" si="4"/>
        <v>34</v>
      </c>
      <c r="Q41" s="7"/>
      <c r="R41" s="8"/>
      <c r="S41" s="8"/>
    </row>
    <row r="42" spans="1:19" x14ac:dyDescent="0.3">
      <c r="A42" s="57" t="s">
        <v>33</v>
      </c>
      <c r="B42" s="10">
        <v>12</v>
      </c>
      <c r="C42" s="10">
        <v>3</v>
      </c>
      <c r="D42" s="11">
        <v>5</v>
      </c>
      <c r="E42" s="10">
        <v>0</v>
      </c>
      <c r="F42" s="10">
        <v>1</v>
      </c>
      <c r="G42" s="10">
        <v>3</v>
      </c>
      <c r="H42" s="10">
        <v>5</v>
      </c>
      <c r="I42" s="10">
        <v>0</v>
      </c>
      <c r="J42" s="10">
        <v>3</v>
      </c>
      <c r="K42" s="10">
        <v>1</v>
      </c>
      <c r="L42" s="10">
        <v>2</v>
      </c>
      <c r="M42" s="10">
        <v>0</v>
      </c>
      <c r="N42" s="10">
        <v>2</v>
      </c>
      <c r="O42" s="10">
        <v>0</v>
      </c>
      <c r="P42" s="10">
        <f t="shared" si="4"/>
        <v>37</v>
      </c>
      <c r="Q42" s="6"/>
      <c r="R42" s="8"/>
      <c r="S42" s="8"/>
    </row>
    <row r="43" spans="1:19" x14ac:dyDescent="0.3">
      <c r="A43" s="57" t="s">
        <v>35</v>
      </c>
      <c r="B43" s="10">
        <v>21</v>
      </c>
      <c r="C43" s="10">
        <v>11</v>
      </c>
      <c r="D43" s="11">
        <v>14</v>
      </c>
      <c r="E43" s="10">
        <v>13</v>
      </c>
      <c r="F43" s="10">
        <v>12</v>
      </c>
      <c r="G43" s="10">
        <v>13</v>
      </c>
      <c r="H43" s="10">
        <v>5</v>
      </c>
      <c r="I43" s="10">
        <v>13</v>
      </c>
      <c r="J43" s="10">
        <v>7</v>
      </c>
      <c r="K43" s="10">
        <v>10</v>
      </c>
      <c r="L43" s="10">
        <v>4</v>
      </c>
      <c r="M43" s="10">
        <v>5</v>
      </c>
      <c r="N43" s="10">
        <v>8</v>
      </c>
      <c r="O43" s="10">
        <v>0</v>
      </c>
      <c r="P43" s="10">
        <f t="shared" si="4"/>
        <v>136</v>
      </c>
      <c r="Q43" s="7"/>
      <c r="R43" s="8"/>
      <c r="S43" s="8"/>
    </row>
    <row r="44" spans="1:19" x14ac:dyDescent="0.3">
      <c r="A44" s="58" t="s">
        <v>38</v>
      </c>
      <c r="B44" s="12">
        <v>457</v>
      </c>
      <c r="C44" s="12">
        <v>241</v>
      </c>
      <c r="D44" s="12">
        <v>220</v>
      </c>
      <c r="E44" s="13">
        <v>208</v>
      </c>
      <c r="F44" s="12">
        <v>241</v>
      </c>
      <c r="G44" s="14">
        <v>196</v>
      </c>
      <c r="H44" s="15">
        <v>230</v>
      </c>
      <c r="I44" s="12">
        <v>232</v>
      </c>
      <c r="J44" s="12">
        <v>197</v>
      </c>
      <c r="K44" s="12">
        <v>230</v>
      </c>
      <c r="L44" s="12">
        <v>224</v>
      </c>
      <c r="M44" s="12">
        <v>208</v>
      </c>
      <c r="N44" s="12">
        <v>194</v>
      </c>
      <c r="O44" s="16">
        <v>456</v>
      </c>
      <c r="P44" s="11">
        <f t="shared" si="4"/>
        <v>3534</v>
      </c>
      <c r="Q44" s="6"/>
      <c r="R44" s="8"/>
      <c r="S44" s="8"/>
    </row>
    <row r="45" spans="1:19" ht="18" thickBot="1" x14ac:dyDescent="0.3">
      <c r="A45" s="52" t="s">
        <v>7</v>
      </c>
      <c r="B45" s="53">
        <f t="shared" ref="B45:O45" si="5">SUM(B37:B44)</f>
        <v>2813</v>
      </c>
      <c r="C45" s="53">
        <f t="shared" si="5"/>
        <v>2005</v>
      </c>
      <c r="D45" s="53">
        <f t="shared" si="5"/>
        <v>1816</v>
      </c>
      <c r="E45" s="53">
        <f t="shared" si="5"/>
        <v>1627</v>
      </c>
      <c r="F45" s="53">
        <f t="shared" si="5"/>
        <v>1601</v>
      </c>
      <c r="G45" s="53">
        <f t="shared" si="5"/>
        <v>1499</v>
      </c>
      <c r="H45" s="53">
        <f t="shared" si="5"/>
        <v>1485</v>
      </c>
      <c r="I45" s="53">
        <f t="shared" si="5"/>
        <v>1399</v>
      </c>
      <c r="J45" s="53">
        <f t="shared" si="5"/>
        <v>1340</v>
      </c>
      <c r="K45" s="53">
        <f t="shared" si="5"/>
        <v>1159</v>
      </c>
      <c r="L45" s="53">
        <f t="shared" si="5"/>
        <v>1107</v>
      </c>
      <c r="M45" s="53">
        <f t="shared" si="5"/>
        <v>1081</v>
      </c>
      <c r="N45" s="53">
        <f t="shared" si="5"/>
        <v>986</v>
      </c>
      <c r="O45" s="53">
        <f t="shared" si="5"/>
        <v>456</v>
      </c>
      <c r="P45" s="53">
        <f t="shared" si="4"/>
        <v>20374</v>
      </c>
      <c r="Q45" s="7"/>
      <c r="R45" s="8"/>
      <c r="S45" s="8"/>
    </row>
    <row r="46" spans="1:19" ht="18" thickTop="1" x14ac:dyDescent="0.3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7"/>
      <c r="R46" s="8"/>
      <c r="S46" s="8"/>
    </row>
    <row r="47" spans="1:19" x14ac:dyDescent="0.3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7"/>
      <c r="R47" s="8"/>
      <c r="S47" s="8"/>
    </row>
    <row r="48" spans="1:19" x14ac:dyDescent="0.3">
      <c r="A48" s="60"/>
      <c r="B48" s="63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7"/>
      <c r="R48" s="8"/>
      <c r="S48" s="8"/>
    </row>
    <row r="49" spans="1:19" x14ac:dyDescent="0.3">
      <c r="A49" s="51" t="s">
        <v>71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133"/>
      <c r="P49" s="133"/>
      <c r="Q49" s="7"/>
      <c r="R49" s="8"/>
      <c r="S49" s="8"/>
    </row>
    <row r="50" spans="1:19" x14ac:dyDescent="0.3">
      <c r="A50" s="54"/>
      <c r="B50" s="105"/>
      <c r="C50" s="105"/>
      <c r="D50" s="105"/>
      <c r="E50" s="105"/>
      <c r="F50" s="105"/>
      <c r="G50" s="105"/>
      <c r="H50" s="105"/>
      <c r="I50" s="105"/>
      <c r="J50" s="105"/>
      <c r="K50" s="62"/>
      <c r="L50" s="62"/>
      <c r="M50" s="62"/>
      <c r="N50" s="62"/>
      <c r="O50" s="62"/>
      <c r="P50" s="62"/>
      <c r="Q50" s="7"/>
      <c r="R50" s="8"/>
      <c r="S50" s="8"/>
    </row>
    <row r="51" spans="1:19" x14ac:dyDescent="0.3"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</row>
    <row r="52" spans="1:19" x14ac:dyDescent="0.3"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</row>
    <row r="53" spans="1:19" x14ac:dyDescent="0.3">
      <c r="B53" s="106"/>
      <c r="C53" s="62"/>
      <c r="D53" s="62"/>
      <c r="E53" s="62"/>
      <c r="F53" s="62"/>
      <c r="G53" s="62"/>
      <c r="H53" s="62"/>
      <c r="I53" s="107"/>
      <c r="J53" s="106"/>
      <c r="K53" s="106"/>
      <c r="L53" s="106"/>
      <c r="M53" s="106"/>
      <c r="N53" s="106"/>
      <c r="O53" s="106"/>
      <c r="P53" s="106"/>
    </row>
    <row r="54" spans="1:19" x14ac:dyDescent="0.3"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</row>
    <row r="55" spans="1:19" x14ac:dyDescent="0.3"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</row>
  </sheetData>
  <mergeCells count="8">
    <mergeCell ref="O49:P49"/>
    <mergeCell ref="B35:O35"/>
    <mergeCell ref="A3:P3"/>
    <mergeCell ref="B5:O5"/>
    <mergeCell ref="B19:O19"/>
    <mergeCell ref="B34:O34"/>
    <mergeCell ref="B6:O6"/>
    <mergeCell ref="B20:O20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topLeftCell="A16" workbookViewId="0">
      <selection activeCell="A8" sqref="A8:XFD9"/>
    </sheetView>
  </sheetViews>
  <sheetFormatPr defaultRowHeight="16.5" x14ac:dyDescent="0.3"/>
  <cols>
    <col min="1" max="1" width="12.85546875" style="18" customWidth="1"/>
    <col min="2" max="2" width="14.7109375" style="18" bestFit="1" customWidth="1"/>
    <col min="3" max="3" width="12.28515625" style="18" bestFit="1" customWidth="1"/>
    <col min="4" max="4" width="12.85546875" style="18" bestFit="1" customWidth="1"/>
    <col min="5" max="5" width="12.5703125" style="18" bestFit="1" customWidth="1"/>
    <col min="6" max="6" width="8" style="18" bestFit="1" customWidth="1"/>
    <col min="7" max="7" width="11.7109375" style="18" customWidth="1"/>
    <col min="8" max="8" width="14.5703125" style="91" customWidth="1"/>
    <col min="9" max="9" width="17.85546875" style="91" customWidth="1"/>
  </cols>
  <sheetData>
    <row r="1" spans="1:10" x14ac:dyDescent="0.3">
      <c r="A1" s="64" t="s">
        <v>0</v>
      </c>
      <c r="B1" s="65"/>
      <c r="C1" s="65"/>
      <c r="D1" s="65"/>
      <c r="E1" s="65"/>
      <c r="F1" s="65"/>
      <c r="G1" s="66"/>
      <c r="H1" s="67"/>
      <c r="I1" s="68" t="s">
        <v>76</v>
      </c>
    </row>
    <row r="2" spans="1:10" ht="15" x14ac:dyDescent="0.25">
      <c r="A2" s="137" t="s">
        <v>45</v>
      </c>
      <c r="B2" s="137"/>
      <c r="C2" s="137"/>
      <c r="D2" s="137"/>
      <c r="E2" s="137"/>
      <c r="F2" s="137"/>
      <c r="G2" s="137"/>
      <c r="H2" s="137"/>
      <c r="I2" s="137"/>
    </row>
    <row r="3" spans="1:10" ht="15" x14ac:dyDescent="0.25">
      <c r="A3" s="137" t="s">
        <v>46</v>
      </c>
      <c r="B3" s="137"/>
      <c r="C3" s="137"/>
      <c r="D3" s="137"/>
      <c r="E3" s="137"/>
      <c r="F3" s="137"/>
      <c r="G3" s="137"/>
      <c r="H3" s="137"/>
      <c r="I3" s="137"/>
    </row>
    <row r="4" spans="1:10" ht="15" x14ac:dyDescent="0.25">
      <c r="A4" s="137" t="s">
        <v>47</v>
      </c>
      <c r="B4" s="137"/>
      <c r="C4" s="137"/>
      <c r="D4" s="137"/>
      <c r="E4" s="137"/>
      <c r="F4" s="137"/>
      <c r="G4" s="137"/>
      <c r="H4" s="137"/>
      <c r="I4" s="137"/>
    </row>
    <row r="5" spans="1:10" x14ac:dyDescent="0.25">
      <c r="A5" s="69"/>
      <c r="B5" s="70"/>
      <c r="C5" s="70"/>
      <c r="D5" s="70"/>
      <c r="E5" s="70"/>
      <c r="F5" s="70"/>
      <c r="G5" s="71" t="s">
        <v>65</v>
      </c>
      <c r="H5" s="72"/>
      <c r="I5" s="72" t="s">
        <v>66</v>
      </c>
      <c r="J5" s="2"/>
    </row>
    <row r="6" spans="1:10" x14ac:dyDescent="0.25">
      <c r="A6" s="73"/>
      <c r="B6" s="70"/>
      <c r="C6" s="71"/>
      <c r="D6" s="71"/>
      <c r="E6" s="70"/>
      <c r="F6" s="70"/>
      <c r="G6" s="71" t="s">
        <v>48</v>
      </c>
      <c r="H6" s="72" t="s">
        <v>49</v>
      </c>
      <c r="I6" s="72" t="s">
        <v>69</v>
      </c>
      <c r="J6" s="2"/>
    </row>
    <row r="7" spans="1:10" ht="18" x14ac:dyDescent="0.25">
      <c r="A7" s="110" t="s">
        <v>50</v>
      </c>
      <c r="B7" s="74" t="s">
        <v>8</v>
      </c>
      <c r="C7" s="74" t="s">
        <v>51</v>
      </c>
      <c r="D7" s="74" t="s">
        <v>52</v>
      </c>
      <c r="E7" s="75" t="s">
        <v>68</v>
      </c>
      <c r="F7" s="74" t="s">
        <v>7</v>
      </c>
      <c r="G7" s="76" t="s">
        <v>53</v>
      </c>
      <c r="H7" s="77" t="s">
        <v>54</v>
      </c>
      <c r="I7" s="78" t="s">
        <v>67</v>
      </c>
      <c r="J7" s="2"/>
    </row>
    <row r="8" spans="1:10" s="1" customFormat="1" x14ac:dyDescent="0.3">
      <c r="A8" s="65"/>
      <c r="B8" s="79"/>
      <c r="C8" s="79"/>
      <c r="D8" s="79"/>
      <c r="E8" s="79"/>
      <c r="F8" s="79"/>
      <c r="G8" s="80"/>
      <c r="H8" s="82"/>
      <c r="I8" s="81"/>
      <c r="J8" s="2"/>
    </row>
    <row r="9" spans="1:10" x14ac:dyDescent="0.25">
      <c r="A9" s="83" t="s">
        <v>55</v>
      </c>
      <c r="B9" s="84">
        <v>3351</v>
      </c>
      <c r="C9" s="84">
        <v>8709</v>
      </c>
      <c r="D9" s="84">
        <v>5285</v>
      </c>
      <c r="E9" s="84">
        <v>549</v>
      </c>
      <c r="F9" s="84">
        <v>17894</v>
      </c>
      <c r="G9" s="85">
        <v>3.1949250288350703E-2</v>
      </c>
      <c r="H9" s="86">
        <v>385414</v>
      </c>
      <c r="I9" s="87">
        <v>4.6427996907221845E-2</v>
      </c>
      <c r="J9" s="2"/>
    </row>
    <row r="10" spans="1:10" s="1" customFormat="1" x14ac:dyDescent="0.3">
      <c r="A10" s="65"/>
      <c r="B10" s="79"/>
      <c r="C10" s="79"/>
      <c r="D10" s="79"/>
      <c r="E10" s="79"/>
      <c r="F10" s="79"/>
      <c r="G10" s="80"/>
      <c r="H10" s="82"/>
      <c r="I10" s="81"/>
      <c r="J10" s="2"/>
    </row>
    <row r="11" spans="1:10" x14ac:dyDescent="0.25">
      <c r="A11" s="83" t="s">
        <v>56</v>
      </c>
      <c r="B11" s="84">
        <v>3677</v>
      </c>
      <c r="C11" s="84">
        <v>9265</v>
      </c>
      <c r="D11" s="84">
        <v>5627</v>
      </c>
      <c r="E11" s="84">
        <v>583</v>
      </c>
      <c r="F11" s="84">
        <v>19152</v>
      </c>
      <c r="G11" s="85">
        <v>7.0302894825081008E-2</v>
      </c>
      <c r="H11" s="86">
        <v>401211</v>
      </c>
      <c r="I11" s="87">
        <v>4.7735480831781779E-2</v>
      </c>
      <c r="J11" s="2"/>
    </row>
    <row r="12" spans="1:10" s="1" customFormat="1" x14ac:dyDescent="0.2">
      <c r="A12" s="66" t="s">
        <v>57</v>
      </c>
      <c r="B12" s="79"/>
      <c r="C12" s="79"/>
      <c r="D12" s="79"/>
      <c r="E12" s="79"/>
      <c r="F12" s="79"/>
      <c r="G12" s="80"/>
      <c r="H12" s="82"/>
      <c r="I12" s="81"/>
      <c r="J12" s="2"/>
    </row>
    <row r="13" spans="1:10" x14ac:dyDescent="0.25">
      <c r="A13" s="83" t="s">
        <v>58</v>
      </c>
      <c r="B13" s="83">
        <v>3519</v>
      </c>
      <c r="C13" s="83">
        <v>9657</v>
      </c>
      <c r="D13" s="83">
        <v>6074</v>
      </c>
      <c r="E13" s="83">
        <v>464</v>
      </c>
      <c r="F13" s="84">
        <v>19714</v>
      </c>
      <c r="G13" s="85">
        <v>2.9344193817878006E-2</v>
      </c>
      <c r="H13" s="88">
        <v>413252</v>
      </c>
      <c r="I13" s="87">
        <v>4.7704548314345729E-2</v>
      </c>
      <c r="J13" s="2"/>
    </row>
    <row r="14" spans="1:10" s="1" customFormat="1" x14ac:dyDescent="0.3">
      <c r="A14" s="89"/>
      <c r="B14" s="65"/>
      <c r="C14" s="65"/>
      <c r="D14" s="65"/>
      <c r="E14" s="65"/>
      <c r="F14" s="65"/>
      <c r="G14" s="65"/>
      <c r="H14" s="67"/>
      <c r="I14" s="67"/>
      <c r="J14" s="2"/>
    </row>
    <row r="15" spans="1:10" x14ac:dyDescent="0.25">
      <c r="A15" s="83" t="s">
        <v>59</v>
      </c>
      <c r="B15" s="83">
        <v>3518</v>
      </c>
      <c r="C15" s="83">
        <v>10227</v>
      </c>
      <c r="D15" s="83">
        <v>6547</v>
      </c>
      <c r="E15" s="83">
        <v>570</v>
      </c>
      <c r="F15" s="83">
        <v>20862</v>
      </c>
      <c r="G15" s="85">
        <v>5.8200000000000002E-2</v>
      </c>
      <c r="H15" s="88">
        <v>426436</v>
      </c>
      <c r="I15" s="87">
        <v>4.8921760826947068E-2</v>
      </c>
      <c r="J15" s="2"/>
    </row>
    <row r="16" spans="1:10" s="1" customFormat="1" x14ac:dyDescent="0.3">
      <c r="A16" s="65"/>
      <c r="B16" s="79"/>
      <c r="C16" s="79"/>
      <c r="D16" s="79"/>
      <c r="E16" s="79"/>
      <c r="F16" s="79"/>
      <c r="G16" s="80"/>
      <c r="H16" s="82"/>
      <c r="I16" s="81"/>
      <c r="J16" s="2"/>
    </row>
    <row r="17" spans="1:10" x14ac:dyDescent="0.25">
      <c r="A17" s="83" t="s">
        <v>60</v>
      </c>
      <c r="B17" s="84">
        <v>3450</v>
      </c>
      <c r="C17" s="84">
        <v>10566</v>
      </c>
      <c r="D17" s="84">
        <v>6978</v>
      </c>
      <c r="E17" s="84">
        <v>588</v>
      </c>
      <c r="F17" s="84">
        <v>21582</v>
      </c>
      <c r="G17" s="85">
        <v>3.4500000000000003E-2</v>
      </c>
      <c r="H17" s="86">
        <v>433885</v>
      </c>
      <c r="I17" s="90">
        <v>4.9700000000000001E-2</v>
      </c>
      <c r="J17" s="2"/>
    </row>
    <row r="18" spans="1:10" s="1" customFormat="1" x14ac:dyDescent="0.3">
      <c r="A18" s="65"/>
      <c r="B18" s="79"/>
      <c r="C18" s="79"/>
      <c r="D18" s="79"/>
      <c r="E18" s="79"/>
      <c r="F18" s="79"/>
      <c r="G18" s="80"/>
      <c r="H18" s="82"/>
      <c r="I18" s="81"/>
      <c r="J18" s="2"/>
    </row>
    <row r="19" spans="1:10" x14ac:dyDescent="0.25">
      <c r="A19" s="83" t="s">
        <v>61</v>
      </c>
      <c r="B19" s="84">
        <v>3280</v>
      </c>
      <c r="C19" s="84">
        <v>10232</v>
      </c>
      <c r="D19" s="84">
        <v>6944</v>
      </c>
      <c r="E19" s="84">
        <v>591</v>
      </c>
      <c r="F19" s="84">
        <v>21047</v>
      </c>
      <c r="G19" s="161">
        <v>-2.47E-2</v>
      </c>
      <c r="H19" s="86">
        <v>437433</v>
      </c>
      <c r="I19" s="87">
        <v>4.8114797008913364E-2</v>
      </c>
      <c r="J19" s="2"/>
    </row>
    <row r="20" spans="1:10" s="1" customFormat="1" x14ac:dyDescent="0.3">
      <c r="A20" s="18"/>
      <c r="B20" s="18"/>
      <c r="C20" s="18"/>
      <c r="D20" s="18"/>
      <c r="E20" s="18"/>
      <c r="F20" s="18"/>
      <c r="G20" s="162"/>
      <c r="H20" s="91"/>
      <c r="I20" s="91"/>
      <c r="J20" s="2"/>
    </row>
    <row r="21" spans="1:10" s="2" customFormat="1" x14ac:dyDescent="0.3">
      <c r="A21" s="92" t="s">
        <v>62</v>
      </c>
      <c r="B21" s="93">
        <v>2914</v>
      </c>
      <c r="C21" s="93">
        <v>10032</v>
      </c>
      <c r="D21" s="93">
        <v>6972</v>
      </c>
      <c r="E21" s="92">
        <v>592</v>
      </c>
      <c r="F21" s="93">
        <v>20510</v>
      </c>
      <c r="G21" s="163">
        <v>-2.5499999999999998E-2</v>
      </c>
      <c r="H21" s="93">
        <v>432383</v>
      </c>
      <c r="I21" s="94">
        <v>4.7399999999999998E-2</v>
      </c>
    </row>
    <row r="22" spans="1:10" s="1" customFormat="1" x14ac:dyDescent="0.3">
      <c r="A22" s="18"/>
      <c r="B22" s="18"/>
      <c r="C22" s="18"/>
      <c r="D22" s="18"/>
      <c r="E22" s="18"/>
      <c r="F22" s="18"/>
      <c r="G22" s="162"/>
      <c r="H22" s="91"/>
      <c r="I22" s="91"/>
      <c r="J22" s="2"/>
    </row>
    <row r="23" spans="1:10" s="2" customFormat="1" x14ac:dyDescent="0.3">
      <c r="A23" s="92" t="s">
        <v>63</v>
      </c>
      <c r="B23" s="93">
        <v>1910</v>
      </c>
      <c r="C23" s="93">
        <v>5920</v>
      </c>
      <c r="D23" s="93">
        <v>5489</v>
      </c>
      <c r="E23" s="92">
        <v>579</v>
      </c>
      <c r="F23" s="93">
        <f>SUM(B23:E23)</f>
        <v>13898</v>
      </c>
      <c r="G23" s="163">
        <v>-0.32229999999999998</v>
      </c>
      <c r="H23" s="95">
        <v>433277</v>
      </c>
      <c r="I23" s="96">
        <v>3.2000000000000001E-2</v>
      </c>
      <c r="J23" s="121" t="s">
        <v>87</v>
      </c>
    </row>
    <row r="24" spans="1:10" s="1" customFormat="1" x14ac:dyDescent="0.3">
      <c r="A24" s="18"/>
      <c r="B24" s="18"/>
      <c r="C24" s="18"/>
      <c r="D24" s="18"/>
      <c r="E24" s="18"/>
      <c r="F24" s="18"/>
      <c r="G24" s="162"/>
      <c r="H24" s="91"/>
      <c r="I24" s="91"/>
    </row>
    <row r="25" spans="1:10" s="17" customFormat="1" x14ac:dyDescent="0.3">
      <c r="A25" s="97" t="s">
        <v>73</v>
      </c>
      <c r="B25" s="97">
        <v>2960</v>
      </c>
      <c r="C25" s="97">
        <v>10032</v>
      </c>
      <c r="D25" s="97">
        <v>6842</v>
      </c>
      <c r="E25" s="97">
        <v>566</v>
      </c>
      <c r="F25" s="97">
        <v>20400</v>
      </c>
      <c r="G25" s="164" t="s">
        <v>75</v>
      </c>
      <c r="H25" s="108">
        <v>424000</v>
      </c>
      <c r="I25" s="109">
        <v>4.8099999999999997E-2</v>
      </c>
      <c r="J25" s="122" t="s">
        <v>74</v>
      </c>
    </row>
    <row r="26" spans="1:10" x14ac:dyDescent="0.3">
      <c r="G26" s="138" t="s">
        <v>88</v>
      </c>
      <c r="H26" s="138"/>
      <c r="I26" s="123"/>
      <c r="J26" s="2"/>
    </row>
    <row r="27" spans="1:10" x14ac:dyDescent="0.3">
      <c r="A27" s="92" t="s">
        <v>72</v>
      </c>
      <c r="B27" s="97">
        <v>2963</v>
      </c>
      <c r="C27" s="97">
        <v>9844</v>
      </c>
      <c r="D27" s="97">
        <v>6735</v>
      </c>
      <c r="E27" s="111">
        <v>569</v>
      </c>
      <c r="F27" s="97">
        <v>20283</v>
      </c>
      <c r="G27" s="163">
        <v>-9.9000000000000008E-3</v>
      </c>
      <c r="H27" s="99">
        <v>445737</v>
      </c>
      <c r="I27" s="112">
        <v>4.5499999999999999E-2</v>
      </c>
    </row>
    <row r="29" spans="1:10" x14ac:dyDescent="0.3">
      <c r="A29" s="92" t="s">
        <v>97</v>
      </c>
      <c r="B29" s="93">
        <v>2813</v>
      </c>
      <c r="C29" s="93">
        <v>10033</v>
      </c>
      <c r="D29" s="93">
        <v>7072</v>
      </c>
      <c r="E29" s="92">
        <v>456</v>
      </c>
      <c r="F29" s="93">
        <f>SUM(B29:E29)</f>
        <v>20374</v>
      </c>
      <c r="G29" s="94">
        <v>4.8999999999999998E-3</v>
      </c>
      <c r="H29" s="95">
        <v>451805</v>
      </c>
      <c r="I29" s="98" t="s">
        <v>99</v>
      </c>
      <c r="J29" s="5"/>
    </row>
  </sheetData>
  <mergeCells count="4">
    <mergeCell ref="A2:I2"/>
    <mergeCell ref="A3:I3"/>
    <mergeCell ref="A4:I4"/>
    <mergeCell ref="G26:H26"/>
  </mergeCells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opLeftCell="A28" workbookViewId="0">
      <selection activeCell="A44" sqref="A44"/>
    </sheetView>
  </sheetViews>
  <sheetFormatPr defaultRowHeight="17.25" x14ac:dyDescent="0.3"/>
  <cols>
    <col min="1" max="1" width="18.5703125" style="113" customWidth="1"/>
    <col min="2" max="9" width="11.7109375" style="113" customWidth="1"/>
    <col min="10" max="12" width="9.140625" style="113"/>
  </cols>
  <sheetData>
    <row r="1" spans="1:12" s="9" customFormat="1" ht="18.75" x14ac:dyDescent="0.3">
      <c r="A1" s="113"/>
      <c r="B1" s="153" t="s">
        <v>79</v>
      </c>
      <c r="C1" s="153"/>
      <c r="D1" s="153"/>
      <c r="E1" s="153"/>
      <c r="F1" s="153"/>
      <c r="G1" s="153"/>
      <c r="H1" s="153"/>
      <c r="I1" s="153"/>
      <c r="J1" s="153"/>
      <c r="K1" s="113"/>
      <c r="L1" s="113"/>
    </row>
    <row r="2" spans="1:12" s="4" customFormat="1" ht="30.75" x14ac:dyDescent="0.25">
      <c r="A2" s="116" t="s">
        <v>81</v>
      </c>
      <c r="B2" s="114" t="s">
        <v>42</v>
      </c>
      <c r="C2" s="114" t="s">
        <v>24</v>
      </c>
      <c r="D2" s="114" t="s">
        <v>25</v>
      </c>
      <c r="E2" s="114" t="s">
        <v>26</v>
      </c>
      <c r="F2" s="114" t="s">
        <v>27</v>
      </c>
      <c r="G2" s="114" t="s">
        <v>33</v>
      </c>
      <c r="H2" s="114" t="s">
        <v>35</v>
      </c>
      <c r="I2" s="114" t="s">
        <v>38</v>
      </c>
      <c r="J2" s="114" t="s">
        <v>83</v>
      </c>
      <c r="K2" s="114"/>
      <c r="L2" s="114"/>
    </row>
    <row r="4" spans="1:12" x14ac:dyDescent="0.3">
      <c r="A4" s="114" t="s">
        <v>77</v>
      </c>
      <c r="B4" s="117">
        <v>4</v>
      </c>
      <c r="C4" s="117">
        <v>3</v>
      </c>
      <c r="D4" s="117">
        <v>44</v>
      </c>
      <c r="E4" s="117">
        <v>5</v>
      </c>
      <c r="F4" s="117">
        <v>1</v>
      </c>
      <c r="G4" s="117">
        <v>1</v>
      </c>
      <c r="H4" s="117">
        <v>1</v>
      </c>
      <c r="I4" s="117">
        <v>15</v>
      </c>
      <c r="J4" s="113">
        <f>SUM(B4:I4)</f>
        <v>74</v>
      </c>
    </row>
    <row r="5" spans="1:12" x14ac:dyDescent="0.3">
      <c r="B5" s="117"/>
      <c r="C5" s="117"/>
      <c r="D5" s="117"/>
      <c r="E5" s="117"/>
      <c r="F5" s="117"/>
      <c r="G5" s="117"/>
      <c r="H5" s="117"/>
      <c r="I5" s="117"/>
    </row>
    <row r="6" spans="1:12" ht="31.5" x14ac:dyDescent="0.3">
      <c r="A6" s="116" t="s">
        <v>78</v>
      </c>
      <c r="B6" s="117">
        <v>1</v>
      </c>
      <c r="C6" s="117">
        <v>0</v>
      </c>
      <c r="D6" s="117">
        <v>62</v>
      </c>
      <c r="E6" s="117">
        <v>1</v>
      </c>
      <c r="F6" s="117">
        <v>0</v>
      </c>
      <c r="G6" s="117">
        <v>1</v>
      </c>
      <c r="H6" s="117">
        <v>1</v>
      </c>
      <c r="I6" s="117">
        <v>21</v>
      </c>
      <c r="J6" s="113">
        <f>SUM(B6:I6)</f>
        <v>87</v>
      </c>
    </row>
    <row r="7" spans="1:12" x14ac:dyDescent="0.3">
      <c r="J7" s="113">
        <f>SUM(J3:J6)</f>
        <v>161</v>
      </c>
    </row>
    <row r="8" spans="1:12" x14ac:dyDescent="0.3">
      <c r="A8" s="115"/>
      <c r="B8" s="115"/>
      <c r="C8" s="115"/>
      <c r="D8" s="115"/>
      <c r="E8" s="115"/>
      <c r="F8" s="115"/>
      <c r="G8" s="115"/>
      <c r="H8" s="115"/>
      <c r="I8" s="115"/>
    </row>
    <row r="9" spans="1:12" s="9" customFormat="1" ht="18.75" x14ac:dyDescent="0.3">
      <c r="A9" s="119"/>
      <c r="B9" s="154" t="s">
        <v>80</v>
      </c>
      <c r="C9" s="154"/>
      <c r="D9" s="154"/>
      <c r="E9" s="154"/>
      <c r="F9" s="154"/>
      <c r="G9" s="154"/>
      <c r="H9" s="154"/>
      <c r="I9" s="154"/>
      <c r="J9" s="113"/>
      <c r="K9" s="113"/>
      <c r="L9" s="113"/>
    </row>
    <row r="10" spans="1:12" ht="31.5" x14ac:dyDescent="0.3">
      <c r="A10" s="116" t="s">
        <v>82</v>
      </c>
      <c r="B10" s="114" t="s">
        <v>42</v>
      </c>
      <c r="C10" s="114" t="s">
        <v>24</v>
      </c>
      <c r="D10" s="114" t="s">
        <v>25</v>
      </c>
      <c r="E10" s="114" t="s">
        <v>26</v>
      </c>
      <c r="F10" s="114" t="s">
        <v>27</v>
      </c>
      <c r="G10" s="114" t="s">
        <v>33</v>
      </c>
      <c r="H10" s="114" t="s">
        <v>35</v>
      </c>
      <c r="I10" s="114" t="s">
        <v>38</v>
      </c>
      <c r="J10" s="114" t="s">
        <v>83</v>
      </c>
    </row>
    <row r="12" spans="1:12" x14ac:dyDescent="0.3">
      <c r="A12" s="114" t="s">
        <v>77</v>
      </c>
      <c r="B12" s="113">
        <v>1</v>
      </c>
      <c r="C12" s="113">
        <v>0</v>
      </c>
      <c r="D12" s="113">
        <v>18</v>
      </c>
      <c r="E12" s="113">
        <v>0</v>
      </c>
      <c r="F12" s="113">
        <v>0</v>
      </c>
      <c r="G12" s="113">
        <v>0</v>
      </c>
      <c r="H12" s="113">
        <v>0</v>
      </c>
      <c r="I12" s="113">
        <v>7</v>
      </c>
      <c r="J12" s="113">
        <f>SUM(B12:I12)</f>
        <v>26</v>
      </c>
    </row>
    <row r="14" spans="1:12" ht="31.5" x14ac:dyDescent="0.3">
      <c r="A14" s="116" t="s">
        <v>78</v>
      </c>
      <c r="B14" s="113">
        <v>0</v>
      </c>
      <c r="C14" s="113">
        <v>0</v>
      </c>
      <c r="D14" s="113">
        <v>20</v>
      </c>
      <c r="E14" s="113">
        <v>0</v>
      </c>
      <c r="F14" s="113">
        <v>0</v>
      </c>
      <c r="G14" s="113">
        <v>0</v>
      </c>
      <c r="H14" s="113">
        <v>1</v>
      </c>
      <c r="I14" s="113">
        <v>4</v>
      </c>
      <c r="J14" s="113">
        <f>SUM(B14:I14)</f>
        <v>25</v>
      </c>
    </row>
    <row r="16" spans="1:12" x14ac:dyDescent="0.3">
      <c r="A16" s="118"/>
      <c r="B16" s="118"/>
      <c r="C16" s="118"/>
      <c r="D16" s="118"/>
      <c r="E16" s="118"/>
      <c r="F16" s="118"/>
      <c r="G16" s="118"/>
      <c r="H16" s="118"/>
      <c r="I16" s="118"/>
      <c r="J16" s="118"/>
    </row>
    <row r="17" spans="1:12" ht="18.75" x14ac:dyDescent="0.3">
      <c r="B17" s="153" t="s">
        <v>92</v>
      </c>
      <c r="C17" s="153"/>
      <c r="D17" s="153"/>
      <c r="E17" s="153"/>
      <c r="F17" s="153"/>
      <c r="G17" s="153"/>
      <c r="H17" s="153"/>
      <c r="I17" s="153"/>
      <c r="J17" s="153"/>
    </row>
    <row r="18" spans="1:12" x14ac:dyDescent="0.3">
      <c r="A18" s="116"/>
      <c r="B18" s="114" t="s">
        <v>42</v>
      </c>
      <c r="C18" s="114" t="s">
        <v>24</v>
      </c>
      <c r="D18" s="114" t="s">
        <v>25</v>
      </c>
      <c r="E18" s="114" t="s">
        <v>26</v>
      </c>
      <c r="F18" s="114" t="s">
        <v>27</v>
      </c>
      <c r="G18" s="114" t="s">
        <v>33</v>
      </c>
      <c r="H18" s="114" t="s">
        <v>35</v>
      </c>
      <c r="I18" s="114" t="s">
        <v>38</v>
      </c>
      <c r="J18" s="114" t="s">
        <v>83</v>
      </c>
    </row>
    <row r="20" spans="1:12" x14ac:dyDescent="0.3">
      <c r="A20" s="114" t="s">
        <v>77</v>
      </c>
      <c r="B20" s="113">
        <v>24</v>
      </c>
      <c r="C20" s="113">
        <v>11</v>
      </c>
      <c r="D20" s="113">
        <v>545</v>
      </c>
      <c r="E20" s="113">
        <v>20</v>
      </c>
      <c r="F20" s="113">
        <v>8</v>
      </c>
      <c r="G20" s="113">
        <v>2</v>
      </c>
      <c r="H20" s="113">
        <v>10</v>
      </c>
      <c r="I20" s="113">
        <v>145</v>
      </c>
      <c r="J20" s="113">
        <f>SUM(B20:I20)</f>
        <v>765</v>
      </c>
    </row>
    <row r="22" spans="1:12" ht="31.5" x14ac:dyDescent="0.3">
      <c r="A22" s="116" t="s">
        <v>78</v>
      </c>
      <c r="B22" s="113">
        <v>11</v>
      </c>
      <c r="C22" s="113">
        <v>0</v>
      </c>
      <c r="D22" s="113">
        <v>547</v>
      </c>
      <c r="E22" s="113">
        <v>8</v>
      </c>
      <c r="F22" s="113">
        <v>0</v>
      </c>
      <c r="G22" s="113">
        <v>2</v>
      </c>
      <c r="H22" s="113">
        <v>2</v>
      </c>
      <c r="I22" s="113">
        <v>134</v>
      </c>
      <c r="J22" s="113">
        <f>SUM(B22:I22)</f>
        <v>704</v>
      </c>
    </row>
    <row r="24" spans="1:12" s="9" customFormat="1" x14ac:dyDescent="0.3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3"/>
      <c r="L24" s="113"/>
    </row>
    <row r="25" spans="1:12" s="9" customFormat="1" x14ac:dyDescent="0.3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3"/>
      <c r="L25" s="113"/>
    </row>
    <row r="26" spans="1:12" s="9" customFormat="1" ht="18.75" x14ac:dyDescent="0.3">
      <c r="A26" s="113"/>
      <c r="B26" s="153" t="s">
        <v>93</v>
      </c>
      <c r="C26" s="153"/>
      <c r="D26" s="153"/>
      <c r="E26" s="153"/>
      <c r="F26" s="153"/>
      <c r="G26" s="153"/>
      <c r="H26" s="153"/>
      <c r="I26" s="153"/>
      <c r="J26" s="153"/>
      <c r="K26" s="113"/>
      <c r="L26" s="113"/>
    </row>
    <row r="27" spans="1:12" x14ac:dyDescent="0.3">
      <c r="A27" s="143" t="s">
        <v>78</v>
      </c>
      <c r="B27" s="155" t="s">
        <v>84</v>
      </c>
      <c r="C27" s="156"/>
      <c r="D27" s="155" t="s">
        <v>85</v>
      </c>
      <c r="E27" s="156"/>
      <c r="F27" s="145" t="s">
        <v>89</v>
      </c>
      <c r="G27" s="146"/>
      <c r="H27" s="145" t="s">
        <v>90</v>
      </c>
      <c r="I27" s="146"/>
    </row>
    <row r="28" spans="1:12" s="9" customFormat="1" x14ac:dyDescent="0.3">
      <c r="A28" s="144"/>
      <c r="B28" s="157"/>
      <c r="C28" s="158"/>
      <c r="D28" s="157"/>
      <c r="E28" s="158"/>
      <c r="F28" s="147"/>
      <c r="G28" s="144"/>
      <c r="H28" s="147"/>
      <c r="I28" s="144"/>
      <c r="J28" s="113"/>
      <c r="K28" s="113"/>
      <c r="L28" s="113"/>
    </row>
    <row r="29" spans="1:12" x14ac:dyDescent="0.3">
      <c r="A29" s="144"/>
      <c r="B29" s="159"/>
      <c r="C29" s="160"/>
      <c r="D29" s="159"/>
      <c r="E29" s="160"/>
      <c r="F29" s="148"/>
      <c r="G29" s="149"/>
      <c r="H29" s="148"/>
      <c r="I29" s="149"/>
    </row>
    <row r="30" spans="1:12" x14ac:dyDescent="0.3">
      <c r="A30" s="120"/>
      <c r="B30" s="150"/>
      <c r="C30" s="151"/>
      <c r="D30" s="150"/>
      <c r="E30" s="151"/>
      <c r="F30" s="150"/>
      <c r="G30" s="151"/>
      <c r="H30" s="150"/>
      <c r="I30" s="151"/>
    </row>
    <row r="31" spans="1:12" x14ac:dyDescent="0.3">
      <c r="A31" s="114" t="s">
        <v>42</v>
      </c>
      <c r="B31" s="139">
        <v>11</v>
      </c>
      <c r="C31" s="140"/>
      <c r="D31" s="139">
        <v>0</v>
      </c>
      <c r="E31" s="140"/>
      <c r="F31" s="139">
        <v>0</v>
      </c>
      <c r="G31" s="140"/>
      <c r="H31" s="139">
        <v>0</v>
      </c>
      <c r="I31" s="140"/>
    </row>
    <row r="32" spans="1:12" s="9" customFormat="1" x14ac:dyDescent="0.3">
      <c r="A32" s="114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</row>
    <row r="33" spans="1:12" s="9" customFormat="1" x14ac:dyDescent="0.3">
      <c r="A33" s="114" t="s">
        <v>25</v>
      </c>
      <c r="B33" s="139">
        <v>211</v>
      </c>
      <c r="C33" s="140"/>
      <c r="D33" s="139">
        <v>81</v>
      </c>
      <c r="E33" s="140"/>
      <c r="F33" s="139">
        <v>118</v>
      </c>
      <c r="G33" s="140"/>
      <c r="H33" s="139">
        <v>112</v>
      </c>
      <c r="I33" s="140"/>
      <c r="J33" s="113"/>
      <c r="K33" s="113"/>
      <c r="L33" s="113"/>
    </row>
    <row r="34" spans="1:12" s="9" customFormat="1" x14ac:dyDescent="0.3">
      <c r="A34" s="114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</row>
    <row r="35" spans="1:12" s="9" customFormat="1" x14ac:dyDescent="0.3">
      <c r="A35" s="114" t="s">
        <v>26</v>
      </c>
      <c r="B35" s="139">
        <v>8</v>
      </c>
      <c r="C35" s="140"/>
      <c r="D35" s="139">
        <v>0</v>
      </c>
      <c r="E35" s="140"/>
      <c r="F35" s="139">
        <v>0</v>
      </c>
      <c r="G35" s="140"/>
      <c r="H35" s="139">
        <v>0</v>
      </c>
      <c r="I35" s="140"/>
      <c r="J35" s="113"/>
      <c r="K35" s="113"/>
      <c r="L35" s="113"/>
    </row>
    <row r="36" spans="1:12" s="9" customFormat="1" x14ac:dyDescent="0.3">
      <c r="A36" s="114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</row>
    <row r="37" spans="1:12" s="9" customFormat="1" x14ac:dyDescent="0.3">
      <c r="A37" s="114" t="s">
        <v>33</v>
      </c>
      <c r="B37" s="139">
        <v>2</v>
      </c>
      <c r="C37" s="140"/>
      <c r="D37" s="139">
        <v>0</v>
      </c>
      <c r="E37" s="140"/>
      <c r="F37" s="139">
        <v>0</v>
      </c>
      <c r="G37" s="140"/>
      <c r="H37" s="139">
        <v>0</v>
      </c>
      <c r="I37" s="140"/>
      <c r="J37" s="113"/>
      <c r="K37" s="113"/>
      <c r="L37" s="113"/>
    </row>
    <row r="38" spans="1:12" s="9" customFormat="1" x14ac:dyDescent="0.3">
      <c r="A38" s="114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</row>
    <row r="39" spans="1:12" s="9" customFormat="1" x14ac:dyDescent="0.3">
      <c r="A39" s="114" t="s">
        <v>35</v>
      </c>
      <c r="B39" s="139">
        <v>1</v>
      </c>
      <c r="C39" s="140"/>
      <c r="D39" s="139">
        <v>0</v>
      </c>
      <c r="E39" s="140"/>
      <c r="F39" s="139">
        <v>0</v>
      </c>
      <c r="G39" s="140"/>
      <c r="H39" s="139">
        <v>1</v>
      </c>
      <c r="I39" s="140"/>
      <c r="J39" s="113"/>
      <c r="K39" s="113"/>
      <c r="L39" s="113"/>
    </row>
    <row r="40" spans="1:12" s="9" customFormat="1" x14ac:dyDescent="0.3">
      <c r="A40" s="114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</row>
    <row r="41" spans="1:12" s="9" customFormat="1" x14ac:dyDescent="0.3">
      <c r="A41" s="114" t="s">
        <v>38</v>
      </c>
      <c r="B41" s="139">
        <v>46</v>
      </c>
      <c r="C41" s="140"/>
      <c r="D41" s="139">
        <v>8</v>
      </c>
      <c r="E41" s="140"/>
      <c r="F41" s="139">
        <v>8</v>
      </c>
      <c r="G41" s="140"/>
      <c r="H41" s="139">
        <v>33</v>
      </c>
      <c r="I41" s="140"/>
      <c r="J41" s="113"/>
      <c r="K41" s="113"/>
      <c r="L41" s="113"/>
    </row>
    <row r="42" spans="1:12" s="9" customFormat="1" x14ac:dyDescent="0.3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</row>
    <row r="43" spans="1:12" s="9" customFormat="1" x14ac:dyDescent="0.3">
      <c r="A43" s="113"/>
      <c r="B43" s="152" t="s">
        <v>94</v>
      </c>
      <c r="C43" s="152"/>
      <c r="D43" s="152"/>
      <c r="E43" s="152"/>
      <c r="F43" s="152"/>
      <c r="G43" s="152"/>
      <c r="H43" s="152"/>
      <c r="I43" s="152"/>
      <c r="J43" s="113"/>
      <c r="K43" s="113"/>
      <c r="L43" s="113"/>
    </row>
    <row r="44" spans="1:12" s="9" customFormat="1" x14ac:dyDescent="0.3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</row>
    <row r="45" spans="1:12" x14ac:dyDescent="0.3">
      <c r="A45" s="141" t="s">
        <v>86</v>
      </c>
      <c r="B45" s="142"/>
      <c r="C45" s="142"/>
      <c r="D45" s="142"/>
      <c r="E45" s="142"/>
      <c r="F45" s="142"/>
      <c r="G45" s="142"/>
      <c r="H45" s="142"/>
      <c r="I45" s="142"/>
    </row>
  </sheetData>
  <mergeCells count="39">
    <mergeCell ref="B43:I43"/>
    <mergeCell ref="B1:J1"/>
    <mergeCell ref="B9:I9"/>
    <mergeCell ref="B17:J17"/>
    <mergeCell ref="B26:J26"/>
    <mergeCell ref="B27:C29"/>
    <mergeCell ref="D27:E29"/>
    <mergeCell ref="B35:C35"/>
    <mergeCell ref="D35:E35"/>
    <mergeCell ref="F35:G35"/>
    <mergeCell ref="H35:I35"/>
    <mergeCell ref="B37:C37"/>
    <mergeCell ref="D37:E37"/>
    <mergeCell ref="F37:G37"/>
    <mergeCell ref="H37:I37"/>
    <mergeCell ref="B39:C39"/>
    <mergeCell ref="A45:I45"/>
    <mergeCell ref="A27:A29"/>
    <mergeCell ref="B31:C31"/>
    <mergeCell ref="D31:E31"/>
    <mergeCell ref="F31:G31"/>
    <mergeCell ref="H31:I31"/>
    <mergeCell ref="B33:C33"/>
    <mergeCell ref="D33:E33"/>
    <mergeCell ref="F33:G33"/>
    <mergeCell ref="H33:I33"/>
    <mergeCell ref="F27:G29"/>
    <mergeCell ref="H27:I29"/>
    <mergeCell ref="B30:C30"/>
    <mergeCell ref="D30:E30"/>
    <mergeCell ref="F30:G30"/>
    <mergeCell ref="H30:I30"/>
    <mergeCell ref="D39:E39"/>
    <mergeCell ref="F39:G39"/>
    <mergeCell ref="H39:I39"/>
    <mergeCell ref="B41:C41"/>
    <mergeCell ref="D41:E41"/>
    <mergeCell ref="F41:G41"/>
    <mergeCell ref="H41:I4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Private Schools</vt:lpstr>
      <vt:lpstr>Private Schools sheet 2</vt:lpstr>
      <vt:lpstr>ten year comparison</vt:lpstr>
      <vt:lpstr>Staffing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wlskibin</dc:creator>
  <cp:lastModifiedBy>Donna Wix</cp:lastModifiedBy>
  <cp:lastPrinted>2013-11-14T20:14:59Z</cp:lastPrinted>
  <dcterms:created xsi:type="dcterms:W3CDTF">2010-02-25T22:43:33Z</dcterms:created>
  <dcterms:modified xsi:type="dcterms:W3CDTF">2013-11-14T20:15:47Z</dcterms:modified>
</cp:coreProperties>
</file>