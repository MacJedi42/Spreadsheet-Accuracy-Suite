
<file path=[Content_Types].xml><?xml version="1.0" encoding="utf-8"?>
<Types xmlns="http://schemas.openxmlformats.org/package/2006/content-types">
  <Override PartName="/xl/activeX/activeX2.bin" ContentType="application/vnd.ms-office.activeX"/>
  <Override PartName="/xl/activeX/activeX4.bin" ContentType="application/vnd.ms-office.activeX"/>
  <Override PartName="/xl/activeX/activeX9.xml" ContentType="application/vnd.ms-office.activeX+xml"/>
  <Override PartName="/xl/activeX/activeX16.bin" ContentType="application/vnd.ms-office.activeX"/>
  <Override PartName="/xl/activeX/activeX25.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14.bin" ContentType="application/vnd.ms-office.activeX"/>
  <Override PartName="/xl/activeX/activeX19.xml" ContentType="application/vnd.ms-office.activeX+xml"/>
  <Override PartName="/xl/activeX/activeX23.bin" ContentType="application/vnd.ms-office.activeX"/>
  <Override PartName="/xl/activeX/activeX5.xml" ContentType="application/vnd.ms-office.activeX+xml"/>
  <Override PartName="/xl/activeX/activeX12.bin" ContentType="application/vnd.ms-office.activeX"/>
  <Override PartName="/xl/activeX/activeX17.xml" ContentType="application/vnd.ms-office.activeX+xml"/>
  <Override PartName="/xl/activeX/activeX21.bin" ContentType="application/vnd.ms-office.activeX"/>
  <Override PartName="/xl/activeX/activeX28.xml" ContentType="application/vnd.ms-office.activeX+xml"/>
  <Default Extension="rels" ContentType="application/vnd.openxmlformats-package.relationships+xml"/>
  <Default Extension="wmf" ContentType="image/x-wmf"/>
  <Default Extension="xml" ContentType="application/xml"/>
  <Override PartName="/xl/embeddings/oleObject2.bin" ContentType="application/vnd.openxmlformats-officedocument.oleObject"/>
  <Override PartName="/xl/activeX/activeX3.xml" ContentType="application/vnd.ms-office.activeX+xml"/>
  <Override PartName="/xl/activeX/activeX10.bin" ContentType="application/vnd.ms-office.activeX"/>
  <Override PartName="/xl/activeX/activeX15.xml" ContentType="application/vnd.ms-office.activeX+xml"/>
  <Override PartName="/xl/activeX/activeX24.xml" ContentType="application/vnd.ms-office.activeX+xml"/>
  <Override PartName="/xl/activeX/activeX26.xml" ContentType="application/vnd.ms-office.activeX+xml"/>
  <Override PartName="/xl/drawings/drawing2.xml" ContentType="application/vnd.openxmlformats-officedocument.drawing+xml"/>
  <Override PartName="/xl/activeX/activeX1.xml" ContentType="application/vnd.ms-office.activeX+xml"/>
  <Override PartName="/xl/activeX/activeX13.xml" ContentType="application/vnd.ms-office.activeX+xml"/>
  <Override PartName="/xl/activeX/activeX22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activeX/activeX9.bin" ContentType="application/vnd.ms-office.activeX"/>
  <Override PartName="/xl/activeX/activeX11.xml" ContentType="application/vnd.ms-office.activeX+xml"/>
  <Override PartName="/xl/activeX/activeX12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8.bin" ContentType="application/vnd.ms-office.activeX"/>
  <Override PartName="/xl/activeX/activeX10.xml" ContentType="application/vnd.ms-office.activeX+xml"/>
  <Override PartName="/xl/activeX/activeX19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17.bin" ContentType="application/vnd.ms-office.activeX"/>
  <Override PartName="/xl/activeX/activeX18.bin" ContentType="application/vnd.ms-office.activeX"/>
  <Override PartName="/xl/activeX/activeX27.bin" ContentType="application/vnd.ms-office.activeX"/>
  <Override PartName="/xl/activeX/activeX28.bin" ContentType="application/vnd.ms-office.activeX"/>
  <Override PartName="/docProps/core.xml" ContentType="application/vnd.openxmlformats-package.core-properties+xml"/>
  <Default Extension="bin" ContentType="application/vnd.openxmlformats-officedocument.spreadsheetml.printerSettings"/>
  <Override PartName="/xl/activeX/activeX3.bin" ContentType="application/vnd.ms-office.activeX"/>
  <Override PartName="/xl/activeX/activeX15.bin" ContentType="application/vnd.ms-office.activeX"/>
  <Override PartName="/xl/activeX/activeX26.bin" ContentType="application/vnd.ms-office.activeX"/>
  <Default Extension="png" ContentType="image/png"/>
  <Override PartName="/xl/activeX/activeX1.bin" ContentType="application/vnd.ms-office.activeX"/>
  <Override PartName="/xl/activeX/activeX8.xml" ContentType="application/vnd.ms-office.activeX+xml"/>
  <Override PartName="/xl/activeX/activeX13.bin" ContentType="application/vnd.ms-office.activeX"/>
  <Override PartName="/xl/activeX/activeX22.bin" ContentType="application/vnd.ms-office.activeX"/>
  <Override PartName="/xl/activeX/activeX24.bin" ContentType="application/vnd.ms-office.activeX"/>
  <Override PartName="/xl/embeddings/oleObject3.bin" ContentType="application/vnd.openxmlformats-officedocument.oleObject"/>
  <Override PartName="/xl/activeX/activeX6.xml" ContentType="application/vnd.ms-office.activeX+xml"/>
  <Override PartName="/xl/activeX/activeX11.bin" ContentType="application/vnd.ms-office.activeX"/>
  <Override PartName="/xl/activeX/activeX18.xml" ContentType="application/vnd.ms-office.activeX+xml"/>
  <Override PartName="/xl/activeX/activeX20.bin" ContentType="application/vnd.ms-office.activeX"/>
  <Override PartName="/xl/activeX/activeX27.xml" ContentType="application/vnd.ms-office.activeX+xml"/>
  <Default Extension="jpeg" ContentType="image/jpeg"/>
  <Default Extension="emf" ContentType="image/x-emf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activeX/activeX2.xml" ContentType="application/vnd.ms-office.activeX+xml"/>
  <Override PartName="/xl/activeX/activeX4.xml" ContentType="application/vnd.ms-office.activeX+xml"/>
  <Override PartName="/xl/activeX/activeX16.xml" ContentType="application/vnd.ms-office.activeX+xml"/>
  <Override PartName="/xl/activeX/activeX25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activeX/activeX14.xml" ContentType="application/vnd.ms-office.activeX+xml"/>
  <Override PartName="/xl/activeX/activeX23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600" windowHeight="6405"/>
  </bookViews>
  <sheets>
    <sheet name="Order Form " sheetId="12" r:id="rId1"/>
    <sheet name="Price Calculator" sheetId="15" r:id="rId2"/>
  </sheets>
  <definedNames>
    <definedName name="art">#REF!</definedName>
    <definedName name="arts">#REF!</definedName>
    <definedName name="lab">#REF!</definedName>
    <definedName name="labor">#REF!</definedName>
    <definedName name="labor2">#REF!</definedName>
    <definedName name="labs">#REF!</definedName>
    <definedName name="logoreflective1" localSheetId="0">'Price Calculator'!#REF!</definedName>
    <definedName name="logoreflective1" localSheetId="1">'Price Calculator'!#REF!</definedName>
    <definedName name="logoreflective1">#REF!</definedName>
    <definedName name="logoreflective2" localSheetId="0">'Price Calculator'!#REF!</definedName>
    <definedName name="logoreflective2" localSheetId="1">'Price Calculator'!#REF!</definedName>
    <definedName name="logoreflective2">#REF!</definedName>
    <definedName name="logoreflective3" localSheetId="0">'Price Calculator'!#REF!</definedName>
    <definedName name="logoreflective3" localSheetId="1">'Price Calculator'!#REF!</definedName>
    <definedName name="logoreflective3">#REF!</definedName>
    <definedName name="logoreflective4" localSheetId="0">'Price Calculator'!#REF!</definedName>
    <definedName name="logoreflective4" localSheetId="1">'Price Calculator'!#REF!</definedName>
    <definedName name="logoreflective4">#REF!</definedName>
    <definedName name="none1" localSheetId="0">'Price Calculator'!#REF!</definedName>
    <definedName name="none1" localSheetId="1">'Price Calculator'!#REF!</definedName>
    <definedName name="none1">#REF!</definedName>
    <definedName name="none2" localSheetId="0">'Price Calculator'!#REF!</definedName>
    <definedName name="none2" localSheetId="1">'Price Calculator'!#REF!</definedName>
    <definedName name="none2">#REF!</definedName>
    <definedName name="none3" localSheetId="0">'Price Calculator'!#REF!</definedName>
    <definedName name="none3" localSheetId="1">'Price Calculator'!#REF!</definedName>
    <definedName name="none3">#REF!</definedName>
    <definedName name="none4" localSheetId="0">'Price Calculator'!#REF!</definedName>
    <definedName name="none4" localSheetId="1">'Price Calculator'!#REF!</definedName>
    <definedName name="none4">#REF!</definedName>
    <definedName name="proof">#REF!</definedName>
    <definedName name="proof2">#REF!</definedName>
    <definedName name="reflectiveonly1" localSheetId="0">'Price Calculator'!#REF!</definedName>
    <definedName name="reflectiveonly1" localSheetId="1">'Price Calculator'!#REF!</definedName>
    <definedName name="reflectiveonly1">#REF!</definedName>
    <definedName name="reflectiveonly2" localSheetId="0">'Price Calculator'!#REF!</definedName>
    <definedName name="reflectiveonly2" localSheetId="1">'Price Calculator'!#REF!</definedName>
    <definedName name="reflectiveonly2">#REF!</definedName>
    <definedName name="reflectiveonly3" localSheetId="0">'Price Calculator'!#REF!</definedName>
    <definedName name="reflectiveonly3" localSheetId="1">'Price Calculator'!#REF!</definedName>
    <definedName name="reflectiveonly3">#REF!</definedName>
    <definedName name="reflectiveonly4" localSheetId="0">'Price Calculator'!#REF!</definedName>
    <definedName name="reflectiveonly4" localSheetId="1">'Price Calculator'!#REF!</definedName>
    <definedName name="reflectiveonly4">#REF!</definedName>
    <definedName name="setup">#REF!</definedName>
    <definedName name="tc">#REF!</definedName>
  </definedNames>
  <calcPr calcId="125725"/>
</workbook>
</file>

<file path=xl/calcChain.xml><?xml version="1.0" encoding="utf-8"?>
<calcChain xmlns="http://schemas.openxmlformats.org/spreadsheetml/2006/main">
  <c r="N108" i="15"/>
  <c r="Q95"/>
  <c r="Q107"/>
  <c r="Q106"/>
  <c r="Q105"/>
  <c r="Q104"/>
  <c r="Q103"/>
  <c r="Q102"/>
  <c r="Q101"/>
  <c r="Q100"/>
  <c r="Q99"/>
  <c r="Q98"/>
  <c r="Q97"/>
  <c r="Q94"/>
  <c r="Q93"/>
  <c r="Q92"/>
  <c r="Q91"/>
  <c r="Q90"/>
  <c r="Q89"/>
  <c r="Q88"/>
  <c r="Q87"/>
  <c r="Q86"/>
  <c r="Q85"/>
  <c r="Q83"/>
  <c r="Q82"/>
  <c r="Q81"/>
  <c r="Q80"/>
  <c r="Q79"/>
  <c r="Q78"/>
  <c r="Q77"/>
  <c r="Q76"/>
  <c r="Q75"/>
  <c r="Q74"/>
  <c r="Q73"/>
  <c r="Q71"/>
  <c r="Q70"/>
  <c r="Q69"/>
  <c r="Q68"/>
  <c r="Q67"/>
  <c r="Q66"/>
  <c r="Q65"/>
  <c r="Q64"/>
  <c r="Q63"/>
  <c r="Q62"/>
  <c r="Q61"/>
  <c r="Q59"/>
  <c r="Q58"/>
  <c r="Q57"/>
  <c r="Q56"/>
  <c r="Q55"/>
  <c r="Q54"/>
  <c r="Q53"/>
  <c r="Q52"/>
  <c r="Q51"/>
  <c r="Q50"/>
  <c r="Q48"/>
  <c r="Q47"/>
  <c r="Q46"/>
  <c r="Q45"/>
  <c r="Q43"/>
  <c r="Q42"/>
  <c r="Q41"/>
  <c r="Q40"/>
  <c r="Q39"/>
  <c r="Q38"/>
  <c r="Q37"/>
  <c r="Q36"/>
  <c r="Q35"/>
  <c r="Q34"/>
  <c r="Q32"/>
  <c r="Q31"/>
  <c r="Q30"/>
  <c r="Q29"/>
  <c r="Q27"/>
  <c r="Q26"/>
  <c r="Q25"/>
  <c r="Q24"/>
  <c r="Q23"/>
  <c r="Q22"/>
  <c r="Q21"/>
  <c r="Q20"/>
  <c r="Q19"/>
  <c r="V24" l="1"/>
  <c r="B24"/>
  <c r="A24"/>
  <c r="O24"/>
  <c r="Z8" l="1"/>
  <c r="AA8"/>
  <c r="AB8"/>
  <c r="AC8"/>
  <c r="Z9"/>
  <c r="AA9"/>
  <c r="AB9"/>
  <c r="AC9"/>
  <c r="V10"/>
  <c r="A12"/>
  <c r="B12"/>
  <c r="A19"/>
  <c r="B19"/>
  <c r="O19"/>
  <c r="V19"/>
  <c r="A20"/>
  <c r="B20"/>
  <c r="O20"/>
  <c r="V20"/>
  <c r="A21"/>
  <c r="B21"/>
  <c r="O21"/>
  <c r="V21"/>
  <c r="A22"/>
  <c r="B22"/>
  <c r="O22"/>
  <c r="V22"/>
  <c r="A23"/>
  <c r="B23"/>
  <c r="O23"/>
  <c r="V23"/>
  <c r="A25"/>
  <c r="B25"/>
  <c r="O25"/>
  <c r="V25"/>
  <c r="A26"/>
  <c r="B26"/>
  <c r="O26"/>
  <c r="V26"/>
  <c r="A27"/>
  <c r="B27"/>
  <c r="O27"/>
  <c r="V27"/>
  <c r="A29"/>
  <c r="B29"/>
  <c r="O29"/>
  <c r="V29"/>
  <c r="A30"/>
  <c r="B30"/>
  <c r="O30"/>
  <c r="V30"/>
  <c r="A31"/>
  <c r="B31"/>
  <c r="O31"/>
  <c r="V31"/>
  <c r="A32"/>
  <c r="B32"/>
  <c r="O32"/>
  <c r="V32"/>
  <c r="A34"/>
  <c r="B34"/>
  <c r="O34"/>
  <c r="V34"/>
  <c r="A35"/>
  <c r="B35"/>
  <c r="O35"/>
  <c r="V35"/>
  <c r="A36"/>
  <c r="B36"/>
  <c r="O36"/>
  <c r="V36"/>
  <c r="A37"/>
  <c r="B37"/>
  <c r="O37"/>
  <c r="V37"/>
  <c r="A38"/>
  <c r="B38"/>
  <c r="O38"/>
  <c r="V38"/>
  <c r="A39"/>
  <c r="B39"/>
  <c r="O39"/>
  <c r="V39"/>
  <c r="A40"/>
  <c r="B40"/>
  <c r="O40"/>
  <c r="V40"/>
  <c r="A41"/>
  <c r="B41"/>
  <c r="O41"/>
  <c r="V41"/>
  <c r="A42"/>
  <c r="B42"/>
  <c r="O42"/>
  <c r="V42"/>
  <c r="A43"/>
  <c r="B43"/>
  <c r="O43"/>
  <c r="V43"/>
  <c r="A45"/>
  <c r="B45"/>
  <c r="O45"/>
  <c r="V45"/>
  <c r="A46"/>
  <c r="B46"/>
  <c r="O46"/>
  <c r="V46"/>
  <c r="A47"/>
  <c r="B47"/>
  <c r="O47"/>
  <c r="V47"/>
  <c r="A48"/>
  <c r="B48"/>
  <c r="O48"/>
  <c r="V48"/>
  <c r="A50"/>
  <c r="B50"/>
  <c r="O50"/>
  <c r="V50"/>
  <c r="A51"/>
  <c r="B51"/>
  <c r="O51"/>
  <c r="V51"/>
  <c r="A52"/>
  <c r="B52"/>
  <c r="O52"/>
  <c r="V52"/>
  <c r="A53"/>
  <c r="B53"/>
  <c r="O53"/>
  <c r="V53"/>
  <c r="A54"/>
  <c r="B54"/>
  <c r="O54"/>
  <c r="V54"/>
  <c r="A55"/>
  <c r="B55"/>
  <c r="O55"/>
  <c r="V55"/>
  <c r="A56"/>
  <c r="B56"/>
  <c r="O56"/>
  <c r="V56"/>
  <c r="A57"/>
  <c r="B57"/>
  <c r="O57"/>
  <c r="V57"/>
  <c r="A58"/>
  <c r="B58"/>
  <c r="O58"/>
  <c r="V58"/>
  <c r="A59"/>
  <c r="B59"/>
  <c r="O59"/>
  <c r="V59"/>
  <c r="A61"/>
  <c r="B61"/>
  <c r="O61"/>
  <c r="V61"/>
  <c r="A62"/>
  <c r="B62"/>
  <c r="O62"/>
  <c r="V62"/>
  <c r="A63"/>
  <c r="B63"/>
  <c r="O63"/>
  <c r="V63"/>
  <c r="A64"/>
  <c r="B64"/>
  <c r="O64"/>
  <c r="V64"/>
  <c r="A65"/>
  <c r="B65"/>
  <c r="O65"/>
  <c r="V65"/>
  <c r="A66"/>
  <c r="B66"/>
  <c r="O66"/>
  <c r="V66"/>
  <c r="A67"/>
  <c r="B67"/>
  <c r="O67"/>
  <c r="V67"/>
  <c r="A68"/>
  <c r="B68"/>
  <c r="O68"/>
  <c r="V68"/>
  <c r="A69"/>
  <c r="B69"/>
  <c r="O69"/>
  <c r="V69"/>
  <c r="A70"/>
  <c r="B70"/>
  <c r="O70"/>
  <c r="V70"/>
  <c r="A71"/>
  <c r="B71"/>
  <c r="O71"/>
  <c r="V71"/>
  <c r="A73"/>
  <c r="B73"/>
  <c r="O73"/>
  <c r="V73"/>
  <c r="A74"/>
  <c r="B74"/>
  <c r="O74"/>
  <c r="V74"/>
  <c r="A75"/>
  <c r="B75"/>
  <c r="O75"/>
  <c r="V75"/>
  <c r="A76"/>
  <c r="B76"/>
  <c r="O76"/>
  <c r="V76"/>
  <c r="A77"/>
  <c r="B77"/>
  <c r="O77"/>
  <c r="V77"/>
  <c r="A78"/>
  <c r="B78"/>
  <c r="O78"/>
  <c r="V78"/>
  <c r="A79"/>
  <c r="B79"/>
  <c r="O79"/>
  <c r="V79"/>
  <c r="A80"/>
  <c r="B80"/>
  <c r="O80"/>
  <c r="V80"/>
  <c r="A81"/>
  <c r="B81"/>
  <c r="O81"/>
  <c r="V81"/>
  <c r="A82"/>
  <c r="B82"/>
  <c r="O82"/>
  <c r="V82"/>
  <c r="A83"/>
  <c r="B83"/>
  <c r="O83"/>
  <c r="V83"/>
  <c r="A85"/>
  <c r="B85"/>
  <c r="O85"/>
  <c r="V85"/>
  <c r="A86"/>
  <c r="B86"/>
  <c r="O86"/>
  <c r="V86"/>
  <c r="A87"/>
  <c r="B87"/>
  <c r="O87"/>
  <c r="V87"/>
  <c r="A88"/>
  <c r="B88"/>
  <c r="O88"/>
  <c r="V88"/>
  <c r="A89"/>
  <c r="B89"/>
  <c r="O89"/>
  <c r="V89"/>
  <c r="A90"/>
  <c r="B90"/>
  <c r="O90"/>
  <c r="V90"/>
  <c r="A91"/>
  <c r="B91"/>
  <c r="O91"/>
  <c r="V91"/>
  <c r="A92"/>
  <c r="B92"/>
  <c r="O92"/>
  <c r="V92"/>
  <c r="A93"/>
  <c r="B93"/>
  <c r="O93"/>
  <c r="V93"/>
  <c r="A94"/>
  <c r="B94"/>
  <c r="O94"/>
  <c r="V94"/>
  <c r="A95"/>
  <c r="B95"/>
  <c r="O95"/>
  <c r="V95"/>
  <c r="A97"/>
  <c r="B97"/>
  <c r="O97"/>
  <c r="V97"/>
  <c r="A98"/>
  <c r="B98"/>
  <c r="O98"/>
  <c r="V98"/>
  <c r="A99"/>
  <c r="B99"/>
  <c r="O99"/>
  <c r="V99"/>
  <c r="A100"/>
  <c r="B100"/>
  <c r="O100"/>
  <c r="V100"/>
  <c r="A101"/>
  <c r="B101"/>
  <c r="O101"/>
  <c r="V101"/>
  <c r="A102"/>
  <c r="B102"/>
  <c r="O102"/>
  <c r="V102"/>
  <c r="A103"/>
  <c r="B103"/>
  <c r="O103"/>
  <c r="V103"/>
  <c r="A104"/>
  <c r="B104"/>
  <c r="O104"/>
  <c r="V104"/>
  <c r="A105"/>
  <c r="B105"/>
  <c r="O105"/>
  <c r="V105"/>
  <c r="A106"/>
  <c r="B106"/>
  <c r="O106"/>
  <c r="V106"/>
  <c r="A107"/>
  <c r="B107"/>
  <c r="O107"/>
  <c r="V107"/>
  <c r="AA7"/>
  <c r="AD8" l="1"/>
  <c r="AE8" s="1"/>
  <c r="AC7"/>
  <c r="AC11" s="1"/>
  <c r="AA11"/>
  <c r="AD9"/>
  <c r="AE9" s="1"/>
  <c r="AB7"/>
  <c r="AB11" s="1"/>
  <c r="Z7"/>
  <c r="N7" l="1"/>
  <c r="Z11"/>
  <c r="AD11" s="1"/>
  <c r="AE11" s="1"/>
  <c r="S24" s="1"/>
  <c r="U24" s="1"/>
  <c r="AD7"/>
  <c r="AE7" s="1"/>
  <c r="P24" s="1"/>
  <c r="R24" s="1"/>
  <c r="T24" s="1"/>
  <c r="P19" l="1"/>
  <c r="R19" s="1"/>
  <c r="T19" s="1"/>
  <c r="P21"/>
  <c r="R21" s="1"/>
  <c r="T21" s="1"/>
  <c r="P26"/>
  <c r="R26" s="1"/>
  <c r="T26" s="1"/>
  <c r="P34"/>
  <c r="R34" s="1"/>
  <c r="T34" s="1"/>
  <c r="P36"/>
  <c r="R36" s="1"/>
  <c r="T36" s="1"/>
  <c r="P38"/>
  <c r="R38" s="1"/>
  <c r="T38" s="1"/>
  <c r="P58"/>
  <c r="R58" s="1"/>
  <c r="T58" s="1"/>
  <c r="P61"/>
  <c r="R61" s="1"/>
  <c r="T61" s="1"/>
  <c r="P63"/>
  <c r="R63" s="1"/>
  <c r="T63" s="1"/>
  <c r="P74"/>
  <c r="R74" s="1"/>
  <c r="T74" s="1"/>
  <c r="P78"/>
  <c r="R78" s="1"/>
  <c r="T78" s="1"/>
  <c r="P91"/>
  <c r="R91" s="1"/>
  <c r="T91" s="1"/>
  <c r="P93"/>
  <c r="R93" s="1"/>
  <c r="T93" s="1"/>
  <c r="P95"/>
  <c r="R95" s="1"/>
  <c r="T95" s="1"/>
  <c r="P100"/>
  <c r="R100" s="1"/>
  <c r="T100" s="1"/>
  <c r="P104"/>
  <c r="R104" s="1"/>
  <c r="T104" s="1"/>
  <c r="P50"/>
  <c r="R50" s="1"/>
  <c r="T50" s="1"/>
  <c r="P31"/>
  <c r="R31" s="1"/>
  <c r="T31" s="1"/>
  <c r="P53"/>
  <c r="R53" s="1"/>
  <c r="T53" s="1"/>
  <c r="P43"/>
  <c r="R43" s="1"/>
  <c r="T43" s="1"/>
  <c r="P98"/>
  <c r="R98" s="1"/>
  <c r="T98" s="1"/>
  <c r="P71"/>
  <c r="R71" s="1"/>
  <c r="T71" s="1"/>
  <c r="P64"/>
  <c r="R64" s="1"/>
  <c r="T64" s="1"/>
  <c r="P29"/>
  <c r="R29" s="1"/>
  <c r="T29" s="1"/>
  <c r="P97"/>
  <c r="R97" s="1"/>
  <c r="T97" s="1"/>
  <c r="P69"/>
  <c r="R69" s="1"/>
  <c r="T69" s="1"/>
  <c r="P47"/>
  <c r="R47" s="1"/>
  <c r="T47" s="1"/>
  <c r="P35"/>
  <c r="R35" s="1"/>
  <c r="T35" s="1"/>
  <c r="P20"/>
  <c r="R20" s="1"/>
  <c r="T20" s="1"/>
  <c r="P81"/>
  <c r="R81" s="1"/>
  <c r="T81" s="1"/>
  <c r="P22"/>
  <c r="R22" s="1"/>
  <c r="T22" s="1"/>
  <c r="P65"/>
  <c r="R65" s="1"/>
  <c r="T65" s="1"/>
  <c r="P68"/>
  <c r="R68" s="1"/>
  <c r="T68" s="1"/>
  <c r="P46"/>
  <c r="R46" s="1"/>
  <c r="T46" s="1"/>
  <c r="P102"/>
  <c r="R102" s="1"/>
  <c r="T102" s="1"/>
  <c r="P87"/>
  <c r="R87" s="1"/>
  <c r="T87" s="1"/>
  <c r="P76"/>
  <c r="R76" s="1"/>
  <c r="T76" s="1"/>
  <c r="P66"/>
  <c r="R66" s="1"/>
  <c r="T66" s="1"/>
  <c r="P55"/>
  <c r="R55" s="1"/>
  <c r="T55" s="1"/>
  <c r="P32"/>
  <c r="R32" s="1"/>
  <c r="T32" s="1"/>
  <c r="P103"/>
  <c r="R103" s="1"/>
  <c r="T103" s="1"/>
  <c r="P77"/>
  <c r="R77" s="1"/>
  <c r="T77" s="1"/>
  <c r="P62"/>
  <c r="R62" s="1"/>
  <c r="T62" s="1"/>
  <c r="P37"/>
  <c r="R37" s="1"/>
  <c r="T37" s="1"/>
  <c r="P23"/>
  <c r="R23" s="1"/>
  <c r="T23" s="1"/>
  <c r="P107"/>
  <c r="R107" s="1"/>
  <c r="T107" s="1"/>
  <c r="P56"/>
  <c r="R56" s="1"/>
  <c r="T56" s="1"/>
  <c r="P83"/>
  <c r="R83" s="1"/>
  <c r="T83" s="1"/>
  <c r="P48"/>
  <c r="R48" s="1"/>
  <c r="T48" s="1"/>
  <c r="P106"/>
  <c r="R106" s="1"/>
  <c r="T106" s="1"/>
  <c r="P89"/>
  <c r="R89" s="1"/>
  <c r="T89" s="1"/>
  <c r="P80"/>
  <c r="R80" s="1"/>
  <c r="T80" s="1"/>
  <c r="P57"/>
  <c r="R57" s="1"/>
  <c r="T57" s="1"/>
  <c r="P42"/>
  <c r="R42" s="1"/>
  <c r="T42" s="1"/>
  <c r="P105"/>
  <c r="R105" s="1"/>
  <c r="T105" s="1"/>
  <c r="P99"/>
  <c r="R99" s="1"/>
  <c r="T99" s="1"/>
  <c r="P90"/>
  <c r="R90" s="1"/>
  <c r="T90" s="1"/>
  <c r="P79"/>
  <c r="R79" s="1"/>
  <c r="T79" s="1"/>
  <c r="P73"/>
  <c r="R73" s="1"/>
  <c r="T73" s="1"/>
  <c r="P52"/>
  <c r="R52" s="1"/>
  <c r="T52" s="1"/>
  <c r="P40"/>
  <c r="R40" s="1"/>
  <c r="T40" s="1"/>
  <c r="P27"/>
  <c r="R27" s="1"/>
  <c r="T27" s="1"/>
  <c r="P86"/>
  <c r="R86" s="1"/>
  <c r="T86" s="1"/>
  <c r="P45"/>
  <c r="R45" s="1"/>
  <c r="T45" s="1"/>
  <c r="P54"/>
  <c r="R54" s="1"/>
  <c r="T54" s="1"/>
  <c r="P51"/>
  <c r="R51" s="1"/>
  <c r="T51" s="1"/>
  <c r="P30"/>
  <c r="R30" s="1"/>
  <c r="T30" s="1"/>
  <c r="P94"/>
  <c r="R94" s="1"/>
  <c r="T94" s="1"/>
  <c r="P82"/>
  <c r="R82" s="1"/>
  <c r="T82" s="1"/>
  <c r="P70"/>
  <c r="R70" s="1"/>
  <c r="T70" s="1"/>
  <c r="P59"/>
  <c r="R59" s="1"/>
  <c r="T59" s="1"/>
  <c r="P25"/>
  <c r="R25" s="1"/>
  <c r="T25" s="1"/>
  <c r="P101"/>
  <c r="R101" s="1"/>
  <c r="T101" s="1"/>
  <c r="P92"/>
  <c r="R92" s="1"/>
  <c r="T92" s="1"/>
  <c r="P85"/>
  <c r="R85" s="1"/>
  <c r="T85" s="1"/>
  <c r="P75"/>
  <c r="R75" s="1"/>
  <c r="T75" s="1"/>
  <c r="P88"/>
  <c r="R88" s="1"/>
  <c r="T88" s="1"/>
  <c r="P41"/>
  <c r="R41" s="1"/>
  <c r="T41" s="1"/>
  <c r="P67"/>
  <c r="R67" s="1"/>
  <c r="T67" s="1"/>
  <c r="P39"/>
  <c r="R39" s="1"/>
  <c r="T39" s="1"/>
  <c r="S19"/>
  <c r="U19" s="1"/>
  <c r="S20"/>
  <c r="U20" s="1"/>
  <c r="S26"/>
  <c r="U26" s="1"/>
  <c r="S36"/>
  <c r="U36" s="1"/>
  <c r="S38"/>
  <c r="U38" s="1"/>
  <c r="S22"/>
  <c r="U22" s="1"/>
  <c r="S31"/>
  <c r="U31" s="1"/>
  <c r="S34"/>
  <c r="U34" s="1"/>
  <c r="S39"/>
  <c r="U39" s="1"/>
  <c r="S54"/>
  <c r="U54" s="1"/>
  <c r="S58"/>
  <c r="U58" s="1"/>
  <c r="S61"/>
  <c r="U61" s="1"/>
  <c r="S63"/>
  <c r="U63" s="1"/>
  <c r="S74"/>
  <c r="U74" s="1"/>
  <c r="S78"/>
  <c r="U78" s="1"/>
  <c r="S91"/>
  <c r="U91" s="1"/>
  <c r="S93"/>
  <c r="U93" s="1"/>
  <c r="S95"/>
  <c r="U95" s="1"/>
  <c r="S100"/>
  <c r="U100" s="1"/>
  <c r="S104"/>
  <c r="U104" s="1"/>
  <c r="S23"/>
  <c r="U23" s="1"/>
  <c r="S27"/>
  <c r="U27" s="1"/>
  <c r="S41"/>
  <c r="U41" s="1"/>
  <c r="S45"/>
  <c r="U45" s="1"/>
  <c r="S50"/>
  <c r="U50" s="1"/>
  <c r="S56"/>
  <c r="U56" s="1"/>
  <c r="S65"/>
  <c r="U65" s="1"/>
  <c r="S67"/>
  <c r="U67" s="1"/>
  <c r="S69"/>
  <c r="U69" s="1"/>
  <c r="S70"/>
  <c r="U70" s="1"/>
  <c r="S75"/>
  <c r="U75" s="1"/>
  <c r="S79"/>
  <c r="U79" s="1"/>
  <c r="S81"/>
  <c r="U81" s="1"/>
  <c r="S86"/>
  <c r="U86" s="1"/>
  <c r="S88"/>
  <c r="U88" s="1"/>
  <c r="S97"/>
  <c r="U97" s="1"/>
  <c r="S101"/>
  <c r="U101" s="1"/>
  <c r="S105"/>
  <c r="U105" s="1"/>
  <c r="S107"/>
  <c r="U107" s="1"/>
  <c r="S85"/>
  <c r="U85" s="1"/>
  <c r="S106"/>
  <c r="U106" s="1"/>
  <c r="S83"/>
  <c r="U83" s="1"/>
  <c r="S51"/>
  <c r="U51" s="1"/>
  <c r="S102"/>
  <c r="U102" s="1"/>
  <c r="S87"/>
  <c r="U87" s="1"/>
  <c r="S76"/>
  <c r="U76" s="1"/>
  <c r="S55"/>
  <c r="U55" s="1"/>
  <c r="S103"/>
  <c r="U103" s="1"/>
  <c r="S90"/>
  <c r="U90" s="1"/>
  <c r="S59"/>
  <c r="U59" s="1"/>
  <c r="S42"/>
  <c r="U42" s="1"/>
  <c r="S35"/>
  <c r="U35" s="1"/>
  <c r="S40"/>
  <c r="U40" s="1"/>
  <c r="S98"/>
  <c r="U98" s="1"/>
  <c r="S89"/>
  <c r="U89" s="1"/>
  <c r="S71"/>
  <c r="U71" s="1"/>
  <c r="S48"/>
  <c r="U48" s="1"/>
  <c r="S92"/>
  <c r="U92" s="1"/>
  <c r="S82"/>
  <c r="U82" s="1"/>
  <c r="S62"/>
  <c r="U62" s="1"/>
  <c r="S47"/>
  <c r="U47" s="1"/>
  <c r="S37"/>
  <c r="U37" s="1"/>
  <c r="S25"/>
  <c r="U25" s="1"/>
  <c r="S80"/>
  <c r="U80" s="1"/>
  <c r="S68"/>
  <c r="U68" s="1"/>
  <c r="S64"/>
  <c r="U64" s="1"/>
  <c r="S94"/>
  <c r="U94" s="1"/>
  <c r="S52"/>
  <c r="U52" s="1"/>
  <c r="S29"/>
  <c r="U29" s="1"/>
  <c r="S21"/>
  <c r="U21" s="1"/>
  <c r="S46"/>
  <c r="U46" s="1"/>
  <c r="S66"/>
  <c r="U66" s="1"/>
  <c r="S53"/>
  <c r="U53" s="1"/>
  <c r="S43"/>
  <c r="U43" s="1"/>
  <c r="S30"/>
  <c r="U30" s="1"/>
  <c r="S99"/>
  <c r="U99" s="1"/>
  <c r="S77"/>
  <c r="U77" s="1"/>
  <c r="S57"/>
  <c r="U57" s="1"/>
  <c r="S32"/>
  <c r="U32" s="1"/>
  <c r="S73"/>
  <c r="U73" s="1"/>
  <c r="N6" l="1"/>
  <c r="N8" s="1"/>
</calcChain>
</file>

<file path=xl/sharedStrings.xml><?xml version="1.0" encoding="utf-8"?>
<sst xmlns="http://schemas.openxmlformats.org/spreadsheetml/2006/main" count="515" uniqueCount="443">
  <si>
    <t>Logo Location</t>
  </si>
  <si>
    <t>Front</t>
  </si>
  <si>
    <t>Left</t>
  </si>
  <si>
    <t>Right</t>
  </si>
  <si>
    <t>Back</t>
  </si>
  <si>
    <t>H-701R-UVL (White)</t>
  </si>
  <si>
    <t>H-702R-UVL (Yellow)</t>
  </si>
  <si>
    <t>H-703R-UVL (Blue)</t>
  </si>
  <si>
    <t>H-704R-UVL (Green)</t>
  </si>
  <si>
    <t>H-709R-UVL (Bright Yellow)</t>
  </si>
  <si>
    <t>H-701V-UVL (White)</t>
  </si>
  <si>
    <t>H-702V-UVL (Yellow)</t>
  </si>
  <si>
    <t>H-703V-UVL (Blue)</t>
  </si>
  <si>
    <t>H-704V-UVL (Green)</t>
  </si>
  <si>
    <t>H-701RL (White)</t>
  </si>
  <si>
    <t>H-702RL (Yellow)</t>
  </si>
  <si>
    <t>H-703RL (Blue)</t>
  </si>
  <si>
    <t>H-704RL (Green)</t>
  </si>
  <si>
    <t>H-705RL (Red)</t>
  </si>
  <si>
    <t>H-706RL (Orange)</t>
  </si>
  <si>
    <t>H-707RL (Bright Orange)</t>
  </si>
  <si>
    <t>H-708RL (Gray)</t>
  </si>
  <si>
    <t>H-709RL (Bright Yellow)</t>
  </si>
  <si>
    <t>H-710RL (Navy Blue)</t>
  </si>
  <si>
    <t>H-701VL (White)</t>
  </si>
  <si>
    <t>H-702VL (Yellow)</t>
  </si>
  <si>
    <t>H-703VL (Blue)</t>
  </si>
  <si>
    <t>H-704VL (Green)</t>
  </si>
  <si>
    <t>H-701PL (White)</t>
  </si>
  <si>
    <t>H-702PL (Yellow)</t>
  </si>
  <si>
    <t>H-703PL (Blue)</t>
  </si>
  <si>
    <t>H-704PL (Green)</t>
  </si>
  <si>
    <t>H-705PL (Red)</t>
  </si>
  <si>
    <t>H-706PL (Orange)</t>
  </si>
  <si>
    <t>H-707PL (Bright Orange)</t>
  </si>
  <si>
    <t>H-708PL (Gray)</t>
  </si>
  <si>
    <t>H-709PL (Bright Yellow)</t>
  </si>
  <si>
    <t>H-710PL (Navy Blue)</t>
  </si>
  <si>
    <t>For More Information</t>
  </si>
  <si>
    <t>Customer Service   1-800-328-1667</t>
  </si>
  <si>
    <t>Technical Service   1-800-243-4630</t>
  </si>
  <si>
    <t>Website :  www.3M.com/PPESafety</t>
  </si>
  <si>
    <t>3M Center, Building 0235-02-W-70</t>
  </si>
  <si>
    <t xml:space="preserve">St. Paul, MN 55144-1000                             </t>
  </si>
  <si>
    <t>Case 
Qty</t>
  </si>
  <si>
    <t>Order Qty</t>
  </si>
  <si>
    <t>Sugg List</t>
  </si>
  <si>
    <t>Hard Hat</t>
  </si>
  <si>
    <t>Imprinting</t>
  </si>
  <si>
    <t># of Colors</t>
  </si>
  <si>
    <t>Artwork Previously Submitted?</t>
  </si>
  <si>
    <t>TOTAL</t>
  </si>
  <si>
    <t>LIST</t>
  </si>
  <si>
    <t>LNSP</t>
  </si>
  <si>
    <t>Imprint Price / Case (LIST)</t>
  </si>
  <si>
    <t>One-Time Setup Price (LIST)</t>
  </si>
  <si>
    <t>Total Hard Hat Count:</t>
  </si>
  <si>
    <t># of colors</t>
  </si>
  <si>
    <t>Price</t>
  </si>
  <si>
    <t>One-Time Setup Price</t>
  </si>
  <si>
    <t># of Cases</t>
  </si>
  <si>
    <t>LOGO SPECIFICATIONS</t>
  </si>
  <si>
    <r>
      <t xml:space="preserve">Pricing &amp; Order Quantity with distributor discount </t>
    </r>
    <r>
      <rPr>
        <b/>
        <sz val="12"/>
        <color rgb="FFFF0000"/>
        <rFont val="Times New Roman"/>
        <family val="1"/>
      </rPr>
      <t>PER CASE</t>
    </r>
  </si>
  <si>
    <t xml:space="preserve">   Date:</t>
  </si>
  <si>
    <t>Distributor PO #:                                      </t>
  </si>
  <si>
    <t>Customer Name:</t>
  </si>
  <si>
    <t xml:space="preserve">       New/Revised Logo</t>
  </si>
  <si>
    <t xml:space="preserve">       Existing Logo</t>
  </si>
  <si>
    <t>Distributor Information:</t>
  </si>
  <si>
    <t>Name:</t>
  </si>
  <si>
    <t>Contact:</t>
  </si>
  <si>
    <t xml:space="preserve"> Phone:</t>
  </si>
  <si>
    <t>Email:</t>
  </si>
  <si>
    <r>
      <rPr>
        <b/>
        <sz val="9"/>
        <color rgb="FF231F20"/>
        <rFont val="Arial"/>
        <family val="34"/>
      </rPr>
      <t xml:space="preserve">Left Side: </t>
    </r>
    <r>
      <rPr>
        <sz val="9"/>
        <color rgb="FF231F20"/>
        <rFont val="Arial"/>
        <family val="34"/>
      </rPr>
      <t>4”W x 1 3/4”H</t>
    </r>
  </si>
  <si>
    <r>
      <t xml:space="preserve">Logo Name: </t>
    </r>
    <r>
      <rPr>
        <u/>
        <sz val="9"/>
        <color rgb="FF231F20"/>
        <rFont val="Arial"/>
        <family val="2"/>
      </rPr>
      <t>                                              </t>
    </r>
    <r>
      <rPr>
        <sz val="9"/>
        <color rgb="FF231F20"/>
        <rFont val="Arial"/>
        <family val="2"/>
      </rPr>
      <t xml:space="preserve">   PMS Colors:</t>
    </r>
  </si>
  <si>
    <t>1                               2                            </t>
  </si>
  <si>
    <t>3                               4                            </t>
  </si>
  <si>
    <r>
      <rPr>
        <b/>
        <sz val="9"/>
        <color rgb="FF231F20"/>
        <rFont val="Arial"/>
        <family val="34"/>
      </rPr>
      <t xml:space="preserve">Right Side: </t>
    </r>
    <r>
      <rPr>
        <sz val="9"/>
        <color rgb="FF231F20"/>
        <rFont val="Arial"/>
        <family val="34"/>
      </rPr>
      <t>4”W x 1 3/4”H</t>
    </r>
  </si>
  <si>
    <t>Logo Name:                                                  PMS Colors:</t>
  </si>
  <si>
    <t>1                               2                            </t>
  </si>
  <si>
    <t>3                               4                            </t>
  </si>
  <si>
    <r>
      <rPr>
        <b/>
        <sz val="9"/>
        <color rgb="FF231F20"/>
        <rFont val="Arial"/>
        <family val="34"/>
      </rPr>
      <t xml:space="preserve">Front Center: </t>
    </r>
    <r>
      <rPr>
        <sz val="9"/>
        <color rgb="FF231F20"/>
        <rFont val="Arial"/>
        <family val="34"/>
      </rPr>
      <t>2 1/</t>
    </r>
    <r>
      <rPr>
        <sz val="6"/>
        <color rgb="FF231F20"/>
        <rFont val="Arial"/>
        <family val="34"/>
      </rPr>
      <t>8</t>
    </r>
    <r>
      <rPr>
        <sz val="9"/>
        <color rgb="FF231F20"/>
        <rFont val="Arial"/>
        <family val="34"/>
      </rPr>
      <t>”W x 2 3/4”H</t>
    </r>
  </si>
  <si>
    <t>Logo Name:                                                  PMS Colors:</t>
  </si>
  <si>
    <r>
      <rPr>
        <b/>
        <sz val="9"/>
        <color rgb="FF231F20"/>
        <rFont val="Arial"/>
        <family val="34"/>
      </rPr>
      <t xml:space="preserve">Back Center: </t>
    </r>
    <r>
      <rPr>
        <sz val="9"/>
        <color rgb="FF231F20"/>
        <rFont val="Arial"/>
        <family val="34"/>
      </rPr>
      <t>2” x 2”</t>
    </r>
  </si>
  <si>
    <t>Logo Name:                                                  PMS Colors:</t>
  </si>
  <si>
    <t>H-801RL (White)</t>
  </si>
  <si>
    <t>H-802RL (Yellow)</t>
  </si>
  <si>
    <t>H-803RL (Blue)</t>
  </si>
  <si>
    <t>H-804RL (Green)</t>
  </si>
  <si>
    <t>H-805RL (Red)</t>
  </si>
  <si>
    <t>H-806RL (Orange)</t>
  </si>
  <si>
    <t>H-807RL (Bright Orange)</t>
  </si>
  <si>
    <t>H-808RL (Gray)</t>
  </si>
  <si>
    <t>H-809RL (Bright Yellow)</t>
  </si>
  <si>
    <t>H-810RL (Navy Blue)</t>
  </si>
  <si>
    <t>H-811RL (Tan)</t>
  </si>
  <si>
    <t>H-801VL (White)</t>
  </si>
  <si>
    <t>H-802VL (Yellow)</t>
  </si>
  <si>
    <t>H-803VL (Blue)</t>
  </si>
  <si>
    <t>H-804VL (Green)</t>
  </si>
  <si>
    <t>H-805VL (Red)</t>
  </si>
  <si>
    <t>H-806VL (Orange)</t>
  </si>
  <si>
    <t>H-807VL (Bright Orange)</t>
  </si>
  <si>
    <t>H-808VL (Gray)</t>
  </si>
  <si>
    <t>H-809VL (Bright Yellow)</t>
  </si>
  <si>
    <t>H-810VL (Navy Blue)</t>
  </si>
  <si>
    <t>H-811VL (Tan)</t>
  </si>
  <si>
    <t>H-801R-UVL (White)</t>
  </si>
  <si>
    <t>H-802R-UVL (Yellow)</t>
  </si>
  <si>
    <t>H-803R-UVL (Blue)</t>
  </si>
  <si>
    <t>H-804R-UVL (Green)</t>
  </si>
  <si>
    <t>H-805R-UVL (Red)</t>
  </si>
  <si>
    <t>H-806R-UVL (Orange)</t>
  </si>
  <si>
    <t>H-807R-UVL (Bright Orange)</t>
  </si>
  <si>
    <t>H-808R-UVL (Gray)</t>
  </si>
  <si>
    <t>H-809R-UVL (Bright Yellow)</t>
  </si>
  <si>
    <t>H-810R-UVL (Navy Blue)</t>
  </si>
  <si>
    <t>H-811R-UVL (Tan)</t>
  </si>
  <si>
    <t>H-801V-UVL (White)</t>
  </si>
  <si>
    <t>H-802V-UVL (Yellow)</t>
  </si>
  <si>
    <t>H-803V-UVL (Blue)</t>
  </si>
  <si>
    <t>H-804V-UVL (Green)</t>
  </si>
  <si>
    <t>H-805V-UVL (Red)</t>
  </si>
  <si>
    <t>H-806V-UVL (Orange)</t>
  </si>
  <si>
    <t>H-807V-UVL (Bright Orange)</t>
  </si>
  <si>
    <t>H-808V-UVL (Gray)</t>
  </si>
  <si>
    <t>H-809V-UVL (Bright Yellow)</t>
  </si>
  <si>
    <t>H-810V-UVL (Navy Blue)</t>
  </si>
  <si>
    <t>H-811V-UVL (Tan)</t>
  </si>
  <si>
    <t>H-700 - 4-Point Non-Vented Ratchet</t>
  </si>
  <si>
    <t>H-700 - 4-Point Vented Ratchet</t>
  </si>
  <si>
    <t>H-700 - 4-Point Non-Vented Pinlock</t>
  </si>
  <si>
    <t>Reflective</t>
  </si>
  <si>
    <t>3M™ Hard Hat with Custom Logo and Reflective</t>
  </si>
  <si>
    <r>
      <rPr>
        <b/>
        <sz val="12"/>
        <rFont val="Times New Roman"/>
        <family val="1"/>
      </rPr>
      <t>H-700</t>
    </r>
    <r>
      <rPr>
        <b/>
        <sz val="12"/>
        <color rgb="FF0000FF"/>
        <rFont val="Times New Roman"/>
        <family val="1"/>
      </rPr>
      <t xml:space="preserve"> - </t>
    </r>
    <r>
      <rPr>
        <b/>
        <sz val="12"/>
        <color rgb="FF0070C0"/>
        <rFont val="Times New Roman"/>
        <family val="1"/>
      </rPr>
      <t>Uvicator™</t>
    </r>
    <r>
      <rPr>
        <b/>
        <sz val="12"/>
        <color rgb="FF0000FF"/>
        <rFont val="Times New Roman"/>
        <family val="1"/>
      </rPr>
      <t xml:space="preserve"> - </t>
    </r>
    <r>
      <rPr>
        <b/>
        <sz val="12"/>
        <rFont val="Times New Roman"/>
        <family val="1"/>
      </rPr>
      <t>4-Point Non-Vented Ratchet</t>
    </r>
  </si>
  <si>
    <r>
      <rPr>
        <b/>
        <sz val="12"/>
        <rFont val="Times New Roman"/>
        <family val="1"/>
      </rPr>
      <t xml:space="preserve">H-700 - </t>
    </r>
    <r>
      <rPr>
        <b/>
        <sz val="12"/>
        <color rgb="FF0070C0"/>
        <rFont val="Times New Roman"/>
        <family val="1"/>
      </rPr>
      <t>Uvicator™</t>
    </r>
    <r>
      <rPr>
        <b/>
        <sz val="12"/>
        <color rgb="FF0000FF"/>
        <rFont val="Times New Roman"/>
        <family val="1"/>
      </rPr>
      <t xml:space="preserve"> - </t>
    </r>
    <r>
      <rPr>
        <b/>
        <sz val="12"/>
        <rFont val="Times New Roman"/>
        <family val="1"/>
      </rPr>
      <t>4-Point Vented Ratchet</t>
    </r>
  </si>
  <si>
    <r>
      <rPr>
        <b/>
        <sz val="12"/>
        <rFont val="Times New Roman"/>
        <family val="1"/>
      </rPr>
      <t xml:space="preserve">H-800 - </t>
    </r>
    <r>
      <rPr>
        <b/>
        <sz val="12"/>
        <color rgb="FF0070C0"/>
        <rFont val="Times New Roman"/>
        <family val="1"/>
      </rPr>
      <t>Uvicator™</t>
    </r>
    <r>
      <rPr>
        <b/>
        <sz val="12"/>
        <rFont val="Times New Roman"/>
        <family val="1"/>
      </rPr>
      <t xml:space="preserve"> - 4-Point Non-Vented Ratchet - </t>
    </r>
    <r>
      <rPr>
        <b/>
        <sz val="12"/>
        <color rgb="FF0070C0"/>
        <rFont val="Times New Roman"/>
        <family val="1"/>
      </rPr>
      <t>Full Brim</t>
    </r>
  </si>
  <si>
    <r>
      <rPr>
        <b/>
        <sz val="12"/>
        <rFont val="Times New Roman"/>
        <family val="1"/>
      </rPr>
      <t xml:space="preserve">H-800 - </t>
    </r>
    <r>
      <rPr>
        <b/>
        <sz val="12"/>
        <color rgb="FF0070C0"/>
        <rFont val="Times New Roman"/>
        <family val="1"/>
      </rPr>
      <t>Uvicator™</t>
    </r>
    <r>
      <rPr>
        <b/>
        <sz val="12"/>
        <rFont val="Times New Roman"/>
        <family val="1"/>
      </rPr>
      <t xml:space="preserve"> - 4-Point Vented Ratchet - </t>
    </r>
    <r>
      <rPr>
        <b/>
        <sz val="12"/>
        <color rgb="FF0070C0"/>
        <rFont val="Times New Roman"/>
        <family val="1"/>
      </rPr>
      <t>Full Brim</t>
    </r>
  </si>
  <si>
    <r>
      <t>H-800 - 4-Point Non-Vented Ratchet -</t>
    </r>
    <r>
      <rPr>
        <b/>
        <sz val="12"/>
        <color rgb="FF7030A0"/>
        <rFont val="Times New Roman"/>
        <family val="1"/>
      </rPr>
      <t xml:space="preserve"> </t>
    </r>
    <r>
      <rPr>
        <b/>
        <sz val="12"/>
        <color rgb="FF0070C0"/>
        <rFont val="Times New Roman"/>
        <family val="1"/>
      </rPr>
      <t>Full Brim</t>
    </r>
  </si>
  <si>
    <r>
      <t xml:space="preserve">H-800 - 4-Point Vented Ratchet - </t>
    </r>
    <r>
      <rPr>
        <b/>
        <sz val="12"/>
        <color rgb="FF0070C0"/>
        <rFont val="Times New Roman"/>
        <family val="1"/>
      </rPr>
      <t>Full Brim</t>
    </r>
  </si>
  <si>
    <t>Reflective Only
3M ID</t>
  </si>
  <si>
    <t>Logo &amp; Reflective
3M ID</t>
  </si>
  <si>
    <t>Logo Only
3M ID</t>
  </si>
  <si>
    <t>Reflective Only
Part #</t>
  </si>
  <si>
    <t>Logo &amp; Reflective
Part #</t>
  </si>
  <si>
    <t>Logo Only
Part #</t>
  </si>
  <si>
    <t>H-701-X1</t>
  </si>
  <si>
    <t>H-702-X1</t>
  </si>
  <si>
    <t>Reflective 
Proof #</t>
  </si>
  <si>
    <t>H-703-X1</t>
  </si>
  <si>
    <t>H-704-X1</t>
  </si>
  <si>
    <t>H-709-X1</t>
  </si>
  <si>
    <t>H-705-X1</t>
  </si>
  <si>
    <t>H-706-X1</t>
  </si>
  <si>
    <t>H-707-X1</t>
  </si>
  <si>
    <t>H-708-X1</t>
  </si>
  <si>
    <t>H-710-X1</t>
  </si>
  <si>
    <t>H-801-X1</t>
  </si>
  <si>
    <t>H-802-X1</t>
  </si>
  <si>
    <t>H-803-X1</t>
  </si>
  <si>
    <t>H-804-X1</t>
  </si>
  <si>
    <t>H-805-X1</t>
  </si>
  <si>
    <t>H-806-X1</t>
  </si>
  <si>
    <t>H-807-X1</t>
  </si>
  <si>
    <t>H-808-X1</t>
  </si>
  <si>
    <t>H-809-X1</t>
  </si>
  <si>
    <t>H-810-X1</t>
  </si>
  <si>
    <t>H-811-X1</t>
  </si>
  <si>
    <t xml:space="preserve">                       CUSTOMER DISCOUNT</t>
  </si>
  <si>
    <t xml:space="preserve">                      REFLECTIVE OPTIONS</t>
  </si>
  <si>
    <t>One-Time Art Conv Price (LIST)</t>
  </si>
  <si>
    <t>Imprint, Setup &amp; Art / Case (LIST)</t>
  </si>
  <si>
    <t>If New Art, is it .eps or .ai File?</t>
  </si>
  <si>
    <t>Reflective
Only
Proof #</t>
  </si>
  <si>
    <t>Please complete this ordering information and calculator tool spreadsheet and submit</t>
  </si>
  <si>
    <t>it with your purchase order to 3Mcustomprintlogos@mmm.com.</t>
  </si>
  <si>
    <t>3M offers a selection of standard logos that promote safety messages, identify visitors and</t>
  </si>
  <si>
    <t>display the American flag. Go to 3M.com/customlogo for more information or view the</t>
  </si>
  <si>
    <t>attached pdf.  Check out the FAQ if you need additional information.</t>
  </si>
  <si>
    <r>
      <rPr>
        <b/>
        <sz val="12"/>
        <rFont val="Arial"/>
        <family val="2"/>
      </rPr>
      <t>Logo Placement and Color Information</t>
    </r>
    <r>
      <rPr>
        <b/>
        <sz val="12"/>
        <color theme="0"/>
        <rFont val="Arial"/>
        <family val="2"/>
      </rPr>
      <t xml:space="preserve">
Mark the position and/or text in each location as applicable</t>
    </r>
  </si>
  <si>
    <t>If you are unable to use the form, please follow the instructions in the Active X PDF above.</t>
  </si>
  <si>
    <t>3M Personal Safety Division</t>
  </si>
  <si>
    <t>H-700R-UVX (701) (White)</t>
  </si>
  <si>
    <t>H-700R-UVX (702) (Yellow)</t>
  </si>
  <si>
    <t>H-700R-UVX (703) (Blue)</t>
  </si>
  <si>
    <t>H-700R-UVX (704) (Green)</t>
  </si>
  <si>
    <t>H-700R-UVX (709) (Bright Yellow)</t>
  </si>
  <si>
    <t>H-700V-UVX (701) (White)</t>
  </si>
  <si>
    <t>H-700V-UVX (702) (Yellow)</t>
  </si>
  <si>
    <t>H-700V-UVX (703) (Blue)</t>
  </si>
  <si>
    <t>H-700V-UVX (704) (Green)</t>
  </si>
  <si>
    <t>H-700R-X (701) (White)</t>
  </si>
  <si>
    <t>H-700R-X (702) (Yellow)</t>
  </si>
  <si>
    <t>H-700R-X (703) (Blue)</t>
  </si>
  <si>
    <t>H-700R-X (704) (Green)</t>
  </si>
  <si>
    <t>H-700R-X (705) (Red)</t>
  </si>
  <si>
    <t>H-700R-X (706) (Orange)</t>
  </si>
  <si>
    <t>H-700R-X (707) (Bright Orange)</t>
  </si>
  <si>
    <t>H-700R-X (708) (Gray)</t>
  </si>
  <si>
    <t>H-700R-X (709) (Bright Yellow)</t>
  </si>
  <si>
    <t>H-700R-X (710) (Navy Blue)</t>
  </si>
  <si>
    <t>H-700V-X (701) (White)</t>
  </si>
  <si>
    <t>H-700V-X (702) (Yellow)</t>
  </si>
  <si>
    <t>H-700V-X (703) (Blue)</t>
  </si>
  <si>
    <t>H-700V-X (704) (Green)</t>
  </si>
  <si>
    <t>H-700P-X (701) (White)</t>
  </si>
  <si>
    <t>H-700P-X (702) (Yellow)</t>
  </si>
  <si>
    <t>H-700P-X (703) (Blue)</t>
  </si>
  <si>
    <t>H-700P-X (704) (Green)</t>
  </si>
  <si>
    <t>H-700P-X (705) (Red)</t>
  </si>
  <si>
    <t>H-700P-X (706) (Orange)</t>
  </si>
  <si>
    <t>H-700P-X (707) (Bright Orange)</t>
  </si>
  <si>
    <t>H-700P-X (708) (Gray)</t>
  </si>
  <si>
    <t>H-700P-X (709) (Bright Yellow)</t>
  </si>
  <si>
    <t>H-700P-X (710) (Navy Blue)</t>
  </si>
  <si>
    <t>H-800R-UVX (801) (White)</t>
  </si>
  <si>
    <t>H-800R-UVX (802) (Yellow)</t>
  </si>
  <si>
    <t>H-800R-UVX (803) (Blue)</t>
  </si>
  <si>
    <t>H-800R-UVX (804) (Green)</t>
  </si>
  <si>
    <t>H-800R-UVX (805) (Red)</t>
  </si>
  <si>
    <t>H-800R-UVX (806) (Orange)</t>
  </si>
  <si>
    <t>H-800R-UVX (807) (Bright Orange)</t>
  </si>
  <si>
    <t>H-800R-UVX (808) (Gray)</t>
  </si>
  <si>
    <t>H-800R-UVX (809) (Bright Yellow)</t>
  </si>
  <si>
    <t>H-800R-UVX (810) (Navy Blue)</t>
  </si>
  <si>
    <t>H-800R-UVX (811) (Tan)</t>
  </si>
  <si>
    <t>H-800V-UVX (801) (White)</t>
  </si>
  <si>
    <t>H-800V-UVX (802) (Yellow)</t>
  </si>
  <si>
    <t>H-800V-UVX (803) (Blue)</t>
  </si>
  <si>
    <t>H-800V-UVX (804) (Green)</t>
  </si>
  <si>
    <t>H-800V-UVX (805) (Red)</t>
  </si>
  <si>
    <t>H-800V-UVX (806) (Orange)</t>
  </si>
  <si>
    <t>H-800V-UVX (807) (Bright Orange)</t>
  </si>
  <si>
    <t>H-800V-UVX (808) (Gray)</t>
  </si>
  <si>
    <t>H-800V-UVX (809) (Bright Yellow)</t>
  </si>
  <si>
    <t>H-800V-UVX (810) (Navy Blue)</t>
  </si>
  <si>
    <t>H-800V-UVX (811) (Tan)</t>
  </si>
  <si>
    <t>H-800R-X (801) (White)</t>
  </si>
  <si>
    <t>H-800R-X (802) (Yellow)</t>
  </si>
  <si>
    <t>H-800R-X (803) (Blue)</t>
  </si>
  <si>
    <t>H-800R-X (804) (Green)</t>
  </si>
  <si>
    <t>H-800R-X (805) (Red)</t>
  </si>
  <si>
    <t>H-800R-X (806) (Orange)</t>
  </si>
  <si>
    <t>H-800R-X (807) (Bright Orange)</t>
  </si>
  <si>
    <t>H-800R-X (808) (Gray)</t>
  </si>
  <si>
    <t>H-800R-X (809) (Bright Yellow)</t>
  </si>
  <si>
    <t>H-800R-X (810) (Navy Blue)</t>
  </si>
  <si>
    <t>H-800R-X (811) (Tan)</t>
  </si>
  <si>
    <t>H-800V-X (801) (White)</t>
  </si>
  <si>
    <t>H-800V-X (802) (Yellow)</t>
  </si>
  <si>
    <t>H-800V-X (803) (Blue)</t>
  </si>
  <si>
    <t>H-800V-X (804) (Green)</t>
  </si>
  <si>
    <t>H-800V-X (805) (Red)</t>
  </si>
  <si>
    <t>H-800V-X (806) (Orange)</t>
  </si>
  <si>
    <t>H-800V-X (807) (Bright Orange)</t>
  </si>
  <si>
    <t>H-800V-X (808) (Gray)</t>
  </si>
  <si>
    <t>H-800V-X (809) (Bright Yellow)</t>
  </si>
  <si>
    <t>H-800V-X (810) (Navy Blue)</t>
  </si>
  <si>
    <t>H-800V-X (811) (Tan)</t>
  </si>
  <si>
    <t>H-800R-UVLX (801) (White)</t>
  </si>
  <si>
    <t>H-800R-UVLX (802) (Yellow)</t>
  </si>
  <si>
    <t>H-800R-UVLX (803) (Blue)</t>
  </si>
  <si>
    <t>H-800R-UVLX (804) (Green)</t>
  </si>
  <si>
    <t>H-800R-UVLX (805) (Red)</t>
  </si>
  <si>
    <t>H-800R-UVLX (806) (Orange)</t>
  </si>
  <si>
    <t>H-800R-UVLX (807) (Bright Orange)</t>
  </si>
  <si>
    <t>H-800R-UVLX (808) (Gray)</t>
  </si>
  <si>
    <t>H-800R-UVLX (809) (Bright Yellow)</t>
  </si>
  <si>
    <t>H-800R-UVLX (810) (Navy Blue)</t>
  </si>
  <si>
    <t>H-800R-UVLX (811) (Tan)</t>
  </si>
  <si>
    <t>H-800V-UVLX (801) (White)</t>
  </si>
  <si>
    <t>H-800V-UVLX (802) (Yellow)</t>
  </si>
  <si>
    <t>H-800V-UVLX (803) (Blue)</t>
  </si>
  <si>
    <t>H-800V-UVLX (804) (Green)</t>
  </si>
  <si>
    <t>H-800V-UVLX (805) (Red)</t>
  </si>
  <si>
    <t>H-800V-UVLX (806) (Orange)</t>
  </si>
  <si>
    <t>H-800V-UVLX (807) (Bright Orange)</t>
  </si>
  <si>
    <t>H-800V-UVLX (808) (Gray)</t>
  </si>
  <si>
    <t>H-800V-UVLX (809) (Bright Yellow)</t>
  </si>
  <si>
    <t>H-800V-UVLX (810) (Navy Blue)</t>
  </si>
  <si>
    <t>H-800V-UVLX (811) (Tan)</t>
  </si>
  <si>
    <t>H-800RL-X (801) (White)</t>
  </si>
  <si>
    <t>H-800RL-X (802) (Yellow)</t>
  </si>
  <si>
    <t>H-800RL-X (803) (Blue)</t>
  </si>
  <si>
    <t>H-800RL-X (804) (Green)</t>
  </si>
  <si>
    <t>H-800RL-X (805) (Red)</t>
  </si>
  <si>
    <t>H-800RL-X (806) (Orange)</t>
  </si>
  <si>
    <t>H-800RL-X (807) (Bright Orange)</t>
  </si>
  <si>
    <t>H-800RL-X (808) (Gray)</t>
  </si>
  <si>
    <t>H-800RL-X (809) (Bright Yellow)</t>
  </si>
  <si>
    <t>H-800RL-X (810) (Navy Blue)</t>
  </si>
  <si>
    <t>H-800RL-X (811) (Tan)</t>
  </si>
  <si>
    <t>H-800VL-X (801) (White)</t>
  </si>
  <si>
    <t>H-800VL-X (802) (Yellow)</t>
  </si>
  <si>
    <t>H-800VL-X (803) (Blue)</t>
  </si>
  <si>
    <t>H-800VL-X (804) (Green)</t>
  </si>
  <si>
    <t>H-800VL-X (805) (Red)</t>
  </si>
  <si>
    <t>H-800VL-X (806) (Orange)</t>
  </si>
  <si>
    <t>H-800VL-X (807) (Bright Orange)</t>
  </si>
  <si>
    <t>H-800VL-X (808) (Gray)</t>
  </si>
  <si>
    <t>H-800VL-X (809) (Bright Yellow)</t>
  </si>
  <si>
    <t>H-800VL-X (810) (Navy Blue)</t>
  </si>
  <si>
    <t>H-800VL-X (811) (Tan)</t>
  </si>
  <si>
    <t>H-700R-UVLX (701) (White)</t>
  </si>
  <si>
    <t>H-700R-UVLX (702) (Yellow)</t>
  </si>
  <si>
    <t>H-700R-UVLX (703) (Blue)</t>
  </si>
  <si>
    <t>H-700R-UVLX (704) (Green)</t>
  </si>
  <si>
    <t>H-700R-UVLX (709) (Bright Yellow)</t>
  </si>
  <si>
    <t>H-700V-UVLX (701) (White)</t>
  </si>
  <si>
    <t>H-700V-UVLX (702) (Yellow)</t>
  </si>
  <si>
    <t>H-700V-UVLX (703) (Blue)</t>
  </si>
  <si>
    <t>H-700V-UVLX (704) (Green)</t>
  </si>
  <si>
    <t>H-700RL-X (701) (White)</t>
  </si>
  <si>
    <t>H-700RL-X (702) (Yellow)</t>
  </si>
  <si>
    <t>H-700RL-X (703) (Blue)</t>
  </si>
  <si>
    <t>H-700RL-X (704) (Green)</t>
  </si>
  <si>
    <t>H-700RL-X (705) (Red)</t>
  </si>
  <si>
    <t>H-700RL-X (706) (Orange)</t>
  </si>
  <si>
    <t>H-700RL-X (707) (Bright Orange)</t>
  </si>
  <si>
    <t>H-700RL-X (708) (Gray)</t>
  </si>
  <si>
    <t>H-700RL-X (709) (Bright Yellow)</t>
  </si>
  <si>
    <t>H-700RL-X (710) (Navy Blue)</t>
  </si>
  <si>
    <t>H-700VL-X (701) (White)</t>
  </si>
  <si>
    <t>H-700VL-X (702) (Yellow)</t>
  </si>
  <si>
    <t>H-700VL-X (703) (Blue)</t>
  </si>
  <si>
    <t>H-700VL-X (704) (Green)</t>
  </si>
  <si>
    <t>H-700PL-X (701) (White)</t>
  </si>
  <si>
    <t>H-700PL-X (702) (Yellow)</t>
  </si>
  <si>
    <t>H-700PL-X (703) (Blue)</t>
  </si>
  <si>
    <t>H-700PL-X (704) (Green)</t>
  </si>
  <si>
    <t>H-700PL-X (705) (Red)</t>
  </si>
  <si>
    <t>H-700PL-X (706) (Orange)</t>
  </si>
  <si>
    <t>H-700PL-X (707) (Bright Orange)</t>
  </si>
  <si>
    <t>H-700PL-X (708) (Gray)</t>
  </si>
  <si>
    <t>H-700PL-X (709) (Bright Yellow)</t>
  </si>
  <si>
    <t>H-700PL-X (710) (Navy Blue)</t>
  </si>
  <si>
    <r>
      <t xml:space="preserve">New/Revised Logo </t>
    </r>
    <r>
      <rPr>
        <b/>
        <sz val="9"/>
        <color rgb="FF231F20"/>
        <rFont val="Arial"/>
        <family val="2"/>
      </rPr>
      <t>(w/Reflective)</t>
    </r>
  </si>
  <si>
    <r>
      <t xml:space="preserve">Existing Logo </t>
    </r>
    <r>
      <rPr>
        <b/>
        <sz val="9"/>
        <color rgb="FF231F20"/>
        <rFont val="Arial"/>
        <family val="2"/>
      </rPr>
      <t>(w/Reflective)</t>
    </r>
  </si>
  <si>
    <t xml:space="preserve">Reflective only                   </t>
  </si>
  <si>
    <t>H-700R-UVLX (705) (Red)</t>
  </si>
  <si>
    <t>H-700R-UVX (705) (Red)</t>
  </si>
  <si>
    <t>H-705R-UVL (Red)</t>
  </si>
  <si>
    <t>H-700R-UVX (708) (Gray)</t>
  </si>
  <si>
    <t>H-700R-UVLX (708) (Gray)</t>
  </si>
  <si>
    <t>H-708R-UVL (Gray)</t>
  </si>
  <si>
    <t>H-700R-UVX (710) (Navy Blue)</t>
  </si>
  <si>
    <t>H-700R-UVLX (710) (Navy Blue)</t>
  </si>
  <si>
    <t>H-710R-UVL (Navy Blue)</t>
  </si>
  <si>
    <t>NONE</t>
  </si>
  <si>
    <t>Standard 3M ID</t>
  </si>
  <si>
    <t>Standard Part #</t>
  </si>
  <si>
    <t>H-701R-UV</t>
  </si>
  <si>
    <t>H-702R-UV</t>
  </si>
  <si>
    <t>H-703R-UV</t>
  </si>
  <si>
    <t>H-704R-UV</t>
  </si>
  <si>
    <t>H-705R-UV</t>
  </si>
  <si>
    <t>H-708R-UV</t>
  </si>
  <si>
    <t>H-709R-UV</t>
  </si>
  <si>
    <t>H-710R-UV</t>
  </si>
  <si>
    <t>H-701V-UV</t>
  </si>
  <si>
    <t>H-702V-UV</t>
  </si>
  <si>
    <t>H-703V-UV</t>
  </si>
  <si>
    <t>H-704V-UV</t>
  </si>
  <si>
    <t>H-701R</t>
  </si>
  <si>
    <t>H-702R</t>
  </si>
  <si>
    <t>H-703R</t>
  </si>
  <si>
    <t>H-704R</t>
  </si>
  <si>
    <t>H-705R</t>
  </si>
  <si>
    <t>H-706R</t>
  </si>
  <si>
    <t>H-707R</t>
  </si>
  <si>
    <t>H-708R</t>
  </si>
  <si>
    <t>H-709R</t>
  </si>
  <si>
    <t>H-710R</t>
  </si>
  <si>
    <t>H-701V</t>
  </si>
  <si>
    <t>H-702V</t>
  </si>
  <si>
    <t>H-703V</t>
  </si>
  <si>
    <t>H-704V</t>
  </si>
  <si>
    <t>H-701P</t>
  </si>
  <si>
    <t>H-702P</t>
  </si>
  <si>
    <t>H-703P</t>
  </si>
  <si>
    <t>H-704P</t>
  </si>
  <si>
    <t>H-705P</t>
  </si>
  <si>
    <t>H-706P</t>
  </si>
  <si>
    <t>H-707P</t>
  </si>
  <si>
    <t>H-708P</t>
  </si>
  <si>
    <t>H-709P</t>
  </si>
  <si>
    <t>H-710P</t>
  </si>
  <si>
    <t>H-801R-UV</t>
  </si>
  <si>
    <t>H-802R-UV</t>
  </si>
  <si>
    <t>H-803R-UV</t>
  </si>
  <si>
    <t>H-804R-UV</t>
  </si>
  <si>
    <t>H-805R-UV</t>
  </si>
  <si>
    <t>H-806R-UV</t>
  </si>
  <si>
    <t>H-807R-UV</t>
  </si>
  <si>
    <t>H-808R-UV</t>
  </si>
  <si>
    <t>H-809R-UV</t>
  </si>
  <si>
    <t>H-810R-UV</t>
  </si>
  <si>
    <t>H-811R-UV</t>
  </si>
  <si>
    <t>H-801V-UV</t>
  </si>
  <si>
    <t>H-802V-UV</t>
  </si>
  <si>
    <t>H-803V-UV</t>
  </si>
  <si>
    <t>H-804V-UV</t>
  </si>
  <si>
    <t>H-805V-UV</t>
  </si>
  <si>
    <t>H-806V-UV</t>
  </si>
  <si>
    <t>H-807V-UV</t>
  </si>
  <si>
    <t>H-808V-UV</t>
  </si>
  <si>
    <t>H-809V-UV</t>
  </si>
  <si>
    <t>H-810V-UV</t>
  </si>
  <si>
    <t>H-811V-UV</t>
  </si>
  <si>
    <t>H-801R</t>
  </si>
  <si>
    <t>H-802R</t>
  </si>
  <si>
    <t>H-803R</t>
  </si>
  <si>
    <t>H-804R</t>
  </si>
  <si>
    <t>H-805R</t>
  </si>
  <si>
    <t>H-806R</t>
  </si>
  <si>
    <t>H-807R</t>
  </si>
  <si>
    <t>H-808R</t>
  </si>
  <si>
    <t>H-809R</t>
  </si>
  <si>
    <t>H-810R</t>
  </si>
  <si>
    <t>H-811R</t>
  </si>
  <si>
    <t>H-801V</t>
  </si>
  <si>
    <t>H-802V</t>
  </si>
  <si>
    <t>H-803V</t>
  </si>
  <si>
    <t>H-804V</t>
  </si>
  <si>
    <t>H-805V</t>
  </si>
  <si>
    <t>H-806V</t>
  </si>
  <si>
    <t>H-807V</t>
  </si>
  <si>
    <t>H-808V</t>
  </si>
  <si>
    <t>H-809V</t>
  </si>
  <si>
    <t>H-810V</t>
  </si>
  <si>
    <t>H-811V</t>
  </si>
  <si>
    <t xml:space="preserve">TOTAL Hardhat, Imprinting, &amp; Reflective LNSP </t>
  </si>
  <si>
    <t xml:space="preserve">TOTAL One-Time Setup &amp; Artwork LNSP </t>
  </si>
  <si>
    <t xml:space="preserve">TOTAL Hardhat, Imprinting, Reflective, Setup &amp; Artwork LNSP </t>
  </si>
  <si>
    <t>Hard Hat
Imprinting
Reflective
TOTAL</t>
  </si>
  <si>
    <t>Hard Hat
Imprinting
Reflective
Setup &amp; Art
TOTAL</t>
  </si>
  <si>
    <t>Hard Hat
Imprinting
Reflective
LINE TOTAL</t>
  </si>
  <si>
    <t>Hard Hat
Imprinting
Reflective
Setup &amp; Art
LINE TOTAL</t>
  </si>
  <si>
    <t>H-707R-UVL (Bright Orange)</t>
  </si>
  <si>
    <t>H-707R-UV</t>
  </si>
  <si>
    <t>H-700R-UVX (707) (Bright Orange)</t>
  </si>
  <si>
    <t>H-700R-UVLX (707) (Bright Orange)</t>
  </si>
  <si>
    <r>
      <t xml:space="preserve"> Effective:  </t>
    </r>
    <r>
      <rPr>
        <sz val="12"/>
        <color rgb="FF000000"/>
        <rFont val="Times New Roman"/>
        <family val="1"/>
      </rPr>
      <t xml:space="preserve"> February 1, 2014</t>
    </r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</si>
</sst>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#\-####\-####\-#"/>
  </numFmts>
  <fonts count="50">
    <font>
      <sz val="10"/>
      <color rgb="FF000000"/>
      <name val="Times New Roman"/>
      <charset val="204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FF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FF0000"/>
      <name val="Times New Roman"/>
      <family val="1"/>
    </font>
    <font>
      <i/>
      <sz val="10"/>
      <color rgb="FF000000"/>
      <name val="Times New Roman"/>
      <family val="1"/>
    </font>
    <font>
      <b/>
      <sz val="9"/>
      <color rgb="FF231F20"/>
      <name val="Arial"/>
      <family val="2"/>
    </font>
    <font>
      <i/>
      <sz val="9"/>
      <color rgb="FF231F20"/>
      <name val="Arial"/>
      <family val="34"/>
    </font>
    <font>
      <sz val="9"/>
      <color rgb="FF000000"/>
      <name val="Arial"/>
      <family val="2"/>
    </font>
    <font>
      <b/>
      <i/>
      <sz val="10"/>
      <color rgb="FF231F20"/>
      <name val="Arial"/>
      <family val="34"/>
    </font>
    <font>
      <b/>
      <i/>
      <sz val="9"/>
      <color rgb="FF231F20"/>
      <name val="Arial"/>
      <family val="2"/>
    </font>
    <font>
      <b/>
      <i/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9"/>
      <color rgb="FF231F20"/>
      <name val="Arial"/>
      <family val="34"/>
    </font>
    <font>
      <sz val="9"/>
      <color rgb="FF231F20"/>
      <name val="Arial"/>
      <family val="34"/>
    </font>
    <font>
      <sz val="9"/>
      <color rgb="FF231F20"/>
      <name val="Arial"/>
      <family val="2"/>
    </font>
    <font>
      <u/>
      <sz val="9"/>
      <color rgb="FF231F20"/>
      <name val="Arial"/>
      <family val="2"/>
    </font>
    <font>
      <sz val="6"/>
      <color rgb="FF231F20"/>
      <name val="Arial"/>
      <family val="34"/>
    </font>
    <font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0070C0"/>
      <name val="Times New Roman"/>
      <family val="1"/>
    </font>
    <font>
      <sz val="10"/>
      <color rgb="FF0000FF"/>
      <name val="Times New Roman"/>
      <family val="1"/>
    </font>
    <font>
      <b/>
      <sz val="8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24"/>
      <name val="Arial Narrow"/>
      <family val="2"/>
    </font>
    <font>
      <i/>
      <sz val="9"/>
      <color rgb="FF231F20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63377788628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</cellStyleXfs>
  <cellXfs count="288"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 applyProtection="1">
      <alignment horizontal="left" vertical="top"/>
    </xf>
    <xf numFmtId="0" fontId="12" fillId="2" borderId="0" xfId="0" applyFont="1" applyFill="1" applyBorder="1" applyAlignment="1" applyProtection="1">
      <alignment horizontal="left" vertical="top"/>
    </xf>
    <xf numFmtId="0" fontId="0" fillId="5" borderId="0" xfId="0" applyFill="1" applyBorder="1" applyAlignment="1" applyProtection="1">
      <alignment horizontal="left" vertical="top"/>
    </xf>
    <xf numFmtId="0" fontId="10" fillId="4" borderId="10" xfId="0" applyFont="1" applyFill="1" applyBorder="1" applyAlignment="1" applyProtection="1">
      <alignment horizontal="center" vertical="top"/>
    </xf>
    <xf numFmtId="0" fontId="10" fillId="4" borderId="21" xfId="0" applyFont="1" applyFill="1" applyBorder="1" applyAlignment="1" applyProtection="1">
      <alignment horizontal="center" vertical="top"/>
    </xf>
    <xf numFmtId="0" fontId="10" fillId="4" borderId="22" xfId="0" applyFont="1" applyFill="1" applyBorder="1" applyAlignment="1" applyProtection="1">
      <alignment horizontal="center" vertical="top"/>
    </xf>
    <xf numFmtId="0" fontId="10" fillId="4" borderId="23" xfId="0" applyFont="1" applyFill="1" applyBorder="1" applyAlignment="1" applyProtection="1">
      <alignment horizontal="center" vertical="top"/>
    </xf>
    <xf numFmtId="0" fontId="10" fillId="4" borderId="11" xfId="0" applyFont="1" applyFill="1" applyBorder="1" applyAlignment="1" applyProtection="1">
      <alignment horizontal="center" vertical="top"/>
    </xf>
    <xf numFmtId="0" fontId="0" fillId="3" borderId="0" xfId="0" applyFill="1" applyBorder="1" applyAlignment="1" applyProtection="1">
      <alignment horizontal="center" vertical="top"/>
    </xf>
    <xf numFmtId="164" fontId="0" fillId="3" borderId="0" xfId="0" applyNumberFormat="1" applyFill="1" applyBorder="1" applyAlignment="1" applyProtection="1">
      <alignment horizontal="center" vertical="top"/>
    </xf>
    <xf numFmtId="0" fontId="0" fillId="3" borderId="0" xfId="0" applyFill="1" applyBorder="1" applyAlignment="1" applyProtection="1">
      <alignment horizontal="left" vertical="top"/>
    </xf>
    <xf numFmtId="164" fontId="0" fillId="2" borderId="0" xfId="0" applyNumberFormat="1" applyFill="1" applyBorder="1" applyAlignment="1" applyProtection="1">
      <alignment horizontal="center" vertical="top"/>
    </xf>
    <xf numFmtId="0" fontId="14" fillId="5" borderId="0" xfId="0" applyFont="1" applyFill="1" applyBorder="1" applyAlignment="1" applyProtection="1">
      <alignment horizontal="center" vertical="top"/>
    </xf>
    <xf numFmtId="164" fontId="10" fillId="6" borderId="9" xfId="0" applyNumberFormat="1" applyFont="1" applyFill="1" applyBorder="1" applyAlignment="1" applyProtection="1">
      <alignment horizontal="center" vertical="top"/>
    </xf>
    <xf numFmtId="0" fontId="3" fillId="5" borderId="0" xfId="2" applyFont="1" applyFill="1" applyBorder="1" applyAlignment="1" applyProtection="1">
      <alignment horizontal="center" wrapText="1"/>
    </xf>
    <xf numFmtId="0" fontId="15" fillId="5" borderId="0" xfId="0" applyFont="1" applyFill="1" applyBorder="1" applyAlignment="1" applyProtection="1">
      <alignment horizontal="left" vertical="top"/>
    </xf>
    <xf numFmtId="0" fontId="0" fillId="2" borderId="1" xfId="0" applyFill="1" applyBorder="1" applyAlignment="1" applyProtection="1">
      <alignment horizontal="center" vertical="top"/>
    </xf>
    <xf numFmtId="164" fontId="0" fillId="2" borderId="1" xfId="0" applyNumberFormat="1" applyFill="1" applyBorder="1" applyAlignment="1" applyProtection="1">
      <alignment horizontal="center" vertical="top"/>
    </xf>
    <xf numFmtId="0" fontId="16" fillId="5" borderId="0" xfId="0" applyFont="1" applyFill="1" applyBorder="1" applyAlignment="1" applyProtection="1">
      <alignment horizontal="left" vertical="top"/>
    </xf>
    <xf numFmtId="0" fontId="17" fillId="3" borderId="0" xfId="0" applyFont="1" applyFill="1" applyBorder="1" applyAlignment="1" applyProtection="1">
      <alignment horizontal="left" vertical="top"/>
    </xf>
    <xf numFmtId="0" fontId="17" fillId="5" borderId="0" xfId="0" applyFont="1" applyFill="1" applyBorder="1" applyAlignment="1" applyProtection="1">
      <alignment horizontal="left" vertical="top"/>
    </xf>
    <xf numFmtId="0" fontId="12" fillId="2" borderId="1" xfId="0" applyFont="1" applyFill="1" applyBorder="1" applyAlignment="1" applyProtection="1">
      <alignment horizontal="center" vertical="top"/>
    </xf>
    <xf numFmtId="0" fontId="0" fillId="5" borderId="0" xfId="0" applyFill="1" applyBorder="1" applyAlignment="1" applyProtection="1">
      <alignment horizontal="center" vertical="top"/>
    </xf>
    <xf numFmtId="164" fontId="0" fillId="5" borderId="0" xfId="0" applyNumberFormat="1" applyFill="1" applyBorder="1" applyAlignment="1" applyProtection="1">
      <alignment horizontal="center" vertical="top"/>
    </xf>
    <xf numFmtId="164" fontId="1" fillId="0" borderId="0" xfId="1" applyNumberFormat="1" applyBorder="1" applyAlignment="1" applyProtection="1">
      <alignment horizontal="center"/>
    </xf>
    <xf numFmtId="0" fontId="1" fillId="5" borderId="0" xfId="1" applyFill="1" applyProtection="1"/>
    <xf numFmtId="164" fontId="1" fillId="0" borderId="0" xfId="1" applyNumberFormat="1" applyAlignment="1" applyProtection="1">
      <alignment horizontal="center"/>
    </xf>
    <xf numFmtId="0" fontId="10" fillId="2" borderId="5" xfId="0" applyFont="1" applyFill="1" applyBorder="1" applyAlignment="1" applyProtection="1">
      <alignment horizontal="center" vertical="top"/>
    </xf>
    <xf numFmtId="0" fontId="11" fillId="7" borderId="9" xfId="1" applyFont="1" applyFill="1" applyBorder="1" applyAlignment="1" applyProtection="1">
      <alignment horizontal="center" wrapText="1"/>
    </xf>
    <xf numFmtId="0" fontId="11" fillId="0" borderId="26" xfId="1" applyFont="1" applyBorder="1" applyAlignment="1" applyProtection="1">
      <alignment horizontal="center"/>
    </xf>
    <xf numFmtId="0" fontId="11" fillId="0" borderId="27" xfId="1" applyFont="1" applyBorder="1" applyAlignment="1" applyProtection="1">
      <alignment horizontal="center"/>
    </xf>
    <xf numFmtId="164" fontId="12" fillId="2" borderId="1" xfId="0" applyNumberFormat="1" applyFont="1" applyFill="1" applyBorder="1" applyAlignment="1" applyProtection="1">
      <alignment horizontal="center" vertical="top"/>
    </xf>
    <xf numFmtId="0" fontId="11" fillId="0" borderId="5" xfId="1" applyFont="1" applyBorder="1" applyAlignment="1" applyProtection="1">
      <alignment horizontal="center"/>
    </xf>
    <xf numFmtId="164" fontId="17" fillId="0" borderId="1" xfId="1" applyNumberFormat="1" applyFont="1" applyBorder="1" applyAlignment="1" applyProtection="1">
      <alignment horizontal="center"/>
    </xf>
    <xf numFmtId="164" fontId="17" fillId="0" borderId="1" xfId="1" applyNumberFormat="1" applyFont="1" applyFill="1" applyBorder="1" applyAlignment="1" applyProtection="1">
      <alignment horizontal="center"/>
    </xf>
    <xf numFmtId="0" fontId="11" fillId="0" borderId="1" xfId="1" applyFont="1" applyBorder="1" applyAlignment="1" applyProtection="1">
      <alignment horizontal="center"/>
    </xf>
    <xf numFmtId="0" fontId="10" fillId="2" borderId="1" xfId="0" applyFont="1" applyFill="1" applyBorder="1" applyAlignment="1" applyProtection="1">
      <alignment horizontal="center" vertical="top"/>
    </xf>
    <xf numFmtId="0" fontId="1" fillId="3" borderId="0" xfId="1" applyFill="1" applyProtection="1"/>
    <xf numFmtId="0" fontId="0" fillId="3" borderId="12" xfId="0" applyFill="1" applyBorder="1" applyAlignment="1" applyProtection="1">
      <alignment horizontal="left" vertical="top"/>
    </xf>
    <xf numFmtId="0" fontId="0" fillId="2" borderId="13" xfId="0" applyFill="1" applyBorder="1" applyAlignment="1" applyProtection="1">
      <alignment horizontal="left" vertical="top"/>
    </xf>
    <xf numFmtId="0" fontId="0" fillId="2" borderId="14" xfId="0" applyFill="1" applyBorder="1" applyAlignment="1" applyProtection="1">
      <alignment horizontal="left" vertical="top"/>
    </xf>
    <xf numFmtId="0" fontId="0" fillId="3" borderId="24" xfId="0" applyFill="1" applyBorder="1" applyAlignment="1" applyProtection="1">
      <alignment horizontal="left" vertical="top"/>
    </xf>
    <xf numFmtId="0" fontId="0" fillId="2" borderId="25" xfId="0" applyFill="1" applyBorder="1" applyAlignment="1" applyProtection="1">
      <alignment horizontal="left" vertical="top"/>
    </xf>
    <xf numFmtId="0" fontId="0" fillId="3" borderId="15" xfId="0" applyFill="1" applyBorder="1" applyAlignment="1" applyProtection="1">
      <alignment horizontal="left" vertical="top"/>
    </xf>
    <xf numFmtId="0" fontId="0" fillId="2" borderId="16" xfId="0" applyFill="1" applyBorder="1" applyAlignment="1" applyProtection="1">
      <alignment horizontal="left" vertical="top"/>
    </xf>
    <xf numFmtId="0" fontId="0" fillId="2" borderId="17" xfId="0" applyFill="1" applyBorder="1" applyAlignment="1" applyProtection="1">
      <alignment horizontal="left" vertical="top"/>
    </xf>
    <xf numFmtId="0" fontId="1" fillId="5" borderId="0" xfId="1" applyFill="1" applyBorder="1" applyProtection="1"/>
    <xf numFmtId="0" fontId="1" fillId="3" borderId="0" xfId="1" applyFill="1" applyBorder="1" applyProtection="1"/>
    <xf numFmtId="0" fontId="14" fillId="3" borderId="0" xfId="0" applyFont="1" applyFill="1" applyBorder="1" applyAlignment="1" applyProtection="1">
      <alignment horizontal="right" vertical="top"/>
    </xf>
    <xf numFmtId="0" fontId="1" fillId="3" borderId="0" xfId="1" applyFill="1" applyAlignment="1" applyProtection="1">
      <alignment horizontal="center"/>
    </xf>
    <xf numFmtId="0" fontId="1" fillId="3" borderId="0" xfId="1" applyFill="1" applyAlignment="1" applyProtection="1">
      <alignment vertical="center"/>
    </xf>
    <xf numFmtId="164" fontId="1" fillId="3" borderId="0" xfId="1" applyNumberFormat="1" applyFill="1" applyBorder="1" applyAlignment="1" applyProtection="1">
      <alignment horizontal="center"/>
    </xf>
    <xf numFmtId="0" fontId="1" fillId="3" borderId="0" xfId="1" applyFill="1" applyAlignment="1" applyProtection="1">
      <alignment horizontal="left"/>
    </xf>
    <xf numFmtId="164" fontId="1" fillId="3" borderId="0" xfId="1" applyNumberFormat="1" applyFill="1" applyAlignment="1" applyProtection="1">
      <alignment horizontal="center"/>
    </xf>
    <xf numFmtId="0" fontId="3" fillId="5" borderId="16" xfId="2" applyFont="1" applyFill="1" applyBorder="1" applyAlignment="1" applyProtection="1">
      <alignment horizontal="center" wrapText="1"/>
    </xf>
    <xf numFmtId="164" fontId="0" fillId="7" borderId="10" xfId="0" applyNumberFormat="1" applyFill="1" applyBorder="1" applyAlignment="1" applyProtection="1">
      <alignment horizontal="left" vertical="top"/>
    </xf>
    <xf numFmtId="164" fontId="0" fillId="7" borderId="28" xfId="0" applyNumberFormat="1" applyFill="1" applyBorder="1" applyAlignment="1" applyProtection="1">
      <alignment horizontal="left" vertical="top"/>
    </xf>
    <xf numFmtId="164" fontId="0" fillId="7" borderId="11" xfId="0" applyNumberFormat="1" applyFill="1" applyBorder="1" applyAlignment="1" applyProtection="1">
      <alignment horizontal="left" vertical="top"/>
    </xf>
    <xf numFmtId="0" fontId="12" fillId="2" borderId="3" xfId="0" applyFont="1" applyFill="1" applyBorder="1" applyAlignment="1" applyProtection="1">
      <alignment horizontal="center" vertical="top"/>
      <protection locked="0"/>
    </xf>
    <xf numFmtId="164" fontId="12" fillId="2" borderId="30" xfId="0" applyNumberFormat="1" applyFont="1" applyFill="1" applyBorder="1" applyAlignment="1" applyProtection="1">
      <alignment horizontal="center" vertical="top"/>
    </xf>
    <xf numFmtId="164" fontId="10" fillId="3" borderId="9" xfId="0" applyNumberFormat="1" applyFont="1" applyFill="1" applyBorder="1" applyAlignment="1" applyProtection="1">
      <alignment horizontal="center" vertical="top"/>
    </xf>
    <xf numFmtId="0" fontId="12" fillId="2" borderId="18" xfId="0" applyFont="1" applyFill="1" applyBorder="1" applyAlignment="1" applyProtection="1">
      <alignment horizontal="center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32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 vertical="top"/>
      <protection locked="0"/>
    </xf>
    <xf numFmtId="0" fontId="12" fillId="2" borderId="33" xfId="0" applyFont="1" applyFill="1" applyBorder="1" applyAlignment="1" applyProtection="1">
      <alignment horizontal="center" vertical="top"/>
      <protection locked="0"/>
    </xf>
    <xf numFmtId="164" fontId="12" fillId="2" borderId="4" xfId="0" applyNumberFormat="1" applyFont="1" applyFill="1" applyBorder="1" applyAlignment="1" applyProtection="1">
      <alignment horizontal="center" vertical="top"/>
    </xf>
    <xf numFmtId="164" fontId="12" fillId="2" borderId="20" xfId="0" applyNumberFormat="1" applyFont="1" applyFill="1" applyBorder="1" applyAlignment="1" applyProtection="1">
      <alignment horizontal="center" vertical="top"/>
    </xf>
    <xf numFmtId="164" fontId="12" fillId="2" borderId="35" xfId="0" applyNumberFormat="1" applyFont="1" applyFill="1" applyBorder="1" applyAlignment="1" applyProtection="1">
      <alignment horizontal="center" vertical="top"/>
    </xf>
    <xf numFmtId="164" fontId="12" fillId="2" borderId="36" xfId="0" applyNumberFormat="1" applyFont="1" applyFill="1" applyBorder="1" applyAlignment="1" applyProtection="1">
      <alignment horizontal="center" vertical="top"/>
    </xf>
    <xf numFmtId="164" fontId="10" fillId="3" borderId="38" xfId="0" applyNumberFormat="1" applyFont="1" applyFill="1" applyBorder="1" applyAlignment="1" applyProtection="1">
      <alignment horizontal="center" vertical="top"/>
    </xf>
    <xf numFmtId="164" fontId="10" fillId="3" borderId="39" xfId="0" applyNumberFormat="1" applyFont="1" applyFill="1" applyBorder="1" applyAlignment="1" applyProtection="1">
      <alignment horizontal="center" vertical="top"/>
    </xf>
    <xf numFmtId="164" fontId="10" fillId="3" borderId="29" xfId="0" applyNumberFormat="1" applyFont="1" applyFill="1" applyBorder="1" applyAlignment="1" applyProtection="1">
      <alignment horizontal="center" vertical="top"/>
    </xf>
    <xf numFmtId="0" fontId="1" fillId="3" borderId="0" xfId="1" applyFont="1" applyFill="1" applyBorder="1" applyProtection="1"/>
    <xf numFmtId="164" fontId="0" fillId="3" borderId="1" xfId="0" applyNumberFormat="1" applyFill="1" applyBorder="1" applyAlignment="1" applyProtection="1">
      <alignment horizontal="center" vertical="top"/>
    </xf>
    <xf numFmtId="1" fontId="0" fillId="2" borderId="1" xfId="0" applyNumberFormat="1" applyFill="1" applyBorder="1" applyAlignment="1" applyProtection="1">
      <alignment horizontal="center" vertical="top"/>
      <protection locked="0"/>
    </xf>
    <xf numFmtId="1" fontId="12" fillId="2" borderId="1" xfId="0" applyNumberFormat="1" applyFont="1" applyFill="1" applyBorder="1" applyAlignment="1" applyProtection="1">
      <alignment horizontal="center" vertical="top"/>
      <protection locked="0"/>
    </xf>
    <xf numFmtId="0" fontId="0" fillId="3" borderId="16" xfId="0" applyFill="1" applyBorder="1" applyAlignment="1" applyProtection="1">
      <alignment horizontal="center" vertical="top"/>
    </xf>
    <xf numFmtId="0" fontId="0" fillId="4" borderId="24" xfId="0" applyFill="1" applyBorder="1" applyAlignment="1" applyProtection="1">
      <alignment horizontal="left" vertical="top"/>
    </xf>
    <xf numFmtId="0" fontId="0" fillId="4" borderId="0" xfId="0" applyFill="1" applyBorder="1" applyAlignment="1" applyProtection="1">
      <alignment horizontal="left" vertical="top"/>
    </xf>
    <xf numFmtId="164" fontId="0" fillId="2" borderId="2" xfId="0" applyNumberFormat="1" applyFill="1" applyBorder="1" applyAlignment="1" applyProtection="1">
      <alignment horizontal="center" vertical="top"/>
    </xf>
    <xf numFmtId="0" fontId="0" fillId="2" borderId="44" xfId="0" applyFill="1" applyBorder="1" applyAlignment="1" applyProtection="1">
      <alignment horizontal="left" vertical="top"/>
    </xf>
    <xf numFmtId="0" fontId="40" fillId="3" borderId="16" xfId="0" applyFont="1" applyFill="1" applyBorder="1" applyAlignment="1" applyProtection="1">
      <alignment horizontal="center" vertical="top"/>
    </xf>
    <xf numFmtId="0" fontId="14" fillId="3" borderId="40" xfId="0" applyFont="1" applyFill="1" applyBorder="1" applyAlignment="1" applyProtection="1">
      <alignment vertical="top"/>
    </xf>
    <xf numFmtId="0" fontId="13" fillId="3" borderId="13" xfId="0" applyFont="1" applyFill="1" applyBorder="1" applyAlignment="1" applyProtection="1">
      <alignment horizontal="center" vertical="top"/>
    </xf>
    <xf numFmtId="0" fontId="0" fillId="3" borderId="48" xfId="0" applyFill="1" applyBorder="1" applyAlignment="1" applyProtection="1">
      <alignment horizontal="left" vertical="top"/>
    </xf>
    <xf numFmtId="0" fontId="0" fillId="3" borderId="41" xfId="0" applyFill="1" applyBorder="1" applyAlignment="1" applyProtection="1">
      <alignment horizontal="left" vertical="top"/>
    </xf>
    <xf numFmtId="0" fontId="5" fillId="3" borderId="48" xfId="1" applyNumberFormat="1" applyFont="1" applyFill="1" applyBorder="1" applyAlignment="1" applyProtection="1"/>
    <xf numFmtId="0" fontId="1" fillId="3" borderId="48" xfId="1" applyFill="1" applyBorder="1" applyAlignment="1" applyProtection="1"/>
    <xf numFmtId="0" fontId="2" fillId="3" borderId="48" xfId="1" applyFont="1" applyFill="1" applyBorder="1" applyAlignment="1" applyProtection="1"/>
    <xf numFmtId="0" fontId="7" fillId="3" borderId="48" xfId="1" applyFont="1" applyFill="1" applyBorder="1" applyAlignment="1" applyProtection="1"/>
    <xf numFmtId="0" fontId="8" fillId="3" borderId="48" xfId="1" applyFont="1" applyFill="1" applyBorder="1" applyAlignment="1" applyProtection="1"/>
    <xf numFmtId="0" fontId="9" fillId="3" borderId="48" xfId="1" applyFont="1" applyFill="1" applyBorder="1" applyAlignment="1" applyProtection="1"/>
    <xf numFmtId="0" fontId="0" fillId="2" borderId="42" xfId="0" applyFill="1" applyBorder="1" applyAlignment="1" applyProtection="1">
      <alignment horizontal="left" vertical="top"/>
    </xf>
    <xf numFmtId="0" fontId="0" fillId="2" borderId="19" xfId="0" applyFill="1" applyBorder="1" applyAlignment="1" applyProtection="1">
      <alignment horizontal="center" vertical="top"/>
    </xf>
    <xf numFmtId="164" fontId="0" fillId="3" borderId="19" xfId="0" applyNumberFormat="1" applyFill="1" applyBorder="1" applyAlignment="1" applyProtection="1">
      <alignment horizontal="center" vertical="top"/>
    </xf>
    <xf numFmtId="1" fontId="0" fillId="2" borderId="19" xfId="0" applyNumberFormat="1" applyFill="1" applyBorder="1" applyAlignment="1" applyProtection="1">
      <alignment horizontal="center" vertical="top"/>
      <protection locked="0"/>
    </xf>
    <xf numFmtId="164" fontId="0" fillId="2" borderId="19" xfId="0" applyNumberFormat="1" applyFill="1" applyBorder="1" applyAlignment="1" applyProtection="1">
      <alignment horizontal="center" vertical="top"/>
    </xf>
    <xf numFmtId="164" fontId="0" fillId="2" borderId="34" xfId="0" applyNumberFormat="1" applyFill="1" applyBorder="1" applyAlignment="1" applyProtection="1">
      <alignment horizontal="center" vertical="top"/>
    </xf>
    <xf numFmtId="0" fontId="0" fillId="2" borderId="45" xfId="0" applyFill="1" applyBorder="1" applyAlignment="1" applyProtection="1">
      <alignment horizontal="left" vertical="top"/>
    </xf>
    <xf numFmtId="0" fontId="0" fillId="2" borderId="35" xfId="0" applyFill="1" applyBorder="1" applyAlignment="1" applyProtection="1">
      <alignment horizontal="center" vertical="top"/>
    </xf>
    <xf numFmtId="164" fontId="0" fillId="3" borderId="35" xfId="0" applyNumberFormat="1" applyFill="1" applyBorder="1" applyAlignment="1" applyProtection="1">
      <alignment horizontal="center" vertical="top"/>
    </xf>
    <xf numFmtId="1" fontId="0" fillId="2" borderId="35" xfId="0" applyNumberFormat="1" applyFill="1" applyBorder="1" applyAlignment="1" applyProtection="1">
      <alignment horizontal="center" vertical="top"/>
      <protection locked="0"/>
    </xf>
    <xf numFmtId="164" fontId="0" fillId="2" borderId="35" xfId="0" applyNumberFormat="1" applyFill="1" applyBorder="1" applyAlignment="1" applyProtection="1">
      <alignment horizontal="center" vertical="top"/>
    </xf>
    <xf numFmtId="164" fontId="0" fillId="2" borderId="37" xfId="0" applyNumberFormat="1" applyFill="1" applyBorder="1" applyAlignment="1" applyProtection="1">
      <alignment horizontal="center" vertical="top"/>
    </xf>
    <xf numFmtId="0" fontId="3" fillId="4" borderId="22" xfId="2" applyFont="1" applyFill="1" applyBorder="1" applyAlignment="1" applyProtection="1">
      <alignment horizontal="center" wrapText="1"/>
    </xf>
    <xf numFmtId="2" fontId="4" fillId="4" borderId="22" xfId="2" applyNumberFormat="1" applyFont="1" applyFill="1" applyBorder="1" applyAlignment="1" applyProtection="1">
      <alignment horizontal="center" wrapText="1"/>
    </xf>
    <xf numFmtId="164" fontId="3" fillId="4" borderId="22" xfId="2" applyNumberFormat="1" applyFont="1" applyFill="1" applyBorder="1" applyAlignment="1" applyProtection="1">
      <alignment horizontal="center" wrapText="1"/>
    </xf>
    <xf numFmtId="0" fontId="13" fillId="4" borderId="7" xfId="0" applyFont="1" applyFill="1" applyBorder="1" applyAlignment="1" applyProtection="1">
      <alignment vertical="top"/>
    </xf>
    <xf numFmtId="0" fontId="0" fillId="4" borderId="7" xfId="0" applyFill="1" applyBorder="1" applyAlignment="1" applyProtection="1">
      <alignment horizontal="left" vertical="top"/>
    </xf>
    <xf numFmtId="0" fontId="40" fillId="4" borderId="9" xfId="0" applyFont="1" applyFill="1" applyBorder="1" applyAlignment="1" applyProtection="1">
      <alignment horizontal="center" wrapText="1"/>
    </xf>
    <xf numFmtId="0" fontId="39" fillId="3" borderId="50" xfId="0" applyFont="1" applyFill="1" applyBorder="1" applyAlignment="1" applyProtection="1">
      <alignment horizontal="center" vertical="top"/>
    </xf>
    <xf numFmtId="0" fontId="39" fillId="3" borderId="39" xfId="0" applyFont="1" applyFill="1" applyBorder="1" applyAlignment="1" applyProtection="1">
      <alignment horizontal="center" vertical="top"/>
    </xf>
    <xf numFmtId="0" fontId="39" fillId="3" borderId="29" xfId="0" applyFont="1" applyFill="1" applyBorder="1" applyAlignment="1" applyProtection="1">
      <alignment horizontal="center" vertical="top"/>
    </xf>
    <xf numFmtId="0" fontId="39" fillId="3" borderId="25" xfId="0" applyFont="1" applyFill="1" applyBorder="1" applyAlignment="1" applyProtection="1">
      <alignment horizontal="center" vertical="top"/>
    </xf>
    <xf numFmtId="0" fontId="12" fillId="5" borderId="0" xfId="5" applyFill="1" applyBorder="1" applyAlignment="1" applyProtection="1">
      <alignment horizontal="left" vertical="top"/>
    </xf>
    <xf numFmtId="0" fontId="21" fillId="5" borderId="0" xfId="5" applyFont="1" applyFill="1" applyBorder="1" applyAlignment="1" applyProtection="1">
      <alignment horizontal="left" vertical="top"/>
    </xf>
    <xf numFmtId="0" fontId="12" fillId="2" borderId="0" xfId="5" applyFill="1" applyBorder="1" applyAlignment="1" applyProtection="1">
      <alignment horizontal="left" vertical="top"/>
    </xf>
    <xf numFmtId="0" fontId="21" fillId="2" borderId="0" xfId="5" applyFont="1" applyFill="1" applyBorder="1" applyAlignment="1" applyProtection="1">
      <alignment horizontal="left" vertical="top"/>
    </xf>
    <xf numFmtId="14" fontId="11" fillId="3" borderId="0" xfId="5" applyNumberFormat="1" applyFont="1" applyFill="1" applyBorder="1" applyAlignment="1" applyProtection="1">
      <alignment vertical="top"/>
    </xf>
    <xf numFmtId="0" fontId="10" fillId="2" borderId="0" xfId="5" applyFont="1" applyFill="1" applyBorder="1" applyAlignment="1" applyProtection="1">
      <alignment horizontal="left" vertical="top"/>
    </xf>
    <xf numFmtId="0" fontId="10" fillId="3" borderId="0" xfId="5" applyFont="1" applyFill="1" applyBorder="1" applyAlignment="1" applyProtection="1">
      <alignment horizontal="left" vertical="top"/>
    </xf>
    <xf numFmtId="0" fontId="12" fillId="2" borderId="0" xfId="5" applyFill="1" applyBorder="1" applyAlignment="1" applyProtection="1">
      <alignment horizontal="left" vertical="center"/>
    </xf>
    <xf numFmtId="0" fontId="22" fillId="2" borderId="0" xfId="5" applyFont="1" applyFill="1" applyBorder="1" applyAlignment="1" applyProtection="1">
      <alignment horizontal="left" vertical="center"/>
    </xf>
    <xf numFmtId="0" fontId="12" fillId="3" borderId="0" xfId="5" applyFill="1" applyBorder="1" applyAlignment="1" applyProtection="1">
      <alignment horizontal="left" vertical="center"/>
    </xf>
    <xf numFmtId="0" fontId="34" fillId="2" borderId="0" xfId="5" applyFont="1" applyFill="1" applyBorder="1" applyAlignment="1" applyProtection="1">
      <alignment horizontal="left" vertical="center"/>
    </xf>
    <xf numFmtId="0" fontId="24" fillId="2" borderId="0" xfId="5" applyFont="1" applyFill="1" applyBorder="1" applyAlignment="1" applyProtection="1">
      <alignment horizontal="left" vertical="top"/>
    </xf>
    <xf numFmtId="0" fontId="14" fillId="5" borderId="0" xfId="5" applyFont="1" applyFill="1" applyBorder="1" applyAlignment="1" applyProtection="1">
      <alignment horizontal="center" vertical="top"/>
    </xf>
    <xf numFmtId="0" fontId="25" fillId="2" borderId="0" xfId="5" applyFont="1" applyFill="1" applyBorder="1" applyAlignment="1" applyProtection="1">
      <alignment horizontal="left" vertical="top"/>
    </xf>
    <xf numFmtId="0" fontId="26" fillId="2" borderId="0" xfId="5" applyFont="1" applyFill="1" applyBorder="1" applyAlignment="1" applyProtection="1">
      <alignment horizontal="right" vertical="top"/>
    </xf>
    <xf numFmtId="0" fontId="10" fillId="2" borderId="0" xfId="5" applyFont="1" applyFill="1" applyBorder="1" applyAlignment="1" applyProtection="1">
      <alignment horizontal="right" vertical="top"/>
    </xf>
    <xf numFmtId="0" fontId="15" fillId="5" borderId="0" xfId="5" applyFont="1" applyFill="1" applyBorder="1" applyAlignment="1" applyProtection="1">
      <alignment horizontal="left" vertical="top"/>
    </xf>
    <xf numFmtId="0" fontId="27" fillId="2" borderId="0" xfId="5" applyFont="1" applyFill="1" applyBorder="1" applyAlignment="1" applyProtection="1">
      <alignment horizontal="right" vertical="top"/>
    </xf>
    <xf numFmtId="0" fontId="28" fillId="2" borderId="0" xfId="5" applyFont="1" applyFill="1" applyBorder="1" applyAlignment="1" applyProtection="1">
      <alignment horizontal="right" vertical="top"/>
    </xf>
    <xf numFmtId="0" fontId="29" fillId="2" borderId="0" xfId="5" applyFont="1" applyFill="1" applyBorder="1" applyAlignment="1" applyProtection="1">
      <alignment horizontal="left" vertical="top"/>
    </xf>
    <xf numFmtId="0" fontId="23" fillId="2" borderId="0" xfId="5" applyFont="1" applyFill="1" applyBorder="1" applyAlignment="1" applyProtection="1">
      <alignment horizontal="left" vertical="top"/>
    </xf>
    <xf numFmtId="0" fontId="30" fillId="2" borderId="0" xfId="5" applyFont="1" applyFill="1" applyBorder="1" applyAlignment="1" applyProtection="1">
      <alignment horizontal="left" vertical="top"/>
    </xf>
    <xf numFmtId="0" fontId="21" fillId="2" borderId="0" xfId="5" applyFont="1" applyFill="1" applyBorder="1" applyAlignment="1" applyProtection="1">
      <alignment horizontal="center" vertical="top"/>
    </xf>
    <xf numFmtId="0" fontId="12" fillId="2" borderId="0" xfId="5" applyFont="1" applyFill="1" applyBorder="1" applyAlignment="1" applyProtection="1">
      <alignment horizontal="left" vertical="top"/>
    </xf>
    <xf numFmtId="0" fontId="37" fillId="2" borderId="0" xfId="5" applyFont="1" applyFill="1" applyBorder="1" applyAlignment="1" applyProtection="1">
      <alignment horizontal="left"/>
    </xf>
    <xf numFmtId="0" fontId="34" fillId="2" borderId="0" xfId="5" applyFont="1" applyFill="1" applyBorder="1" applyAlignment="1" applyProtection="1">
      <alignment horizontal="left" vertical="top"/>
    </xf>
    <xf numFmtId="0" fontId="12" fillId="2" borderId="0" xfId="5" applyFill="1" applyBorder="1" applyAlignment="1" applyProtection="1">
      <alignment horizontal="left"/>
    </xf>
    <xf numFmtId="0" fontId="32" fillId="2" borderId="0" xfId="5" applyFont="1" applyFill="1" applyBorder="1" applyAlignment="1" applyProtection="1">
      <alignment horizontal="left"/>
    </xf>
    <xf numFmtId="0" fontId="10" fillId="2" borderId="0" xfId="5" applyFont="1" applyFill="1" applyBorder="1" applyAlignment="1" applyProtection="1">
      <alignment horizontal="left"/>
    </xf>
    <xf numFmtId="0" fontId="12" fillId="2" borderId="0" xfId="5" applyFont="1" applyFill="1" applyBorder="1" applyAlignment="1" applyProtection="1">
      <alignment horizontal="left"/>
    </xf>
    <xf numFmtId="0" fontId="16" fillId="5" borderId="0" xfId="5" applyFont="1" applyFill="1" applyBorder="1" applyAlignment="1" applyProtection="1">
      <alignment horizontal="left" vertical="top"/>
    </xf>
    <xf numFmtId="0" fontId="33" fillId="2" borderId="0" xfId="5" applyFont="1" applyFill="1" applyBorder="1" applyAlignment="1" applyProtection="1">
      <alignment horizontal="left" vertical="top"/>
    </xf>
    <xf numFmtId="0" fontId="12" fillId="3" borderId="0" xfId="5" applyFill="1" applyBorder="1" applyAlignment="1" applyProtection="1">
      <alignment horizontal="left" vertical="top"/>
    </xf>
    <xf numFmtId="0" fontId="15" fillId="2" borderId="47" xfId="0" applyFont="1" applyFill="1" applyBorder="1" applyAlignment="1" applyProtection="1">
      <alignment vertical="top"/>
    </xf>
    <xf numFmtId="0" fontId="15" fillId="2" borderId="7" xfId="0" applyFont="1" applyFill="1" applyBorder="1" applyAlignment="1" applyProtection="1">
      <alignment vertical="top"/>
    </xf>
    <xf numFmtId="0" fontId="16" fillId="2" borderId="47" xfId="0" applyFont="1" applyFill="1" applyBorder="1" applyAlignment="1" applyProtection="1">
      <alignment vertical="top"/>
    </xf>
    <xf numFmtId="0" fontId="16" fillId="2" borderId="7" xfId="0" applyFont="1" applyFill="1" applyBorder="1" applyAlignment="1" applyProtection="1">
      <alignment vertical="top"/>
    </xf>
    <xf numFmtId="0" fontId="15" fillId="2" borderId="7" xfId="0" applyFont="1" applyFill="1" applyBorder="1" applyAlignment="1" applyProtection="1">
      <alignment horizontal="left" vertical="top"/>
    </xf>
    <xf numFmtId="165" fontId="0" fillId="2" borderId="19" xfId="0" applyNumberFormat="1" applyFill="1" applyBorder="1" applyAlignment="1" applyProtection="1">
      <alignment horizontal="center" vertical="top"/>
    </xf>
    <xf numFmtId="165" fontId="0" fillId="2" borderId="1" xfId="0" applyNumberFormat="1" applyFill="1" applyBorder="1" applyAlignment="1" applyProtection="1">
      <alignment horizontal="center" vertical="top"/>
    </xf>
    <xf numFmtId="165" fontId="0" fillId="2" borderId="35" xfId="0" applyNumberFormat="1" applyFill="1" applyBorder="1" applyAlignment="1" applyProtection="1">
      <alignment horizontal="center" vertical="top"/>
    </xf>
    <xf numFmtId="0" fontId="10" fillId="4" borderId="12" xfId="0" applyFont="1" applyFill="1" applyBorder="1" applyAlignment="1" applyProtection="1">
      <alignment horizontal="center" vertical="top"/>
    </xf>
    <xf numFmtId="0" fontId="10" fillId="4" borderId="15" xfId="0" applyFont="1" applyFill="1" applyBorder="1" applyAlignment="1" applyProtection="1">
      <alignment horizontal="center" vertical="top"/>
    </xf>
    <xf numFmtId="164" fontId="0" fillId="7" borderId="12" xfId="0" applyNumberFormat="1" applyFill="1" applyBorder="1" applyAlignment="1" applyProtection="1">
      <alignment horizontal="left" vertical="top"/>
    </xf>
    <xf numFmtId="164" fontId="0" fillId="7" borderId="24" xfId="0" applyNumberFormat="1" applyFill="1" applyBorder="1" applyAlignment="1" applyProtection="1">
      <alignment horizontal="left" vertical="top"/>
    </xf>
    <xf numFmtId="164" fontId="0" fillId="7" borderId="15" xfId="0" applyNumberFormat="1" applyFill="1" applyBorder="1" applyAlignment="1" applyProtection="1">
      <alignment horizontal="left" vertical="top"/>
    </xf>
    <xf numFmtId="164" fontId="10" fillId="3" borderId="51" xfId="0" applyNumberFormat="1" applyFont="1" applyFill="1" applyBorder="1" applyAlignment="1" applyProtection="1">
      <alignment horizontal="center" vertical="top"/>
    </xf>
    <xf numFmtId="164" fontId="10" fillId="3" borderId="52" xfId="0" applyNumberFormat="1" applyFont="1" applyFill="1" applyBorder="1" applyAlignment="1" applyProtection="1">
      <alignment horizontal="center" vertical="top"/>
    </xf>
    <xf numFmtId="164" fontId="10" fillId="3" borderId="53" xfId="0" applyNumberFormat="1" applyFont="1" applyFill="1" applyBorder="1" applyAlignment="1" applyProtection="1">
      <alignment horizontal="center" vertical="top"/>
    </xf>
    <xf numFmtId="164" fontId="10" fillId="6" borderId="6" xfId="0" applyNumberFormat="1" applyFont="1" applyFill="1" applyBorder="1" applyAlignment="1" applyProtection="1">
      <alignment horizontal="center" vertical="top"/>
    </xf>
    <xf numFmtId="0" fontId="1" fillId="3" borderId="0" xfId="1" applyFill="1" applyBorder="1" applyAlignment="1" applyProtection="1">
      <alignment horizontal="center"/>
    </xf>
    <xf numFmtId="0" fontId="1" fillId="3" borderId="49" xfId="1" applyFill="1" applyBorder="1" applyProtection="1"/>
    <xf numFmtId="0" fontId="9" fillId="3" borderId="54" xfId="1" applyFont="1" applyFill="1" applyBorder="1" applyAlignment="1" applyProtection="1"/>
    <xf numFmtId="0" fontId="1" fillId="3" borderId="55" xfId="1" applyFill="1" applyBorder="1" applyAlignment="1" applyProtection="1">
      <alignment horizontal="center"/>
    </xf>
    <xf numFmtId="0" fontId="1" fillId="3" borderId="55" xfId="1" applyFill="1" applyBorder="1" applyProtection="1"/>
    <xf numFmtId="164" fontId="1" fillId="3" borderId="55" xfId="1" applyNumberFormat="1" applyFill="1" applyBorder="1" applyAlignment="1" applyProtection="1">
      <alignment horizontal="center"/>
    </xf>
    <xf numFmtId="164" fontId="1" fillId="0" borderId="55" xfId="1" applyNumberFormat="1" applyBorder="1" applyAlignment="1" applyProtection="1">
      <alignment horizontal="center"/>
    </xf>
    <xf numFmtId="0" fontId="1" fillId="3" borderId="56" xfId="1" applyFill="1" applyBorder="1" applyProtection="1"/>
    <xf numFmtId="0" fontId="9" fillId="5" borderId="0" xfId="1" applyFont="1" applyFill="1" applyBorder="1" applyAlignment="1" applyProtection="1"/>
    <xf numFmtId="0" fontId="1" fillId="5" borderId="0" xfId="1" applyFill="1" applyBorder="1" applyAlignment="1" applyProtection="1">
      <alignment horizontal="center"/>
    </xf>
    <xf numFmtId="164" fontId="1" fillId="5" borderId="0" xfId="1" applyNumberFormat="1" applyFill="1" applyBorder="1" applyAlignment="1" applyProtection="1">
      <alignment horizontal="center"/>
    </xf>
    <xf numFmtId="0" fontId="0" fillId="5" borderId="48" xfId="0" applyFill="1" applyBorder="1" applyAlignment="1" applyProtection="1">
      <alignment horizontal="left" vertical="top"/>
    </xf>
    <xf numFmtId="0" fontId="14" fillId="5" borderId="48" xfId="0" applyFont="1" applyFill="1" applyBorder="1" applyAlignment="1" applyProtection="1">
      <alignment horizontal="center" vertical="top"/>
    </xf>
    <xf numFmtId="0" fontId="3" fillId="5" borderId="48" xfId="2" applyFont="1" applyFill="1" applyBorder="1" applyAlignment="1" applyProtection="1">
      <alignment horizontal="center" wrapText="1"/>
    </xf>
    <xf numFmtId="0" fontId="15" fillId="5" borderId="48" xfId="0" applyFont="1" applyFill="1" applyBorder="1" applyAlignment="1" applyProtection="1">
      <alignment horizontal="left" vertical="top"/>
    </xf>
    <xf numFmtId="0" fontId="16" fillId="5" borderId="48" xfId="0" applyFont="1" applyFill="1" applyBorder="1" applyAlignment="1" applyProtection="1">
      <alignment horizontal="left" vertical="top"/>
    </xf>
    <xf numFmtId="0" fontId="1" fillId="5" borderId="48" xfId="1" applyFill="1" applyBorder="1" applyProtection="1"/>
    <xf numFmtId="0" fontId="15" fillId="2" borderId="41" xfId="0" applyFont="1" applyFill="1" applyBorder="1" applyAlignment="1" applyProtection="1">
      <alignment vertical="top"/>
    </xf>
    <xf numFmtId="0" fontId="15" fillId="2" borderId="16" xfId="0" applyFont="1" applyFill="1" applyBorder="1" applyAlignment="1" applyProtection="1">
      <alignment vertical="top"/>
    </xf>
    <xf numFmtId="0" fontId="0" fillId="3" borderId="40" xfId="0" applyFill="1" applyBorder="1" applyAlignment="1" applyProtection="1">
      <alignment horizontal="left" vertical="top"/>
    </xf>
    <xf numFmtId="0" fontId="0" fillId="3" borderId="13" xfId="0" applyFill="1" applyBorder="1" applyAlignment="1" applyProtection="1">
      <alignment horizontal="center" vertical="top"/>
    </xf>
    <xf numFmtId="164" fontId="0" fillId="3" borderId="13" xfId="0" applyNumberFormat="1" applyFill="1" applyBorder="1" applyAlignment="1" applyProtection="1">
      <alignment horizontal="center" vertical="top"/>
    </xf>
    <xf numFmtId="164" fontId="0" fillId="2" borderId="13" xfId="0" applyNumberFormat="1" applyFill="1" applyBorder="1" applyAlignment="1" applyProtection="1">
      <alignment horizontal="center" vertical="top"/>
    </xf>
    <xf numFmtId="0" fontId="0" fillId="3" borderId="13" xfId="0" applyFill="1" applyBorder="1" applyAlignment="1" applyProtection="1">
      <alignment horizontal="left" vertical="top"/>
    </xf>
    <xf numFmtId="0" fontId="12" fillId="3" borderId="0" xfId="0" applyFont="1" applyFill="1" applyBorder="1" applyAlignment="1" applyProtection="1">
      <alignment horizontal="center" vertical="top" wrapText="1"/>
    </xf>
    <xf numFmtId="0" fontId="12" fillId="3" borderId="48" xfId="0" applyFont="1" applyFill="1" applyBorder="1" applyAlignment="1" applyProtection="1">
      <alignment horizontal="center" vertical="top" wrapText="1"/>
    </xf>
    <xf numFmtId="0" fontId="15" fillId="2" borderId="7" xfId="0" applyFont="1" applyFill="1" applyBorder="1" applyAlignment="1" applyProtection="1">
      <alignment horizontal="center" vertical="top"/>
    </xf>
    <xf numFmtId="0" fontId="43" fillId="5" borderId="0" xfId="0" applyFont="1" applyFill="1" applyBorder="1" applyAlignment="1" applyProtection="1">
      <alignment horizontal="center" vertical="top"/>
    </xf>
    <xf numFmtId="0" fontId="40" fillId="3" borderId="0" xfId="0" applyFont="1" applyFill="1" applyBorder="1" applyAlignment="1" applyProtection="1">
      <alignment horizontal="center" vertical="top"/>
    </xf>
    <xf numFmtId="0" fontId="43" fillId="3" borderId="0" xfId="0" applyFont="1" applyFill="1" applyBorder="1" applyAlignment="1" applyProtection="1">
      <alignment horizontal="center" vertical="top"/>
    </xf>
    <xf numFmtId="0" fontId="44" fillId="3" borderId="22" xfId="2" applyFont="1" applyFill="1" applyBorder="1" applyAlignment="1" applyProtection="1">
      <alignment horizontal="center" wrapText="1"/>
    </xf>
    <xf numFmtId="0" fontId="43" fillId="3" borderId="13" xfId="0" applyFont="1" applyFill="1" applyBorder="1" applyAlignment="1" applyProtection="1">
      <alignment horizontal="center" vertical="top"/>
    </xf>
    <xf numFmtId="0" fontId="43" fillId="3" borderId="19" xfId="0" applyFont="1" applyFill="1" applyBorder="1" applyAlignment="1" applyProtection="1">
      <alignment horizontal="center" vertical="top"/>
    </xf>
    <xf numFmtId="0" fontId="43" fillId="3" borderId="19" xfId="0" applyFont="1" applyFill="1" applyBorder="1" applyAlignment="1" applyProtection="1">
      <alignment horizontal="left" vertical="top"/>
    </xf>
    <xf numFmtId="0" fontId="43" fillId="3" borderId="1" xfId="0" applyFont="1" applyFill="1" applyBorder="1" applyAlignment="1" applyProtection="1">
      <alignment horizontal="center" vertical="top"/>
    </xf>
    <xf numFmtId="0" fontId="43" fillId="3" borderId="1" xfId="0" applyFont="1" applyFill="1" applyBorder="1" applyAlignment="1" applyProtection="1">
      <alignment horizontal="left" vertical="top"/>
    </xf>
    <xf numFmtId="0" fontId="43" fillId="3" borderId="35" xfId="0" applyFont="1" applyFill="1" applyBorder="1" applyAlignment="1" applyProtection="1">
      <alignment horizontal="center" vertical="top"/>
    </xf>
    <xf numFmtId="0" fontId="43" fillId="3" borderId="35" xfId="0" applyFont="1" applyFill="1" applyBorder="1" applyAlignment="1" applyProtection="1">
      <alignment horizontal="left" vertical="top"/>
    </xf>
    <xf numFmtId="0" fontId="45" fillId="3" borderId="0" xfId="1" applyFont="1" applyFill="1" applyAlignment="1" applyProtection="1">
      <alignment horizontal="center"/>
    </xf>
    <xf numFmtId="0" fontId="45" fillId="3" borderId="0" xfId="1" applyFont="1" applyFill="1" applyBorder="1" applyAlignment="1" applyProtection="1">
      <alignment horizontal="center"/>
    </xf>
    <xf numFmtId="0" fontId="45" fillId="3" borderId="55" xfId="1" applyFont="1" applyFill="1" applyBorder="1" applyAlignment="1" applyProtection="1">
      <alignment horizontal="center"/>
    </xf>
    <xf numFmtId="0" fontId="45" fillId="5" borderId="0" xfId="1" applyFont="1" applyFill="1" applyBorder="1" applyAlignment="1" applyProtection="1">
      <alignment horizontal="center"/>
    </xf>
    <xf numFmtId="1" fontId="39" fillId="3" borderId="50" xfId="0" applyNumberFormat="1" applyFont="1" applyFill="1" applyBorder="1" applyAlignment="1" applyProtection="1">
      <alignment horizontal="center" vertical="top"/>
    </xf>
    <xf numFmtId="0" fontId="44" fillId="4" borderId="46" xfId="2" applyNumberFormat="1" applyFont="1" applyFill="1" applyBorder="1" applyAlignment="1" applyProtection="1">
      <alignment horizontal="center" wrapText="1"/>
    </xf>
    <xf numFmtId="0" fontId="44" fillId="4" borderId="22" xfId="2" applyFont="1" applyFill="1" applyBorder="1" applyAlignment="1" applyProtection="1">
      <alignment horizontal="center" wrapText="1"/>
    </xf>
    <xf numFmtId="164" fontId="44" fillId="4" borderId="22" xfId="2" applyNumberFormat="1" applyFont="1" applyFill="1" applyBorder="1" applyAlignment="1" applyProtection="1">
      <alignment horizontal="center" wrapText="1"/>
    </xf>
    <xf numFmtId="0" fontId="13" fillId="3" borderId="0" xfId="0" applyFont="1" applyFill="1" applyBorder="1" applyAlignment="1" applyProtection="1">
      <alignment horizontal="center" vertical="top"/>
    </xf>
    <xf numFmtId="164" fontId="13" fillId="3" borderId="16" xfId="0" applyNumberFormat="1" applyFont="1" applyFill="1" applyBorder="1" applyAlignment="1" applyProtection="1">
      <alignment horizontal="center" vertical="top"/>
    </xf>
    <xf numFmtId="164" fontId="13" fillId="3" borderId="16" xfId="0" applyNumberFormat="1" applyFont="1" applyFill="1" applyBorder="1" applyAlignment="1" applyProtection="1">
      <alignment vertical="top"/>
    </xf>
    <xf numFmtId="0" fontId="48" fillId="2" borderId="0" xfId="5" applyFont="1" applyFill="1" applyBorder="1" applyAlignment="1" applyProtection="1">
      <alignment horizontal="left" vertical="top"/>
    </xf>
    <xf numFmtId="0" fontId="12" fillId="5" borderId="0" xfId="5" applyFill="1" applyBorder="1" applyAlignment="1" applyProtection="1">
      <alignment horizontal="left" vertical="center"/>
    </xf>
    <xf numFmtId="0" fontId="24" fillId="2" borderId="0" xfId="5" applyFont="1" applyFill="1" applyBorder="1" applyAlignment="1" applyProtection="1">
      <alignment horizontal="left" vertical="center"/>
    </xf>
    <xf numFmtId="164" fontId="1" fillId="3" borderId="0" xfId="1" applyNumberFormat="1" applyFont="1" applyFill="1" applyBorder="1" applyAlignment="1" applyProtection="1">
      <alignment horizontal="center"/>
    </xf>
    <xf numFmtId="164" fontId="1" fillId="3" borderId="55" xfId="1" applyNumberFormat="1" applyFont="1" applyFill="1" applyBorder="1" applyAlignment="1" applyProtection="1">
      <alignment horizontal="center"/>
    </xf>
    <xf numFmtId="164" fontId="1" fillId="5" borderId="0" xfId="1" applyNumberFormat="1" applyFont="1" applyFill="1" applyBorder="1" applyAlignment="1" applyProtection="1">
      <alignment horizontal="center"/>
    </xf>
    <xf numFmtId="0" fontId="43" fillId="3" borderId="19" xfId="0" applyNumberFormat="1" applyFont="1" applyFill="1" applyBorder="1" applyAlignment="1" applyProtection="1">
      <alignment horizontal="center" vertical="top"/>
    </xf>
    <xf numFmtId="0" fontId="43" fillId="3" borderId="1" xfId="0" applyNumberFormat="1" applyFont="1" applyFill="1" applyBorder="1" applyAlignment="1" applyProtection="1">
      <alignment horizontal="center" vertical="top"/>
    </xf>
    <xf numFmtId="0" fontId="43" fillId="3" borderId="35" xfId="0" applyNumberFormat="1" applyFont="1" applyFill="1" applyBorder="1" applyAlignment="1" applyProtection="1">
      <alignment horizontal="center" vertical="top"/>
    </xf>
    <xf numFmtId="0" fontId="15" fillId="2" borderId="7" xfId="0" applyNumberFormat="1" applyFont="1" applyFill="1" applyBorder="1" applyAlignment="1" applyProtection="1">
      <alignment vertical="top"/>
    </xf>
    <xf numFmtId="0" fontId="24" fillId="2" borderId="0" xfId="5" applyFont="1" applyFill="1" applyBorder="1" applyAlignment="1" applyProtection="1">
      <alignment horizontal="right" vertical="center"/>
    </xf>
    <xf numFmtId="0" fontId="43" fillId="3" borderId="57" xfId="0" applyNumberFormat="1" applyFont="1" applyFill="1" applyBorder="1" applyAlignment="1" applyProtection="1">
      <alignment horizontal="center" vertical="top"/>
    </xf>
    <xf numFmtId="0" fontId="43" fillId="3" borderId="57" xfId="0" applyFont="1" applyFill="1" applyBorder="1" applyAlignment="1" applyProtection="1">
      <alignment horizontal="left" vertical="top"/>
    </xf>
    <xf numFmtId="0" fontId="43" fillId="3" borderId="57" xfId="0" applyFont="1" applyFill="1" applyBorder="1" applyAlignment="1" applyProtection="1">
      <alignment horizontal="center" vertical="top"/>
    </xf>
    <xf numFmtId="1" fontId="12" fillId="2" borderId="57" xfId="0" applyNumberFormat="1" applyFont="1" applyFill="1" applyBorder="1" applyAlignment="1" applyProtection="1">
      <alignment horizontal="center" vertical="top"/>
      <protection locked="0"/>
    </xf>
    <xf numFmtId="0" fontId="39" fillId="3" borderId="58" xfId="0" applyFont="1" applyFill="1" applyBorder="1" applyAlignment="1" applyProtection="1">
      <alignment horizontal="center" vertical="top"/>
    </xf>
    <xf numFmtId="0" fontId="0" fillId="3" borderId="44" xfId="0" applyFill="1" applyBorder="1" applyAlignment="1" applyProtection="1">
      <alignment horizontal="left" vertical="top"/>
    </xf>
    <xf numFmtId="165" fontId="0" fillId="3" borderId="1" xfId="0" applyNumberFormat="1" applyFill="1" applyBorder="1" applyAlignment="1" applyProtection="1">
      <alignment horizontal="center" vertical="top"/>
    </xf>
    <xf numFmtId="1" fontId="10" fillId="3" borderId="11" xfId="0" applyNumberFormat="1" applyFont="1" applyFill="1" applyBorder="1" applyAlignment="1" applyProtection="1">
      <alignment horizontal="center" vertical="center"/>
    </xf>
    <xf numFmtId="0" fontId="43" fillId="3" borderId="0" xfId="0" applyFont="1" applyFill="1" applyBorder="1" applyAlignment="1" applyProtection="1">
      <alignment horizontal="center" vertical="top" wrapText="1"/>
    </xf>
    <xf numFmtId="165" fontId="43" fillId="2" borderId="19" xfId="0" applyNumberFormat="1" applyFont="1" applyFill="1" applyBorder="1" applyAlignment="1" applyProtection="1">
      <alignment horizontal="center" vertical="top"/>
    </xf>
    <xf numFmtId="165" fontId="43" fillId="2" borderId="1" xfId="0" applyNumberFormat="1" applyFont="1" applyFill="1" applyBorder="1" applyAlignment="1" applyProtection="1">
      <alignment horizontal="center" vertical="top"/>
    </xf>
    <xf numFmtId="165" fontId="43" fillId="3" borderId="57" xfId="0" applyNumberFormat="1" applyFont="1" applyFill="1" applyBorder="1" applyAlignment="1" applyProtection="1">
      <alignment horizontal="center" vertical="top"/>
    </xf>
    <xf numFmtId="165" fontId="43" fillId="2" borderId="35" xfId="0" applyNumberFormat="1" applyFont="1" applyFill="1" applyBorder="1" applyAlignment="1" applyProtection="1">
      <alignment horizontal="center" vertical="top"/>
    </xf>
    <xf numFmtId="0" fontId="43" fillId="2" borderId="19" xfId="0" applyNumberFormat="1" applyFont="1" applyFill="1" applyBorder="1" applyAlignment="1" applyProtection="1">
      <alignment horizontal="center" vertical="top"/>
    </xf>
    <xf numFmtId="0" fontId="43" fillId="2" borderId="1" xfId="0" applyNumberFormat="1" applyFont="1" applyFill="1" applyBorder="1" applyAlignment="1" applyProtection="1">
      <alignment horizontal="center" vertical="top"/>
    </xf>
    <xf numFmtId="0" fontId="43" fillId="2" borderId="35" xfId="0" applyNumberFormat="1" applyFont="1" applyFill="1" applyBorder="1" applyAlignment="1" applyProtection="1">
      <alignment horizontal="center" vertical="top"/>
    </xf>
    <xf numFmtId="0" fontId="22" fillId="2" borderId="0" xfId="5" applyFont="1" applyFill="1" applyBorder="1" applyAlignment="1" applyProtection="1">
      <alignment horizontal="right" vertical="top"/>
      <protection locked="0"/>
    </xf>
    <xf numFmtId="164" fontId="1" fillId="0" borderId="55" xfId="1" applyNumberFormat="1" applyFont="1" applyBorder="1" applyAlignment="1" applyProtection="1">
      <alignment horizontal="center"/>
    </xf>
    <xf numFmtId="164" fontId="1" fillId="0" borderId="0" xfId="1" applyNumberFormat="1" applyFont="1" applyBorder="1" applyAlignment="1" applyProtection="1">
      <alignment horizontal="center"/>
    </xf>
    <xf numFmtId="164" fontId="1" fillId="3" borderId="0" xfId="1" applyNumberFormat="1" applyFont="1" applyFill="1" applyAlignment="1" applyProtection="1">
      <alignment horizontal="center"/>
    </xf>
    <xf numFmtId="0" fontId="31" fillId="8" borderId="0" xfId="5" applyFont="1" applyFill="1" applyBorder="1" applyAlignment="1" applyProtection="1">
      <alignment horizontal="center" vertical="center" wrapText="1"/>
    </xf>
    <xf numFmtId="0" fontId="10" fillId="3" borderId="48" xfId="0" applyFont="1" applyFill="1" applyBorder="1" applyAlignment="1" applyProtection="1">
      <alignment horizontal="right" vertical="top"/>
    </xf>
    <xf numFmtId="0" fontId="10" fillId="3" borderId="0" xfId="0" applyFont="1" applyFill="1" applyBorder="1" applyAlignment="1" applyProtection="1">
      <alignment horizontal="right" vertical="top"/>
    </xf>
    <xf numFmtId="164" fontId="11" fillId="6" borderId="6" xfId="0" applyNumberFormat="1" applyFont="1" applyFill="1" applyBorder="1" applyAlignment="1" applyProtection="1">
      <alignment horizontal="center" vertical="top"/>
    </xf>
    <xf numFmtId="164" fontId="11" fillId="6" borderId="8" xfId="0" applyNumberFormat="1" applyFont="1" applyFill="1" applyBorder="1" applyAlignment="1" applyProtection="1">
      <alignment horizontal="center" vertical="top"/>
    </xf>
    <xf numFmtId="0" fontId="10" fillId="7" borderId="6" xfId="0" applyFont="1" applyFill="1" applyBorder="1" applyAlignment="1" applyProtection="1">
      <alignment horizontal="center" vertical="top"/>
    </xf>
    <xf numFmtId="0" fontId="10" fillId="7" borderId="8" xfId="0" applyFont="1" applyFill="1" applyBorder="1" applyAlignment="1" applyProtection="1">
      <alignment horizontal="center" vertical="top"/>
    </xf>
    <xf numFmtId="0" fontId="10" fillId="7" borderId="7" xfId="0" applyFont="1" applyFill="1" applyBorder="1" applyAlignment="1" applyProtection="1">
      <alignment horizontal="center" vertical="top"/>
    </xf>
    <xf numFmtId="0" fontId="13" fillId="4" borderId="4" xfId="0" applyFont="1" applyFill="1" applyBorder="1" applyAlignment="1" applyProtection="1">
      <alignment horizontal="right" vertical="top"/>
    </xf>
    <xf numFmtId="0" fontId="13" fillId="4" borderId="1" xfId="0" applyFont="1" applyFill="1" applyBorder="1" applyAlignment="1" applyProtection="1">
      <alignment horizontal="right" vertical="top"/>
    </xf>
    <xf numFmtId="0" fontId="13" fillId="4" borderId="20" xfId="0" applyFont="1" applyFill="1" applyBorder="1" applyAlignment="1" applyProtection="1">
      <alignment horizontal="right" vertical="top"/>
    </xf>
    <xf numFmtId="0" fontId="13" fillId="4" borderId="30" xfId="0" applyFont="1" applyFill="1" applyBorder="1" applyAlignment="1" applyProtection="1">
      <alignment horizontal="right" vertical="top"/>
    </xf>
    <xf numFmtId="0" fontId="13" fillId="4" borderId="35" xfId="0" applyFont="1" applyFill="1" applyBorder="1" applyAlignment="1" applyProtection="1">
      <alignment horizontal="right" vertical="top"/>
    </xf>
    <xf numFmtId="0" fontId="13" fillId="4" borderId="36" xfId="0" applyFont="1" applyFill="1" applyBorder="1" applyAlignment="1" applyProtection="1">
      <alignment horizontal="right" vertical="top"/>
    </xf>
    <xf numFmtId="49" fontId="47" fillId="4" borderId="40" xfId="1" applyNumberFormat="1" applyFont="1" applyFill="1" applyBorder="1" applyAlignment="1" applyProtection="1">
      <alignment horizontal="center" vertical="center" wrapText="1"/>
    </xf>
    <xf numFmtId="49" fontId="47" fillId="4" borderId="13" xfId="1" applyNumberFormat="1" applyFont="1" applyFill="1" applyBorder="1" applyAlignment="1" applyProtection="1">
      <alignment horizontal="center" vertical="center" wrapText="1"/>
    </xf>
    <xf numFmtId="49" fontId="47" fillId="4" borderId="41" xfId="1" applyNumberFormat="1" applyFont="1" applyFill="1" applyBorder="1" applyAlignment="1" applyProtection="1">
      <alignment horizontal="center" vertical="center" wrapText="1"/>
    </xf>
    <xf numFmtId="49" fontId="47" fillId="4" borderId="16" xfId="1" applyNumberFormat="1" applyFont="1" applyFill="1" applyBorder="1" applyAlignment="1" applyProtection="1">
      <alignment horizontal="center" vertical="center" wrapText="1"/>
    </xf>
    <xf numFmtId="0" fontId="14" fillId="4" borderId="6" xfId="0" applyFont="1" applyFill="1" applyBorder="1" applyAlignment="1" applyProtection="1">
      <alignment horizontal="center" vertical="center"/>
    </xf>
    <xf numFmtId="0" fontId="14" fillId="4" borderId="7" xfId="0" applyFont="1" applyFill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center" vertical="center"/>
    </xf>
    <xf numFmtId="0" fontId="19" fillId="4" borderId="12" xfId="0" applyFont="1" applyFill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 vertical="center"/>
    </xf>
    <xf numFmtId="0" fontId="19" fillId="4" borderId="14" xfId="0" applyFont="1" applyFill="1" applyBorder="1" applyAlignment="1" applyProtection="1">
      <alignment horizontal="center" vertical="center"/>
    </xf>
    <xf numFmtId="0" fontId="19" fillId="4" borderId="15" xfId="0" applyFont="1" applyFill="1" applyBorder="1" applyAlignment="1" applyProtection="1">
      <alignment horizontal="center" vertical="center"/>
    </xf>
    <xf numFmtId="0" fontId="19" fillId="4" borderId="16" xfId="0" applyFont="1" applyFill="1" applyBorder="1" applyAlignment="1" applyProtection="1">
      <alignment horizontal="center" vertical="center"/>
    </xf>
    <xf numFmtId="0" fontId="19" fillId="4" borderId="17" xfId="0" applyFont="1" applyFill="1" applyBorder="1" applyAlignment="1" applyProtection="1">
      <alignment horizontal="center" vertical="center"/>
    </xf>
    <xf numFmtId="0" fontId="14" fillId="4" borderId="47" xfId="0" applyFont="1" applyFill="1" applyBorder="1" applyAlignment="1" applyProtection="1">
      <alignment horizontal="center" vertical="top"/>
    </xf>
    <xf numFmtId="0" fontId="14" fillId="4" borderId="7" xfId="0" applyFont="1" applyFill="1" applyBorder="1" applyAlignment="1" applyProtection="1">
      <alignment horizontal="center" vertical="top"/>
    </xf>
    <xf numFmtId="0" fontId="13" fillId="4" borderId="21" xfId="0" applyFont="1" applyFill="1" applyBorder="1" applyAlignment="1" applyProtection="1">
      <alignment horizontal="right" vertical="top"/>
    </xf>
    <xf numFmtId="0" fontId="13" fillId="4" borderId="22" xfId="0" applyFont="1" applyFill="1" applyBorder="1" applyAlignment="1" applyProtection="1">
      <alignment horizontal="right" vertical="top"/>
    </xf>
    <xf numFmtId="0" fontId="13" fillId="4" borderId="23" xfId="0" applyFont="1" applyFill="1" applyBorder="1" applyAlignment="1" applyProtection="1">
      <alignment horizontal="right" vertical="top"/>
    </xf>
    <xf numFmtId="0" fontId="13" fillId="4" borderId="18" xfId="0" applyFont="1" applyFill="1" applyBorder="1" applyAlignment="1" applyProtection="1">
      <alignment horizontal="right" vertical="top"/>
    </xf>
    <xf numFmtId="0" fontId="13" fillId="4" borderId="19" xfId="0" applyFont="1" applyFill="1" applyBorder="1" applyAlignment="1" applyProtection="1">
      <alignment horizontal="right" vertical="top"/>
    </xf>
    <xf numFmtId="0" fontId="13" fillId="4" borderId="43" xfId="0" applyFont="1" applyFill="1" applyBorder="1" applyAlignment="1" applyProtection="1">
      <alignment horizontal="right" vertical="top"/>
    </xf>
    <xf numFmtId="0" fontId="10" fillId="3" borderId="25" xfId="0" applyFont="1" applyFill="1" applyBorder="1" applyAlignment="1" applyProtection="1">
      <alignment horizontal="right" vertical="top"/>
    </xf>
    <xf numFmtId="0" fontId="38" fillId="3" borderId="6" xfId="0" applyFont="1" applyFill="1" applyBorder="1" applyAlignment="1" applyProtection="1">
      <alignment horizontal="center" vertical="top"/>
    </xf>
    <xf numFmtId="0" fontId="38" fillId="3" borderId="7" xfId="0" applyFont="1" applyFill="1" applyBorder="1" applyAlignment="1" applyProtection="1">
      <alignment horizontal="center" vertical="top"/>
    </xf>
    <xf numFmtId="0" fontId="39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9" borderId="8" xfId="0" applyNumberFormat="1" applyFont="1" applyFill="1" applyBorder="1" applyAlignment="1" applyProtection="1">
      <alignment horizontal="center" vertical="center" wrapText="1"/>
      <protection locked="0"/>
    </xf>
    <xf numFmtId="10" fontId="46" fillId="3" borderId="6" xfId="0" applyNumberFormat="1" applyFont="1" applyFill="1" applyBorder="1" applyAlignment="1" applyProtection="1">
      <alignment horizontal="center" vertical="center"/>
      <protection locked="0"/>
    </xf>
    <xf numFmtId="10" fontId="46" fillId="3" borderId="8" xfId="0" applyNumberFormat="1" applyFont="1" applyFill="1" applyBorder="1" applyAlignment="1" applyProtection="1">
      <alignment horizontal="center" vertical="center"/>
      <protection locked="0"/>
    </xf>
  </cellXfs>
  <cellStyles count="9">
    <cellStyle name="Comma 2" xfId="3"/>
    <cellStyle name="Currency 2" xfId="4"/>
    <cellStyle name="Currency 3" xfId="6"/>
    <cellStyle name="Normal" xfId="0" builtinId="0"/>
    <cellStyle name="Normal 2" xfId="1"/>
    <cellStyle name="Normal 3" xfId="5"/>
    <cellStyle name="Normal 4" xfId="8"/>
    <cellStyle name="Normal_Sheet1" xfId="2"/>
    <cellStyle name="Percent 2" xfId="7"/>
  </cellStyles>
  <dxfs count="6"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00FF00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10" Type="http://schemas.openxmlformats.org/officeDocument/2006/relationships/image" Target="../media/image17.emf"/><Relationship Id="rId4" Type="http://schemas.openxmlformats.org/officeDocument/2006/relationships/image" Target="../media/image11.emf"/><Relationship Id="rId9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281940</xdr:colOff>
      <xdr:row>22</xdr:row>
      <xdr:rowOff>45721</xdr:rowOff>
    </xdr:from>
    <xdr:to>
      <xdr:col>8</xdr:col>
      <xdr:colOff>1447605</xdr:colOff>
      <xdr:row>43</xdr:row>
      <xdr:rowOff>40006</xdr:rowOff>
    </xdr:to>
    <xdr:pic>
      <xdr:nvPicPr>
        <xdr:cNvPr id="2" name="Picture 1" descr="Capture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8965" y="5541646"/>
          <a:ext cx="1165665" cy="34804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12</xdr:col>
      <xdr:colOff>3656</xdr:colOff>
      <xdr:row>2</xdr:row>
      <xdr:rowOff>552449</xdr:rowOff>
    </xdr:to>
    <xdr:pic>
      <xdr:nvPicPr>
        <xdr:cNvPr id="3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" y="57150"/>
          <a:ext cx="8052281" cy="13334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247650</xdr:colOff>
      <xdr:row>15</xdr:row>
      <xdr:rowOff>171450</xdr:rowOff>
    </xdr:from>
    <xdr:to>
      <xdr:col>12</xdr:col>
      <xdr:colOff>0</xdr:colOff>
      <xdr:row>24</xdr:row>
      <xdr:rowOff>133350</xdr:rowOff>
    </xdr:to>
    <xdr:pic>
      <xdr:nvPicPr>
        <xdr:cNvPr id="4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5850" y="3743325"/>
          <a:ext cx="3209925" cy="22193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247650</xdr:colOff>
      <xdr:row>28</xdr:row>
      <xdr:rowOff>76200</xdr:rowOff>
    </xdr:from>
    <xdr:to>
      <xdr:col>12</xdr:col>
      <xdr:colOff>0</xdr:colOff>
      <xdr:row>44</xdr:row>
      <xdr:rowOff>57150</xdr:rowOff>
    </xdr:to>
    <xdr:pic>
      <xdr:nvPicPr>
        <xdr:cNvPr id="5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895850" y="6572250"/>
          <a:ext cx="3209925" cy="25908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45</xdr:row>
      <xdr:rowOff>333375</xdr:rowOff>
    </xdr:from>
    <xdr:to>
      <xdr:col>11</xdr:col>
      <xdr:colOff>133350</xdr:colOff>
      <xdr:row>50</xdr:row>
      <xdr:rowOff>57150</xdr:rowOff>
    </xdr:to>
    <xdr:pic>
      <xdr:nvPicPr>
        <xdr:cNvPr id="6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675" y="9563100"/>
          <a:ext cx="8020050" cy="10001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247650</xdr:colOff>
      <xdr:row>24</xdr:row>
      <xdr:rowOff>123825</xdr:rowOff>
    </xdr:from>
    <xdr:to>
      <xdr:col>12</xdr:col>
      <xdr:colOff>0</xdr:colOff>
      <xdr:row>28</xdr:row>
      <xdr:rowOff>76200</xdr:rowOff>
    </xdr:to>
    <xdr:pic>
      <xdr:nvPicPr>
        <xdr:cNvPr id="7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895850" y="5953125"/>
          <a:ext cx="3209925" cy="6191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247650</xdr:colOff>
      <xdr:row>3</xdr:row>
      <xdr:rowOff>123825</xdr:rowOff>
    </xdr:from>
    <xdr:to>
      <xdr:col>12</xdr:col>
      <xdr:colOff>0</xdr:colOff>
      <xdr:row>15</xdr:row>
      <xdr:rowOff>171450</xdr:rowOff>
    </xdr:to>
    <xdr:pic>
      <xdr:nvPicPr>
        <xdr:cNvPr id="8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895850" y="1514475"/>
          <a:ext cx="3209925" cy="22288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19274</xdr:colOff>
      <xdr:row>116</xdr:row>
      <xdr:rowOff>7620</xdr:rowOff>
    </xdr:from>
    <xdr:to>
      <xdr:col>0</xdr:col>
      <xdr:colOff>567914</xdr:colOff>
      <xdr:row>117</xdr:row>
      <xdr:rowOff>121920</xdr:rowOff>
    </xdr:to>
    <xdr:pic>
      <xdr:nvPicPr>
        <xdr:cNvPr id="2" name="Picture 8" descr="3M 40 R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74" y="18628995"/>
          <a:ext cx="51054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control" Target="../activeX/activeX7.xml"/><Relationship Id="rId18" Type="http://schemas.openxmlformats.org/officeDocument/2006/relationships/control" Target="../activeX/activeX12.xml"/><Relationship Id="rId26" Type="http://schemas.openxmlformats.org/officeDocument/2006/relationships/control" Target="../activeX/activeX20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5.xml"/><Relationship Id="rId34" Type="http://schemas.openxmlformats.org/officeDocument/2006/relationships/control" Target="../activeX/activeX28.xml"/><Relationship Id="rId7" Type="http://schemas.openxmlformats.org/officeDocument/2006/relationships/control" Target="../activeX/activeX1.x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9.xml"/><Relationship Id="rId33" Type="http://schemas.openxmlformats.org/officeDocument/2006/relationships/control" Target="../activeX/activeX2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0" Type="http://schemas.openxmlformats.org/officeDocument/2006/relationships/control" Target="../activeX/activeX14.xml"/><Relationship Id="rId29" Type="http://schemas.openxmlformats.org/officeDocument/2006/relationships/control" Target="../activeX/activeX23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8.xml"/><Relationship Id="rId32" Type="http://schemas.openxmlformats.org/officeDocument/2006/relationships/control" Target="../activeX/activeX26.xml"/><Relationship Id="rId5" Type="http://schemas.openxmlformats.org/officeDocument/2006/relationships/oleObject" Target="../embeddings/oleObject2.bin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7.xml"/><Relationship Id="rId28" Type="http://schemas.openxmlformats.org/officeDocument/2006/relationships/control" Target="../activeX/activeX22.xml"/><Relationship Id="rId10" Type="http://schemas.openxmlformats.org/officeDocument/2006/relationships/control" Target="../activeX/activeX4.xml"/><Relationship Id="rId19" Type="http://schemas.openxmlformats.org/officeDocument/2006/relationships/control" Target="../activeX/activeX13.xml"/><Relationship Id="rId31" Type="http://schemas.openxmlformats.org/officeDocument/2006/relationships/control" Target="../activeX/activeX25.xml"/><Relationship Id="rId4" Type="http://schemas.openxmlformats.org/officeDocument/2006/relationships/oleObject" Target="../embeddings/oleObject1.bin"/><Relationship Id="rId9" Type="http://schemas.openxmlformats.org/officeDocument/2006/relationships/control" Target="../activeX/activeX3.xml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6.xml"/><Relationship Id="rId27" Type="http://schemas.openxmlformats.org/officeDocument/2006/relationships/control" Target="../activeX/activeX21.xml"/><Relationship Id="rId30" Type="http://schemas.openxmlformats.org/officeDocument/2006/relationships/control" Target="../activeX/activeX2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M69"/>
  <sheetViews>
    <sheetView tabSelected="1" zoomScaleNormal="100" workbookViewId="0">
      <pane ySplit="3" topLeftCell="A4" activePane="bottomLeft" state="frozen"/>
      <selection pane="bottomLeft" activeCell="C7" sqref="C7"/>
    </sheetView>
  </sheetViews>
  <sheetFormatPr defaultRowHeight="12.75"/>
  <cols>
    <col min="1" max="1" width="1" style="118" customWidth="1"/>
    <col min="2" max="2" width="1.6640625" style="118" customWidth="1"/>
    <col min="3" max="3" width="9.83203125" style="119" customWidth="1"/>
    <col min="4" max="4" width="6.5" style="118" customWidth="1"/>
    <col min="5" max="5" width="4.33203125" style="118" customWidth="1"/>
    <col min="6" max="6" width="7.5" style="118" customWidth="1"/>
    <col min="7" max="7" width="10.6640625" style="118" customWidth="1"/>
    <col min="8" max="8" width="8.6640625" style="118" customWidth="1"/>
    <col min="9" max="9" width="31.1640625" style="118" customWidth="1"/>
    <col min="10" max="10" width="10.83203125" style="118" customWidth="1"/>
    <col min="11" max="11" width="47" style="118" customWidth="1"/>
    <col min="12" max="12" width="2.6640625" style="118" customWidth="1"/>
    <col min="13" max="13" width="1" style="118" customWidth="1"/>
    <col min="14" max="15" width="9.33203125" style="118"/>
    <col min="16" max="16" width="9.5" style="118" customWidth="1"/>
    <col min="17" max="16384" width="9.33203125" style="118"/>
  </cols>
  <sheetData>
    <row r="1" spans="1:13" ht="4.5" customHeight="1">
      <c r="A1" s="116"/>
      <c r="B1" s="116"/>
      <c r="C1" s="117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61.5" customHeight="1">
      <c r="A2" s="116"/>
      <c r="M2" s="116"/>
    </row>
    <row r="3" spans="1:13" ht="43.5" customHeight="1">
      <c r="A3" s="116"/>
      <c r="M3" s="116"/>
    </row>
    <row r="4" spans="1:13">
      <c r="A4" s="116"/>
      <c r="C4" s="215" t="s">
        <v>174</v>
      </c>
      <c r="M4" s="116"/>
    </row>
    <row r="5" spans="1:13" ht="12" customHeight="1">
      <c r="A5" s="116"/>
      <c r="C5" s="215" t="s">
        <v>175</v>
      </c>
      <c r="M5" s="116"/>
    </row>
    <row r="6" spans="1:13" ht="12" customHeight="1">
      <c r="A6" s="116"/>
      <c r="M6" s="116"/>
    </row>
    <row r="7" spans="1:13" ht="15.75" customHeight="1">
      <c r="A7" s="116"/>
      <c r="C7" s="242"/>
      <c r="D7" s="120" t="s">
        <v>63</v>
      </c>
      <c r="E7" s="120"/>
      <c r="F7" s="120"/>
      <c r="G7" s="120"/>
      <c r="H7" s="121" t="s">
        <v>64</v>
      </c>
      <c r="I7" s="122"/>
      <c r="M7" s="116"/>
    </row>
    <row r="8" spans="1:13" s="123" customFormat="1" ht="16.5" customHeight="1">
      <c r="A8" s="116"/>
      <c r="C8" s="124" t="s">
        <v>65</v>
      </c>
      <c r="D8" s="125"/>
      <c r="E8" s="125"/>
      <c r="F8" s="125"/>
      <c r="I8" s="125"/>
      <c r="M8" s="116"/>
    </row>
    <row r="9" spans="1:13" s="123" customFormat="1" ht="19.5" customHeight="1">
      <c r="A9" s="216"/>
      <c r="C9" s="126" t="s">
        <v>66</v>
      </c>
      <c r="G9" s="126" t="s">
        <v>336</v>
      </c>
      <c r="J9" s="225" t="s">
        <v>338</v>
      </c>
      <c r="M9" s="216"/>
    </row>
    <row r="10" spans="1:13" s="217" customFormat="1" ht="16.5" customHeight="1">
      <c r="A10" s="216"/>
      <c r="C10" s="126" t="s">
        <v>67</v>
      </c>
      <c r="G10" s="126" t="s">
        <v>337</v>
      </c>
      <c r="J10" s="225"/>
      <c r="M10" s="216"/>
    </row>
    <row r="11" spans="1:13" ht="5.25" customHeight="1">
      <c r="A11" s="128"/>
      <c r="M11" s="128"/>
    </row>
    <row r="12" spans="1:13" ht="15" customHeight="1">
      <c r="A12" s="128"/>
      <c r="C12" s="129" t="s">
        <v>68</v>
      </c>
      <c r="M12" s="128"/>
    </row>
    <row r="13" spans="1:13" ht="16.5" customHeight="1" thickBot="1">
      <c r="A13" s="55"/>
      <c r="C13" s="130" t="s">
        <v>69</v>
      </c>
      <c r="H13" s="131" t="s">
        <v>70</v>
      </c>
      <c r="M13" s="55"/>
    </row>
    <row r="14" spans="1:13" s="127" customFormat="1" ht="15" customHeight="1">
      <c r="A14" s="132"/>
      <c r="C14" s="133" t="s">
        <v>71</v>
      </c>
      <c r="H14" s="134" t="s">
        <v>72</v>
      </c>
      <c r="M14" s="132"/>
    </row>
    <row r="15" spans="1:13" s="127" customFormat="1" ht="15" customHeight="1">
      <c r="A15" s="116"/>
      <c r="C15" s="135"/>
      <c r="M15" s="116"/>
    </row>
    <row r="16" spans="1:13" ht="15" customHeight="1">
      <c r="A16" s="116"/>
      <c r="C16" s="136" t="s">
        <v>176</v>
      </c>
      <c r="M16" s="116"/>
    </row>
    <row r="17" spans="1:13" s="137" customFormat="1" ht="15" customHeight="1">
      <c r="A17" s="116"/>
      <c r="C17" s="135" t="s">
        <v>177</v>
      </c>
      <c r="M17" s="116"/>
    </row>
    <row r="18" spans="1:13" ht="15" customHeight="1">
      <c r="A18" s="116"/>
      <c r="C18" s="136" t="s">
        <v>178</v>
      </c>
      <c r="M18" s="116"/>
    </row>
    <row r="19" spans="1:13" ht="12" customHeight="1">
      <c r="A19" s="116"/>
      <c r="C19" s="138"/>
      <c r="M19" s="116"/>
    </row>
    <row r="20" spans="1:13" ht="12" customHeight="1">
      <c r="A20" s="116"/>
      <c r="C20" s="138"/>
      <c r="M20" s="116"/>
    </row>
    <row r="21" spans="1:13" ht="42" customHeight="1">
      <c r="A21" s="132"/>
      <c r="B21" s="139"/>
      <c r="C21" s="140" t="s">
        <v>180</v>
      </c>
      <c r="M21" s="132"/>
    </row>
    <row r="22" spans="1:13" ht="40.9" customHeight="1">
      <c r="A22" s="116"/>
      <c r="C22" s="246" t="s">
        <v>179</v>
      </c>
      <c r="D22" s="246"/>
      <c r="E22" s="246"/>
      <c r="F22" s="246"/>
      <c r="G22" s="246"/>
      <c r="H22" s="246"/>
      <c r="I22" s="246"/>
      <c r="M22" s="116"/>
    </row>
    <row r="23" spans="1:13" ht="12" customHeight="1">
      <c r="A23" s="116"/>
      <c r="C23" s="139" t="s">
        <v>73</v>
      </c>
      <c r="M23" s="116"/>
    </row>
    <row r="24" spans="1:13" ht="14.25" customHeight="1">
      <c r="A24" s="116"/>
      <c r="C24" s="141" t="s">
        <v>74</v>
      </c>
      <c r="H24" s="121"/>
      <c r="M24" s="116"/>
    </row>
    <row r="25" spans="1:13" s="142" customFormat="1" ht="14.25" customHeight="1">
      <c r="A25" s="116"/>
      <c r="C25" s="143" t="s">
        <v>75</v>
      </c>
      <c r="D25" s="144"/>
      <c r="E25" s="144"/>
      <c r="F25" s="145"/>
      <c r="G25" s="145"/>
      <c r="M25" s="116"/>
    </row>
    <row r="26" spans="1:13" s="142" customFormat="1" ht="14.25" customHeight="1">
      <c r="A26" s="146"/>
      <c r="C26" s="143" t="s">
        <v>76</v>
      </c>
      <c r="D26" s="144"/>
      <c r="E26" s="144"/>
      <c r="F26" s="145"/>
      <c r="G26" s="145"/>
      <c r="M26" s="146"/>
    </row>
    <row r="27" spans="1:13" ht="12" customHeight="1">
      <c r="A27" s="116"/>
      <c r="C27" s="139"/>
      <c r="D27" s="139"/>
      <c r="E27" s="139"/>
      <c r="F27" s="139"/>
      <c r="G27" s="139"/>
      <c r="M27" s="116"/>
    </row>
    <row r="28" spans="1:13" ht="12" customHeight="1">
      <c r="A28" s="116"/>
      <c r="C28" s="139" t="s">
        <v>77</v>
      </c>
      <c r="D28" s="139"/>
      <c r="E28" s="139"/>
      <c r="F28" s="139"/>
      <c r="G28" s="139"/>
      <c r="M28" s="116"/>
    </row>
    <row r="29" spans="1:13" ht="14.25" customHeight="1">
      <c r="A29" s="116"/>
      <c r="C29" s="147" t="s">
        <v>78</v>
      </c>
      <c r="H29" s="121"/>
      <c r="M29" s="116"/>
    </row>
    <row r="30" spans="1:13" s="142" customFormat="1" ht="14.25" customHeight="1">
      <c r="A30" s="116"/>
      <c r="C30" s="143" t="s">
        <v>79</v>
      </c>
      <c r="D30" s="144"/>
      <c r="E30" s="144"/>
      <c r="F30" s="145"/>
      <c r="G30" s="145"/>
      <c r="M30" s="116"/>
    </row>
    <row r="31" spans="1:13" s="142" customFormat="1" ht="14.25" customHeight="1">
      <c r="A31" s="116"/>
      <c r="C31" s="143" t="s">
        <v>80</v>
      </c>
      <c r="D31" s="144"/>
      <c r="E31" s="144"/>
      <c r="F31" s="145"/>
      <c r="G31" s="145"/>
      <c r="M31" s="116"/>
    </row>
    <row r="32" spans="1:13" ht="12" customHeight="1">
      <c r="A32" s="116"/>
      <c r="C32" s="139"/>
      <c r="D32" s="139"/>
      <c r="E32" s="139"/>
      <c r="F32" s="139"/>
      <c r="G32" s="139"/>
      <c r="M32" s="116"/>
    </row>
    <row r="33" spans="1:13" ht="12" customHeight="1">
      <c r="A33" s="116"/>
      <c r="C33" s="139" t="s">
        <v>81</v>
      </c>
      <c r="D33" s="139"/>
      <c r="E33" s="139"/>
      <c r="F33" s="139"/>
      <c r="G33" s="139"/>
      <c r="M33" s="116"/>
    </row>
    <row r="34" spans="1:13" ht="14.25" customHeight="1">
      <c r="A34" s="116"/>
      <c r="C34" s="147" t="s">
        <v>82</v>
      </c>
      <c r="D34" s="139"/>
      <c r="E34" s="139"/>
      <c r="F34" s="139"/>
      <c r="G34" s="139"/>
      <c r="M34" s="116"/>
    </row>
    <row r="35" spans="1:13" ht="14.25" customHeight="1">
      <c r="A35" s="116"/>
      <c r="C35" s="143" t="s">
        <v>79</v>
      </c>
      <c r="D35" s="121"/>
      <c r="E35" s="121"/>
      <c r="F35" s="139"/>
      <c r="G35" s="139"/>
      <c r="M35" s="116"/>
    </row>
    <row r="36" spans="1:13" ht="14.25" customHeight="1">
      <c r="A36" s="116"/>
      <c r="C36" s="143" t="s">
        <v>80</v>
      </c>
      <c r="D36" s="121"/>
      <c r="E36" s="121"/>
      <c r="F36" s="139"/>
      <c r="G36" s="139"/>
      <c r="M36" s="116"/>
    </row>
    <row r="37" spans="1:13" ht="12" customHeight="1">
      <c r="A37" s="146"/>
      <c r="C37" s="139"/>
      <c r="D37" s="139"/>
      <c r="E37" s="139"/>
      <c r="F37" s="139"/>
      <c r="G37" s="139"/>
      <c r="M37" s="146"/>
    </row>
    <row r="38" spans="1:13" ht="12" customHeight="1">
      <c r="A38" s="116"/>
      <c r="C38" s="139" t="s">
        <v>83</v>
      </c>
      <c r="D38" s="139"/>
      <c r="E38" s="139"/>
      <c r="F38" s="139"/>
      <c r="G38" s="139"/>
      <c r="M38" s="116"/>
    </row>
    <row r="39" spans="1:13" ht="14.25" customHeight="1">
      <c r="A39" s="116"/>
      <c r="C39" s="147" t="s">
        <v>84</v>
      </c>
      <c r="D39" s="139"/>
      <c r="E39" s="139"/>
      <c r="F39" s="139"/>
      <c r="G39" s="139"/>
      <c r="M39" s="116"/>
    </row>
    <row r="40" spans="1:13" ht="14.25" customHeight="1">
      <c r="A40" s="116"/>
      <c r="B40" s="121"/>
      <c r="C40" s="143" t="s">
        <v>79</v>
      </c>
      <c r="D40" s="121"/>
      <c r="E40" s="121"/>
      <c r="F40" s="139"/>
      <c r="G40" s="139"/>
      <c r="M40" s="116"/>
    </row>
    <row r="41" spans="1:13" ht="14.25" customHeight="1">
      <c r="A41" s="116"/>
      <c r="B41" s="121"/>
      <c r="C41" s="143" t="s">
        <v>80</v>
      </c>
      <c r="D41" s="121"/>
      <c r="E41" s="121"/>
      <c r="F41" s="139"/>
      <c r="G41" s="139"/>
      <c r="M41" s="116"/>
    </row>
    <row r="42" spans="1:13" ht="10.15" customHeight="1">
      <c r="A42" s="146"/>
      <c r="D42" s="139"/>
      <c r="E42" s="139"/>
      <c r="F42" s="139"/>
      <c r="G42" s="139"/>
      <c r="M42" s="146"/>
    </row>
    <row r="43" spans="1:13" ht="10.15" customHeight="1">
      <c r="A43" s="116"/>
      <c r="M43" s="116"/>
    </row>
    <row r="44" spans="1:13" ht="10.15" customHeight="1">
      <c r="A44" s="116"/>
      <c r="M44" s="116"/>
    </row>
    <row r="45" spans="1:13" ht="10.15" customHeight="1">
      <c r="A45" s="116"/>
      <c r="M45" s="116"/>
    </row>
    <row r="46" spans="1:13" ht="37.5" customHeight="1">
      <c r="A46" s="116"/>
      <c r="M46" s="116"/>
    </row>
    <row r="47" spans="1:13" ht="18" customHeight="1">
      <c r="A47" s="116"/>
      <c r="M47" s="116"/>
    </row>
    <row r="48" spans="1:13" ht="14.25" customHeight="1">
      <c r="A48" s="116"/>
      <c r="M48" s="116"/>
    </row>
    <row r="49" spans="1:13" ht="15" customHeight="1">
      <c r="A49" s="116"/>
      <c r="M49" s="116"/>
    </row>
    <row r="50" spans="1:13" ht="15.75" customHeight="1">
      <c r="A50" s="116"/>
      <c r="M50" s="116"/>
    </row>
    <row r="51" spans="1:13" ht="7.5" customHeight="1">
      <c r="A51" s="116"/>
      <c r="M51" s="116"/>
    </row>
    <row r="52" spans="1:13" ht="4.5" customHeight="1">
      <c r="A52" s="116"/>
      <c r="B52" s="116"/>
      <c r="C52" s="117"/>
      <c r="D52" s="116"/>
      <c r="E52" s="116"/>
      <c r="F52" s="116"/>
      <c r="G52" s="116"/>
      <c r="H52" s="116"/>
      <c r="I52" s="116"/>
      <c r="J52" s="116"/>
      <c r="K52" s="116"/>
      <c r="L52" s="116"/>
      <c r="M52" s="116"/>
    </row>
    <row r="53" spans="1:13" ht="12" customHeight="1">
      <c r="A53" s="148"/>
      <c r="M53" s="148"/>
    </row>
    <row r="54" spans="1:13" ht="12" customHeight="1">
      <c r="A54" s="148"/>
      <c r="M54" s="148"/>
    </row>
    <row r="55" spans="1:13" ht="10.9" customHeight="1">
      <c r="A55" s="48"/>
      <c r="M55" s="48"/>
    </row>
    <row r="56" spans="1:13" ht="10.9" customHeight="1">
      <c r="A56" s="48"/>
      <c r="M56" s="48"/>
    </row>
    <row r="57" spans="1:13" ht="10.9" customHeight="1">
      <c r="A57" s="48"/>
      <c r="M57" s="48"/>
    </row>
    <row r="58" spans="1:13" ht="10.9" customHeight="1">
      <c r="A58" s="48"/>
      <c r="M58" s="48"/>
    </row>
    <row r="59" spans="1:13" ht="10.9" customHeight="1">
      <c r="A59" s="48"/>
      <c r="M59" s="48"/>
    </row>
    <row r="60" spans="1:13" ht="10.9" customHeight="1">
      <c r="A60" s="48"/>
      <c r="M60" s="48"/>
    </row>
    <row r="61" spans="1:13" ht="10.9" customHeight="1">
      <c r="A61" s="48"/>
      <c r="M61" s="48"/>
    </row>
    <row r="62" spans="1:13" ht="10.15" customHeight="1">
      <c r="A62" s="48"/>
      <c r="M62" s="48"/>
    </row>
    <row r="63" spans="1:13" ht="10.15" customHeight="1">
      <c r="A63" s="48"/>
      <c r="M63" s="48"/>
    </row>
    <row r="64" spans="1:13" ht="10.15" customHeight="1">
      <c r="A64" s="74"/>
      <c r="M64" s="74"/>
    </row>
    <row r="65" spans="1:13">
      <c r="A65" s="48"/>
      <c r="M65" s="48"/>
    </row>
    <row r="66" spans="1:13">
      <c r="A66" s="38"/>
      <c r="M66" s="38"/>
    </row>
    <row r="67" spans="1:13">
      <c r="A67" s="38"/>
      <c r="M67" s="38"/>
    </row>
    <row r="68" spans="1:13">
      <c r="A68" s="148"/>
      <c r="M68" s="148"/>
    </row>
    <row r="69" spans="1:13">
      <c r="A69" s="148"/>
      <c r="M69" s="148"/>
    </row>
  </sheetData>
  <sheetProtection password="CC3D" sheet="1" objects="1" scenarios="1" selectLockedCells="1"/>
  <mergeCells count="1">
    <mergeCell ref="C22:I22"/>
  </mergeCells>
  <pageMargins left="0.7" right="0.7" top="0.75" bottom="0.75" header="0.3" footer="0.3"/>
  <pageSetup orientation="portrait" r:id="rId1"/>
  <drawing r:id="rId2"/>
  <legacyDrawing r:id="rId3"/>
  <oleObjects>
    <oleObject progId="Acrobat Document" dvAspect="DVASPECT_ICON" shapeId="4120" r:id="rId4"/>
    <oleObject progId="Acrobat Document" dvAspect="DVASPECT_ICON" shapeId="4128" r:id="rId5"/>
    <oleObject progId="Acrobat Document" dvAspect="DVASPECT_ICON" shapeId="4129" r:id="rId6"/>
  </oleObjects>
  <controls>
    <control shapeId="4099" r:id="rId7" name="TextBox8"/>
    <control shapeId="4100" r:id="rId8" name="TextBox9"/>
    <control shapeId="4101" r:id="rId9" name="TextBox10"/>
    <control shapeId="4102" r:id="rId10" name="TextBox11"/>
    <control shapeId="4103" r:id="rId11" name="TextBox12"/>
    <control shapeId="4104" r:id="rId12" name="TextBox13"/>
    <control shapeId="4105" r:id="rId13" name="TextBox14"/>
    <control shapeId="4106" r:id="rId14" name="TextBox15"/>
    <control shapeId="4107" r:id="rId15" name="TextBox16"/>
    <control shapeId="4108" r:id="rId16" name="TextBox17"/>
    <control shapeId="4109" r:id="rId17" name="TextBox18"/>
    <control shapeId="4110" r:id="rId18" name="TextBox19"/>
    <control shapeId="4111" r:id="rId19" name="TextBox20"/>
    <control shapeId="4112" r:id="rId20" name="TextBox21"/>
    <control shapeId="4113" r:id="rId21" name="TextBox22"/>
    <control shapeId="4114" r:id="rId22" name="TextBox23"/>
    <control shapeId="4115" r:id="rId23" name="TextBox24"/>
    <control shapeId="4116" r:id="rId24" name="TextBox25"/>
    <control shapeId="4117" r:id="rId25" name="TextBox26"/>
    <control shapeId="4118" r:id="rId26" name="TextBox27"/>
    <control shapeId="4119" r:id="rId27" name="TextBox28"/>
    <control shapeId="4121" r:id="rId28" name="TextBox1"/>
    <control shapeId="4122" r:id="rId29" name="TextBox2"/>
    <control shapeId="4123" r:id="rId30" name="TextBox3"/>
    <control shapeId="4124" r:id="rId31" name="TextBox4"/>
    <control shapeId="4125" r:id="rId32" name="TextBox5"/>
    <control shapeId="4126" r:id="rId33" name="TextBox6"/>
    <control shapeId="4127" r:id="rId34" name="TextBox7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R136"/>
  <sheetViews>
    <sheetView showGridLines="0" zoomScale="85" zoomScaleNormal="85" workbookViewId="0">
      <pane ySplit="17" topLeftCell="A18" activePane="bottomLeft" state="frozen"/>
      <selection pane="bottomLeft" activeCell="A2" sqref="A2:U3"/>
    </sheetView>
  </sheetViews>
  <sheetFormatPr defaultRowHeight="12.75"/>
  <cols>
    <col min="1" max="1" width="39.1640625" style="3" customWidth="1"/>
    <col min="2" max="2" width="20.33203125" style="23" customWidth="1"/>
    <col min="3" max="3" width="17.1640625" style="193" hidden="1" customWidth="1"/>
    <col min="4" max="4" width="17.6640625" style="193" hidden="1" customWidth="1"/>
    <col min="5" max="5" width="17" style="193" hidden="1" customWidth="1"/>
    <col min="6" max="6" width="35.5" style="193" hidden="1" customWidth="1"/>
    <col min="7" max="7" width="19.83203125" style="193" hidden="1" customWidth="1"/>
    <col min="8" max="8" width="36.83203125" style="193" hidden="1" customWidth="1"/>
    <col min="9" max="9" width="14.33203125" style="193" hidden="1" customWidth="1"/>
    <col min="10" max="10" width="29.1640625" style="193" hidden="1" customWidth="1"/>
    <col min="11" max="11" width="12" style="193" hidden="1" customWidth="1"/>
    <col min="12" max="12" width="7.83203125" style="23" customWidth="1"/>
    <col min="13" max="13" width="9.6640625" style="23" customWidth="1"/>
    <col min="14" max="14" width="8.33203125" style="23" customWidth="1"/>
    <col min="15" max="15" width="10.83203125" style="24" customWidth="1"/>
    <col min="16" max="16" width="11.5" style="24" bestFit="1" customWidth="1"/>
    <col min="17" max="17" width="11.83203125" style="24" customWidth="1"/>
    <col min="18" max="18" width="12.83203125" style="24" customWidth="1"/>
    <col min="19" max="19" width="13.5" style="24" customWidth="1"/>
    <col min="20" max="21" width="14.1640625" style="24" hidden="1" customWidth="1"/>
    <col min="22" max="22" width="15.5" style="3" customWidth="1"/>
    <col min="23" max="23" width="7.83203125" style="3" customWidth="1"/>
    <col min="24" max="24" width="7" style="3" customWidth="1"/>
    <col min="25" max="25" width="7.83203125" style="3" customWidth="1"/>
    <col min="26" max="29" width="9" style="3" bestFit="1" customWidth="1"/>
    <col min="30" max="31" width="11.1640625" style="3" customWidth="1"/>
    <col min="32" max="33" width="4.83203125" style="3" customWidth="1"/>
    <col min="34" max="34" width="4.1640625" style="3" hidden="1" customWidth="1"/>
    <col min="35" max="35" width="12.83203125" style="3" hidden="1" customWidth="1"/>
    <col min="36" max="36" width="12.1640625" style="3" hidden="1" customWidth="1"/>
    <col min="37" max="37" width="8.1640625" style="3" hidden="1" customWidth="1"/>
    <col min="38" max="38" width="12.6640625" style="3" hidden="1" customWidth="1"/>
    <col min="39" max="43" width="9.33203125" style="3" hidden="1" customWidth="1"/>
    <col min="44" max="44" width="3" style="3" hidden="1" customWidth="1"/>
    <col min="45" max="16384" width="9.33203125" style="3"/>
  </cols>
  <sheetData>
    <row r="1" spans="1:44" ht="1.5" customHeight="1" thickBot="1">
      <c r="AH1" s="1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6.5" thickBot="1">
      <c r="A2" s="260" t="s">
        <v>133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7" t="s">
        <v>61</v>
      </c>
      <c r="W2" s="268"/>
      <c r="X2" s="268"/>
      <c r="Y2" s="269"/>
      <c r="Z2" s="264" t="s">
        <v>0</v>
      </c>
      <c r="AA2" s="265"/>
      <c r="AB2" s="265"/>
      <c r="AC2" s="266"/>
      <c r="AD2" s="4" t="s">
        <v>51</v>
      </c>
      <c r="AE2" s="157" t="s">
        <v>51</v>
      </c>
      <c r="AF2" s="177"/>
    </row>
    <row r="3" spans="1:44" ht="15" customHeight="1" thickBot="1">
      <c r="A3" s="262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70"/>
      <c r="W3" s="271"/>
      <c r="X3" s="271"/>
      <c r="Y3" s="272"/>
      <c r="Z3" s="5" t="s">
        <v>1</v>
      </c>
      <c r="AA3" s="6" t="s">
        <v>4</v>
      </c>
      <c r="AB3" s="6" t="s">
        <v>2</v>
      </c>
      <c r="AC3" s="7" t="s">
        <v>3</v>
      </c>
      <c r="AD3" s="8" t="s">
        <v>52</v>
      </c>
      <c r="AE3" s="158" t="s">
        <v>53</v>
      </c>
      <c r="AF3" s="177"/>
    </row>
    <row r="4" spans="1:44" ht="15.75">
      <c r="A4" s="84" t="s">
        <v>442</v>
      </c>
      <c r="B4" s="85"/>
      <c r="C4" s="194"/>
      <c r="D4" s="194"/>
      <c r="E4" s="194"/>
      <c r="F4" s="194"/>
      <c r="G4" s="194"/>
      <c r="H4" s="194"/>
      <c r="I4" s="194"/>
      <c r="J4" s="194"/>
      <c r="K4" s="194"/>
      <c r="L4" s="9"/>
      <c r="M4" s="9"/>
      <c r="N4" s="9"/>
      <c r="O4" s="10"/>
      <c r="P4" s="10"/>
      <c r="Q4" s="10"/>
      <c r="R4" s="10"/>
      <c r="S4" s="10"/>
      <c r="T4" s="10"/>
      <c r="U4" s="10"/>
      <c r="V4" s="278" t="s">
        <v>49</v>
      </c>
      <c r="W4" s="279"/>
      <c r="X4" s="279"/>
      <c r="Y4" s="280"/>
      <c r="Z4" s="62"/>
      <c r="AA4" s="63"/>
      <c r="AB4" s="63"/>
      <c r="AC4" s="64"/>
      <c r="AD4" s="56"/>
      <c r="AE4" s="159"/>
      <c r="AF4" s="177"/>
    </row>
    <row r="5" spans="1:44" ht="15" thickBot="1">
      <c r="A5" s="86"/>
      <c r="B5" s="9"/>
      <c r="C5" s="195"/>
      <c r="D5" s="195"/>
      <c r="E5" s="195"/>
      <c r="F5" s="195"/>
      <c r="G5" s="195"/>
      <c r="H5" s="195"/>
      <c r="I5" s="195"/>
      <c r="J5" s="195"/>
      <c r="K5" s="195"/>
      <c r="L5" s="9"/>
      <c r="M5" s="9"/>
      <c r="N5" s="9"/>
      <c r="O5" s="10"/>
      <c r="P5" s="12"/>
      <c r="Q5" s="212" t="s">
        <v>168</v>
      </c>
      <c r="R5" s="12"/>
      <c r="S5" s="12"/>
      <c r="T5" s="10"/>
      <c r="U5" s="10"/>
      <c r="V5" s="254" t="s">
        <v>50</v>
      </c>
      <c r="W5" s="255"/>
      <c r="X5" s="255"/>
      <c r="Y5" s="256"/>
      <c r="Z5" s="65"/>
      <c r="AA5" s="59"/>
      <c r="AB5" s="59"/>
      <c r="AC5" s="66"/>
      <c r="AD5" s="57"/>
      <c r="AE5" s="160"/>
      <c r="AF5" s="177"/>
    </row>
    <row r="6" spans="1:44" ht="15" thickBot="1">
      <c r="A6" s="247" t="s">
        <v>431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81"/>
      <c r="N6" s="249">
        <f>SUM(T19:T27,T29:T32,T34:T43,T45:T48,T50:T59,T61:T71,T73:T83,T85:T95,T97:T107)</f>
        <v>0</v>
      </c>
      <c r="O6" s="250"/>
      <c r="P6" s="10"/>
      <c r="Q6" s="286"/>
      <c r="R6" s="287"/>
      <c r="S6" s="10"/>
      <c r="T6" s="10"/>
      <c r="U6" s="10"/>
      <c r="V6" s="254" t="s">
        <v>172</v>
      </c>
      <c r="W6" s="255"/>
      <c r="X6" s="255"/>
      <c r="Y6" s="256"/>
      <c r="Z6" s="65"/>
      <c r="AA6" s="59"/>
      <c r="AB6" s="59"/>
      <c r="AC6" s="66"/>
      <c r="AD6" s="58"/>
      <c r="AE6" s="161"/>
      <c r="AF6" s="177"/>
    </row>
    <row r="7" spans="1:44" ht="15" thickBot="1">
      <c r="A7" s="247" t="s">
        <v>432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81"/>
      <c r="N7" s="249">
        <f>SUM(AE8:AE9)</f>
        <v>0</v>
      </c>
      <c r="O7" s="250"/>
      <c r="P7" s="10"/>
      <c r="Q7" s="187"/>
      <c r="R7" s="187"/>
      <c r="S7" s="10"/>
      <c r="T7" s="10"/>
      <c r="U7" s="10"/>
      <c r="V7" s="254" t="s">
        <v>54</v>
      </c>
      <c r="W7" s="255"/>
      <c r="X7" s="255"/>
      <c r="Y7" s="256"/>
      <c r="Z7" s="67">
        <f>IF(Q9="Reflective only",0,IF(ISERROR(VLOOKUP($N$108,$AL$128:$AQ$133,Z4+2,TRUE)),0,VLOOKUP($N$108,$AL$128:$AQ$133,Z4+2,TRUE)))</f>
        <v>0</v>
      </c>
      <c r="AA7" s="32">
        <f>IF(Q9&lt;&gt; "None",0,IF(ISERROR(VLOOKUP($N$108,$AL$128:$AQ$133,AA4+2,TRUE)),0,VLOOKUP($N$108,$AL$128:$AQ$133,AA4+2,TRUE)))</f>
        <v>0</v>
      </c>
      <c r="AB7" s="32">
        <f>IF(Q9&lt;&gt; "None",0,IF(ISERROR(VLOOKUP($N$108,$AL$128:$AQ$133,AB4+2,TRUE)),0,VLOOKUP($N$108,$AL$128:$AQ$133,AB4+2,TRUE)))</f>
        <v>0</v>
      </c>
      <c r="AC7" s="68">
        <f>IF(Q9&lt;&gt; "None",0,IF(ISERROR(VLOOKUP($N$108,$AL$128:$AQ$133,AC4+2,TRUE)),0,VLOOKUP($N$108,$AL$128:$AQ$133,AC4+2,TRUE)))</f>
        <v>0</v>
      </c>
      <c r="AD7" s="71">
        <f>IF(Q9="Reflective only", 0, IF(Q9="Logo &amp; Reflective", SUM(Z7),SUM(Z7:AC7)))</f>
        <v>0</v>
      </c>
      <c r="AE7" s="162">
        <f>IF(Q9 = "Reflective Only", 0, IF(AD7=0,0,AD7 * (1-Q$6)))</f>
        <v>0</v>
      </c>
      <c r="AF7" s="177"/>
    </row>
    <row r="8" spans="1:44" ht="15" thickBot="1">
      <c r="A8" s="247" t="s">
        <v>433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81"/>
      <c r="N8" s="249">
        <f>SUM(N6:O7)</f>
        <v>0</v>
      </c>
      <c r="O8" s="250"/>
      <c r="P8" s="10"/>
      <c r="Q8" s="213" t="s">
        <v>169</v>
      </c>
      <c r="R8" s="214"/>
      <c r="S8" s="12"/>
      <c r="T8" s="12"/>
      <c r="U8" s="10"/>
      <c r="V8" s="254" t="s">
        <v>55</v>
      </c>
      <c r="W8" s="255"/>
      <c r="X8" s="255"/>
      <c r="Y8" s="256"/>
      <c r="Z8" s="67">
        <f>IF(Q9="Reflective only",0,IF(Z5="Yes",0,IF(Z5="No",VLOOKUP(Z4,$AI$129:$AJ$133,2,FALSE),0)))</f>
        <v>0</v>
      </c>
      <c r="AA8" s="32">
        <f>IF(Q9&lt;&gt; "None",0,IF(AA5="Yes",0,IF(AA5="No",VLOOKUP(AA4,$AI$129:$AJ$133,2,FALSE),0)))</f>
        <v>0</v>
      </c>
      <c r="AB8" s="32">
        <f>IF(Q9&lt;&gt; "None",0,IF(AB5="Yes",0,IF(AB5="No",VLOOKUP(AB4,$AI$129:$AJ$133,2,FALSE),0)))</f>
        <v>0</v>
      </c>
      <c r="AC8" s="68">
        <f>IF(Q9&lt;&gt; "None",0,IF(AC5="Yes",0,IF(AC5="No",VLOOKUP(AC4,$AI$129:$AJ$133,2,FALSE),0)))</f>
        <v>0</v>
      </c>
      <c r="AD8" s="72">
        <f>IF(Q9="Reflective only", 0, IF(Q9="Logo &amp; Reflective", SUM(Z8),SUM(Z8:AC8)))</f>
        <v>0</v>
      </c>
      <c r="AE8" s="163">
        <f>IF(Q9="Reflective Only", 0, IF(AD8=0,0,AD8 * (1-Q$6)))</f>
        <v>0</v>
      </c>
      <c r="AF8" s="177"/>
    </row>
    <row r="9" spans="1:44" ht="15.75" customHeight="1" thickBot="1">
      <c r="A9" s="247"/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10"/>
      <c r="O9" s="10"/>
      <c r="P9" s="12"/>
      <c r="Q9" s="284" t="s">
        <v>348</v>
      </c>
      <c r="R9" s="285"/>
      <c r="S9" s="12"/>
      <c r="T9" s="12"/>
      <c r="U9" s="10"/>
      <c r="V9" s="257" t="s">
        <v>170</v>
      </c>
      <c r="W9" s="258"/>
      <c r="X9" s="258"/>
      <c r="Y9" s="259"/>
      <c r="Z9" s="60">
        <f>IF(Q9="Reflective only",0,IF(Z6="Yes",0,IF(Z6="No",100,0)))</f>
        <v>0</v>
      </c>
      <c r="AA9" s="69">
        <f>IF(Q9&lt;&gt; "None",0,IF(AA6="Yes",0,IF(AA6="No",100,0)))</f>
        <v>0</v>
      </c>
      <c r="AB9" s="69">
        <f>IF(Q9&lt;&gt; "None",0,IF(AB6="Yes",0,IF(AB6="No",100,0)))</f>
        <v>0</v>
      </c>
      <c r="AC9" s="70">
        <f>IF(Q9&lt;&gt; "None",0,IF(AC6="Yes",0,IF(AC6="No",100,0)))</f>
        <v>0</v>
      </c>
      <c r="AD9" s="73">
        <f>IF(Q9="Reflective only", 0, IF(Q9="Logo &amp; Reflective", SUM(Z9),SUM(Z9:AC9)))</f>
        <v>0</v>
      </c>
      <c r="AE9" s="164">
        <f>IF(Q9="Reflective Only", 0,IF(AD9=0,0,AD9 * (1-Q$6)))</f>
        <v>0</v>
      </c>
      <c r="AF9" s="177"/>
    </row>
    <row r="10" spans="1:44" ht="16.5" thickBot="1">
      <c r="A10" s="87"/>
      <c r="B10" s="78"/>
      <c r="C10" s="195"/>
      <c r="D10" s="195"/>
      <c r="E10" s="195"/>
      <c r="F10" s="195"/>
      <c r="G10" s="195"/>
      <c r="H10" s="195"/>
      <c r="I10" s="195"/>
      <c r="J10" s="195"/>
      <c r="K10" s="195"/>
      <c r="L10" s="11"/>
      <c r="M10" s="11"/>
      <c r="N10" s="9"/>
      <c r="O10" s="10"/>
      <c r="P10" s="10"/>
      <c r="Q10" s="10"/>
      <c r="R10" s="10"/>
      <c r="S10" s="10"/>
      <c r="T10" s="10"/>
      <c r="U10" s="10"/>
      <c r="V10" s="282" t="str">
        <f>IF(Q9="REFLECTIVE ONLY","REFLECTIVE ONLY  - NO LOGO OPTIONS AVAILABLE",IF(Q9="LOGO &amp; REFLECTIVE","LOGO &amp; REFLECTIVE - ONLY FRONT LOGO AVAILABLE",""))</f>
        <v/>
      </c>
      <c r="W10" s="283"/>
      <c r="X10" s="283"/>
      <c r="Y10" s="283"/>
      <c r="Z10" s="283"/>
      <c r="AA10" s="283"/>
      <c r="AB10" s="283"/>
      <c r="AC10" s="283"/>
      <c r="AD10" s="79"/>
      <c r="AE10" s="80"/>
      <c r="AF10" s="178"/>
      <c r="AG10" s="13"/>
    </row>
    <row r="11" spans="1:44" ht="16.5" thickBot="1">
      <c r="A11" s="273" t="s">
        <v>62</v>
      </c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5" t="s">
        <v>171</v>
      </c>
      <c r="W11" s="276"/>
      <c r="X11" s="276"/>
      <c r="Y11" s="277"/>
      <c r="Z11" s="61">
        <f>IF(ISERROR(((Z7*$N$108)+Z8+Z9)/$N$108),0,((Z7*$N$108)+Z8+Z9)/$N$108)</f>
        <v>0</v>
      </c>
      <c r="AA11" s="61">
        <f>IF(ISERROR(((AA7*$N$108)+AA8+AA9)/$N$108),0,((AA7*$N$108)+AA8+AA9)/$N$108)</f>
        <v>0</v>
      </c>
      <c r="AB11" s="61">
        <f>IF(ISERROR(((AB7*$N$108)+AB8+AB9)/$N$108),0,((AB7*$N$108)+AB8+AB9)/$N$108)</f>
        <v>0</v>
      </c>
      <c r="AC11" s="61">
        <f>IF(ISERROR(((AC7*$N$108)+AC8+AC9)/$N$108),0,((AC7*$N$108)+AC8+AC9)/$N$108)</f>
        <v>0</v>
      </c>
      <c r="AD11" s="14">
        <f>IF(Q9="Reflective only", 0, IF(Q9="Logo &amp; Reflective", SUM(Z11),SUM(Z11:AC11)))</f>
        <v>0</v>
      </c>
      <c r="AE11" s="165">
        <f>IF(Q9="Reflective only", 0, IF(Q9="Logo &amp; Reflective", IF(AD11=0,0,Z11 *(1-Q$6)),IF(AD11=0,0,AD11 * (1-Q$6))))</f>
        <v>0</v>
      </c>
      <c r="AF11" s="178"/>
      <c r="AG11" s="13"/>
    </row>
    <row r="12" spans="1:44" ht="69" customHeight="1" thickBot="1">
      <c r="A12" s="209" t="str">
        <f>IF(Q9="LOGO &amp; REFLECTIVE",A16,IF(Q9="REFLECTIVE ONLY",A15,A14))</f>
        <v>Logo Only
Part #</v>
      </c>
      <c r="B12" s="210" t="str">
        <f>IF(Q9="LOGO &amp; REFLECTIVE",B16,IF(Q9="REFLECTIVE ONLY",B15,B14))</f>
        <v>Logo Only
3M ID</v>
      </c>
      <c r="C12" s="196" t="s">
        <v>349</v>
      </c>
      <c r="D12" s="196" t="s">
        <v>350</v>
      </c>
      <c r="E12" s="196" t="s">
        <v>140</v>
      </c>
      <c r="F12" s="196" t="s">
        <v>143</v>
      </c>
      <c r="G12" s="196" t="s">
        <v>141</v>
      </c>
      <c r="H12" s="196" t="s">
        <v>144</v>
      </c>
      <c r="I12" s="196" t="s">
        <v>142</v>
      </c>
      <c r="J12" s="196" t="s">
        <v>145</v>
      </c>
      <c r="K12" s="196" t="s">
        <v>148</v>
      </c>
      <c r="L12" s="106" t="s">
        <v>44</v>
      </c>
      <c r="M12" s="107" t="s">
        <v>46</v>
      </c>
      <c r="N12" s="106" t="s">
        <v>45</v>
      </c>
      <c r="O12" s="108" t="s">
        <v>47</v>
      </c>
      <c r="P12" s="108" t="s">
        <v>48</v>
      </c>
      <c r="Q12" s="211" t="s">
        <v>132</v>
      </c>
      <c r="R12" s="108" t="s">
        <v>434</v>
      </c>
      <c r="S12" s="108" t="s">
        <v>435</v>
      </c>
      <c r="T12" s="108" t="s">
        <v>436</v>
      </c>
      <c r="U12" s="108" t="s">
        <v>437</v>
      </c>
      <c r="V12" s="111" t="s">
        <v>173</v>
      </c>
      <c r="W12" s="109"/>
      <c r="X12" s="109"/>
      <c r="Y12" s="109"/>
      <c r="Z12" s="110"/>
      <c r="AA12" s="110"/>
      <c r="AB12" s="110"/>
      <c r="AC12" s="110"/>
      <c r="AD12" s="110"/>
      <c r="AE12" s="110"/>
      <c r="AF12" s="179"/>
      <c r="AG12" s="15"/>
    </row>
    <row r="13" spans="1:44" ht="33.75" hidden="1" customHeight="1">
      <c r="A13" s="185"/>
      <c r="B13" s="186"/>
      <c r="C13" s="197"/>
      <c r="D13" s="197"/>
      <c r="E13" s="197"/>
      <c r="F13" s="197"/>
      <c r="G13" s="197"/>
      <c r="H13" s="197"/>
      <c r="I13" s="197"/>
      <c r="J13" s="197"/>
      <c r="K13" s="197"/>
      <c r="L13" s="186"/>
      <c r="M13" s="186"/>
      <c r="N13" s="186"/>
      <c r="O13" s="187"/>
      <c r="P13" s="187"/>
      <c r="Q13" s="187"/>
      <c r="R13" s="187"/>
      <c r="S13" s="187"/>
      <c r="T13" s="188"/>
      <c r="U13" s="188"/>
      <c r="V13" s="189"/>
      <c r="W13" s="11"/>
      <c r="X13" s="11"/>
      <c r="Y13" s="11"/>
      <c r="Z13" s="11"/>
      <c r="AA13" s="11"/>
      <c r="AB13" s="11"/>
      <c r="AC13" s="11"/>
      <c r="AD13" s="11"/>
      <c r="AE13" s="11"/>
      <c r="AF13" s="177"/>
    </row>
    <row r="14" spans="1:44" ht="33.75" hidden="1" customHeight="1">
      <c r="A14" s="191" t="s">
        <v>145</v>
      </c>
      <c r="B14" s="190" t="s">
        <v>142</v>
      </c>
      <c r="C14" s="234"/>
      <c r="D14" s="234"/>
      <c r="E14" s="195"/>
      <c r="F14" s="195"/>
      <c r="G14" s="195"/>
      <c r="H14" s="195"/>
      <c r="I14" s="195"/>
      <c r="J14" s="195"/>
      <c r="K14" s="195"/>
      <c r="L14" s="9"/>
      <c r="M14" s="9"/>
      <c r="N14" s="9"/>
      <c r="O14" s="10"/>
      <c r="P14" s="10"/>
      <c r="Q14" s="10"/>
      <c r="R14" s="10"/>
      <c r="S14" s="10"/>
      <c r="T14" s="12"/>
      <c r="U14" s="1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77"/>
    </row>
    <row r="15" spans="1:44" ht="33.75" hidden="1" customHeight="1">
      <c r="A15" s="191" t="s">
        <v>143</v>
      </c>
      <c r="B15" s="190" t="s">
        <v>140</v>
      </c>
      <c r="C15" s="234"/>
      <c r="D15" s="234"/>
      <c r="E15" s="195"/>
      <c r="F15" s="195"/>
      <c r="G15" s="195"/>
      <c r="H15" s="195"/>
      <c r="I15" s="195"/>
      <c r="J15" s="195"/>
      <c r="K15" s="195"/>
      <c r="L15" s="9"/>
      <c r="M15" s="9"/>
      <c r="N15" s="9"/>
      <c r="O15" s="10"/>
      <c r="P15" s="10"/>
      <c r="Q15" s="10"/>
      <c r="R15" s="10"/>
      <c r="S15" s="10"/>
      <c r="T15" s="12"/>
      <c r="U15" s="1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77"/>
    </row>
    <row r="16" spans="1:44" ht="33.75" hidden="1" customHeight="1">
      <c r="A16" s="191" t="s">
        <v>144</v>
      </c>
      <c r="B16" s="190" t="s">
        <v>141</v>
      </c>
      <c r="C16" s="234"/>
      <c r="D16" s="234"/>
      <c r="E16" s="195"/>
      <c r="F16" s="195"/>
      <c r="G16" s="195"/>
      <c r="H16" s="195"/>
      <c r="I16" s="195"/>
      <c r="J16" s="195"/>
      <c r="K16" s="195"/>
      <c r="L16" s="9"/>
      <c r="M16" s="9"/>
      <c r="N16" s="9"/>
      <c r="O16" s="10"/>
      <c r="P16" s="10"/>
      <c r="Q16" s="10"/>
      <c r="R16" s="10"/>
      <c r="S16" s="10"/>
      <c r="T16" s="12"/>
      <c r="U16" s="12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77"/>
    </row>
    <row r="17" spans="1:33" ht="33.75" hidden="1" customHeight="1">
      <c r="A17" s="86"/>
      <c r="B17" s="9"/>
      <c r="C17" s="195"/>
      <c r="D17" s="195"/>
      <c r="E17" s="195"/>
      <c r="F17" s="195"/>
      <c r="G17" s="195"/>
      <c r="H17" s="195"/>
      <c r="I17" s="195"/>
      <c r="J17" s="195"/>
      <c r="K17" s="195"/>
      <c r="L17" s="9"/>
      <c r="M17" s="9"/>
      <c r="N17" s="9"/>
      <c r="O17" s="10"/>
      <c r="P17" s="10"/>
      <c r="Q17" s="10"/>
      <c r="R17" s="10"/>
      <c r="S17" s="10"/>
      <c r="T17" s="12"/>
      <c r="U17" s="12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77"/>
    </row>
    <row r="18" spans="1:33" ht="16.5" thickBot="1">
      <c r="A18" s="183" t="s">
        <v>134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83"/>
      <c r="W18" s="11"/>
      <c r="X18" s="11"/>
      <c r="Y18" s="11"/>
      <c r="Z18" s="11"/>
      <c r="AA18" s="11"/>
      <c r="AB18" s="11"/>
      <c r="AC18" s="11"/>
      <c r="AD18" s="11"/>
      <c r="AE18" s="11"/>
      <c r="AF18" s="180"/>
      <c r="AG18" s="16"/>
    </row>
    <row r="19" spans="1:33" ht="12.75" customHeight="1">
      <c r="A19" s="82" t="str">
        <f t="shared" ref="A19:A27" si="0">IF($Q$9="REFLECTIVE ONLY",F19,IF($Q$9="LOGO &amp; REFLECTIVE",H19,J19))</f>
        <v>H-701R-UVL (White)</v>
      </c>
      <c r="B19" s="154">
        <f t="shared" ref="B19:B27" si="1">IF($Q$9="REFLECTIVE ONLY",E19,IF($Q$9="LOGO &amp; REFLECTIVE",G19,I19))</f>
        <v>70071614815</v>
      </c>
      <c r="C19" s="239">
        <v>70071614310</v>
      </c>
      <c r="D19" s="235" t="s">
        <v>351</v>
      </c>
      <c r="E19" s="221">
        <v>70071653904</v>
      </c>
      <c r="F19" s="199" t="s">
        <v>182</v>
      </c>
      <c r="G19" s="221">
        <v>70071653912</v>
      </c>
      <c r="H19" s="199" t="s">
        <v>303</v>
      </c>
      <c r="I19" s="198">
        <v>70071614815</v>
      </c>
      <c r="J19" s="199" t="s">
        <v>5</v>
      </c>
      <c r="K19" s="198" t="s">
        <v>146</v>
      </c>
      <c r="L19" s="95">
        <v>20</v>
      </c>
      <c r="M19" s="98">
        <v>257.55</v>
      </c>
      <c r="N19" s="97"/>
      <c r="O19" s="98">
        <f t="shared" ref="O19:O27" si="2">IF(N19=0,0,M19* (1-$Q$6))</f>
        <v>0</v>
      </c>
      <c r="P19" s="98">
        <f t="shared" ref="P19:P27" si="3">IF(O19=0,0,$AE$7)</f>
        <v>0</v>
      </c>
      <c r="Q19" s="98">
        <f>IF($Q$9="None", 0, IF(AND($Q$9 &lt;&gt; "NONE",N19&lt;&gt;0), (L19*8) * (1 - Q$6 ),0))</f>
        <v>0</v>
      </c>
      <c r="R19" s="98">
        <f>IF(O19=0,0,O19+P19+Q19)</f>
        <v>0</v>
      </c>
      <c r="S19" s="98">
        <f t="shared" ref="S19:S27" si="4">IF(N19=0,0,O19+$AE$11+Q19)</f>
        <v>0</v>
      </c>
      <c r="T19" s="98">
        <f t="shared" ref="T19:T27" si="5">N19*R19</f>
        <v>0</v>
      </c>
      <c r="U19" s="99">
        <f t="shared" ref="U19:U27" si="6">N19*S19</f>
        <v>0</v>
      </c>
      <c r="V19" s="208" t="str">
        <f t="shared" ref="V19:V27" si="7">IF(AND($Q$9="REFLECTIVE ONLY",N19&lt;&gt;0)=TRUE,K19,"")</f>
        <v/>
      </c>
      <c r="W19" s="11"/>
      <c r="X19" s="1"/>
      <c r="Y19" s="11"/>
      <c r="Z19" s="11"/>
      <c r="AA19" s="11"/>
      <c r="AB19" s="11"/>
      <c r="AC19" s="11"/>
      <c r="AD19" s="11"/>
      <c r="AE19" s="11"/>
      <c r="AF19" s="177"/>
    </row>
    <row r="20" spans="1:33" ht="13.5" customHeight="1">
      <c r="A20" s="82" t="str">
        <f t="shared" si="0"/>
        <v>H-702R-UVL (Yellow)</v>
      </c>
      <c r="B20" s="155">
        <f t="shared" si="1"/>
        <v>70071614823</v>
      </c>
      <c r="C20" s="240">
        <v>70071614328</v>
      </c>
      <c r="D20" s="236" t="s">
        <v>352</v>
      </c>
      <c r="E20" s="222">
        <v>70071653904</v>
      </c>
      <c r="F20" s="201" t="s">
        <v>183</v>
      </c>
      <c r="G20" s="222">
        <v>70071653912</v>
      </c>
      <c r="H20" s="201" t="s">
        <v>304</v>
      </c>
      <c r="I20" s="200">
        <v>70071614823</v>
      </c>
      <c r="J20" s="201" t="s">
        <v>6</v>
      </c>
      <c r="K20" s="200" t="s">
        <v>147</v>
      </c>
      <c r="L20" s="17">
        <v>20</v>
      </c>
      <c r="M20" s="18">
        <v>257.55</v>
      </c>
      <c r="N20" s="77"/>
      <c r="O20" s="18">
        <f t="shared" si="2"/>
        <v>0</v>
      </c>
      <c r="P20" s="18">
        <f t="shared" si="3"/>
        <v>0</v>
      </c>
      <c r="Q20" s="18">
        <f t="shared" ref="Q20:Q27" si="8">IF($Q$9="None", 0, IF(AND($Q$9 &lt;&gt; "NONE",N20&lt;&gt;0), (L20*8) * (1 - Q$6 ),0))</f>
        <v>0</v>
      </c>
      <c r="R20" s="18">
        <f t="shared" ref="R20:R27" si="9">IF(O20=0,0,O20+P20+Q20)</f>
        <v>0</v>
      </c>
      <c r="S20" s="18">
        <f t="shared" si="4"/>
        <v>0</v>
      </c>
      <c r="T20" s="18">
        <f t="shared" si="5"/>
        <v>0</v>
      </c>
      <c r="U20" s="81">
        <f t="shared" si="6"/>
        <v>0</v>
      </c>
      <c r="V20" s="113" t="str">
        <f t="shared" si="7"/>
        <v/>
      </c>
      <c r="W20" s="11"/>
      <c r="X20" s="1"/>
      <c r="Y20" s="11"/>
      <c r="Z20" s="11"/>
      <c r="AA20" s="11"/>
      <c r="AB20" s="11"/>
      <c r="AC20" s="11"/>
      <c r="AD20" s="11"/>
      <c r="AE20" s="11"/>
      <c r="AF20" s="177"/>
    </row>
    <row r="21" spans="1:33">
      <c r="A21" s="82" t="str">
        <f t="shared" si="0"/>
        <v>H-703R-UVL (Blue)</v>
      </c>
      <c r="B21" s="155">
        <f t="shared" si="1"/>
        <v>70071614831</v>
      </c>
      <c r="C21" s="240">
        <v>70071614336</v>
      </c>
      <c r="D21" s="236" t="s">
        <v>353</v>
      </c>
      <c r="E21" s="222">
        <v>70071653904</v>
      </c>
      <c r="F21" s="201" t="s">
        <v>184</v>
      </c>
      <c r="G21" s="222">
        <v>70071653912</v>
      </c>
      <c r="H21" s="201" t="s">
        <v>305</v>
      </c>
      <c r="I21" s="200">
        <v>70071614831</v>
      </c>
      <c r="J21" s="201" t="s">
        <v>7</v>
      </c>
      <c r="K21" s="200" t="s">
        <v>149</v>
      </c>
      <c r="L21" s="17">
        <v>20</v>
      </c>
      <c r="M21" s="18">
        <v>257.55</v>
      </c>
      <c r="N21" s="77"/>
      <c r="O21" s="18">
        <f t="shared" si="2"/>
        <v>0</v>
      </c>
      <c r="P21" s="18">
        <f t="shared" si="3"/>
        <v>0</v>
      </c>
      <c r="Q21" s="18">
        <f t="shared" si="8"/>
        <v>0</v>
      </c>
      <c r="R21" s="18">
        <f t="shared" si="9"/>
        <v>0</v>
      </c>
      <c r="S21" s="18">
        <f t="shared" si="4"/>
        <v>0</v>
      </c>
      <c r="T21" s="18">
        <f t="shared" si="5"/>
        <v>0</v>
      </c>
      <c r="U21" s="81">
        <f t="shared" si="6"/>
        <v>0</v>
      </c>
      <c r="V21" s="113" t="str">
        <f t="shared" si="7"/>
        <v/>
      </c>
      <c r="W21" s="11"/>
      <c r="X21" s="1"/>
      <c r="Y21" s="11"/>
      <c r="Z21" s="11"/>
      <c r="AA21" s="11"/>
      <c r="AB21" s="11"/>
      <c r="AC21" s="11"/>
      <c r="AD21" s="11"/>
      <c r="AE21" s="11"/>
      <c r="AF21" s="177"/>
    </row>
    <row r="22" spans="1:33" ht="12.75" customHeight="1">
      <c r="A22" s="82" t="str">
        <f t="shared" si="0"/>
        <v>H-704R-UVL (Green)</v>
      </c>
      <c r="B22" s="155">
        <f t="shared" si="1"/>
        <v>70071614849</v>
      </c>
      <c r="C22" s="240">
        <v>70071614344</v>
      </c>
      <c r="D22" s="236" t="s">
        <v>354</v>
      </c>
      <c r="E22" s="222">
        <v>70071653904</v>
      </c>
      <c r="F22" s="201" t="s">
        <v>185</v>
      </c>
      <c r="G22" s="222">
        <v>70071653912</v>
      </c>
      <c r="H22" s="201" t="s">
        <v>306</v>
      </c>
      <c r="I22" s="200">
        <v>70071614849</v>
      </c>
      <c r="J22" s="201" t="s">
        <v>8</v>
      </c>
      <c r="K22" s="200" t="s">
        <v>150</v>
      </c>
      <c r="L22" s="17">
        <v>20</v>
      </c>
      <c r="M22" s="18">
        <v>257.55</v>
      </c>
      <c r="N22" s="77"/>
      <c r="O22" s="18">
        <f t="shared" si="2"/>
        <v>0</v>
      </c>
      <c r="P22" s="18">
        <f t="shared" si="3"/>
        <v>0</v>
      </c>
      <c r="Q22" s="18">
        <f t="shared" si="8"/>
        <v>0</v>
      </c>
      <c r="R22" s="18">
        <f t="shared" si="9"/>
        <v>0</v>
      </c>
      <c r="S22" s="18">
        <f t="shared" si="4"/>
        <v>0</v>
      </c>
      <c r="T22" s="18">
        <f t="shared" si="5"/>
        <v>0</v>
      </c>
      <c r="U22" s="81">
        <f t="shared" si="6"/>
        <v>0</v>
      </c>
      <c r="V22" s="113" t="str">
        <f t="shared" si="7"/>
        <v/>
      </c>
      <c r="W22" s="11"/>
      <c r="X22" s="1"/>
      <c r="Y22" s="11"/>
      <c r="Z22" s="11"/>
      <c r="AA22" s="11"/>
      <c r="AB22" s="11"/>
      <c r="AC22" s="11"/>
      <c r="AD22" s="11"/>
      <c r="AE22" s="11"/>
      <c r="AF22" s="177"/>
    </row>
    <row r="23" spans="1:33" ht="12.75" customHeight="1">
      <c r="A23" s="231" t="str">
        <f t="shared" si="0"/>
        <v>H-705R-UVL (Red)</v>
      </c>
      <c r="B23" s="232">
        <f t="shared" si="1"/>
        <v>70071647492</v>
      </c>
      <c r="C23" s="226">
        <v>70071647484</v>
      </c>
      <c r="D23" s="237" t="s">
        <v>355</v>
      </c>
      <c r="E23" s="226">
        <v>70071653904</v>
      </c>
      <c r="F23" s="227" t="s">
        <v>340</v>
      </c>
      <c r="G23" s="226">
        <v>70071653912</v>
      </c>
      <c r="H23" s="201" t="s">
        <v>339</v>
      </c>
      <c r="I23" s="228">
        <v>70071647492</v>
      </c>
      <c r="J23" s="227" t="s">
        <v>341</v>
      </c>
      <c r="K23" s="200" t="s">
        <v>152</v>
      </c>
      <c r="L23" s="17">
        <v>20</v>
      </c>
      <c r="M23" s="18">
        <v>257.55</v>
      </c>
      <c r="N23" s="229"/>
      <c r="O23" s="18">
        <f t="shared" si="2"/>
        <v>0</v>
      </c>
      <c r="P23" s="18">
        <f t="shared" si="3"/>
        <v>0</v>
      </c>
      <c r="Q23" s="18">
        <f t="shared" si="8"/>
        <v>0</v>
      </c>
      <c r="R23" s="18">
        <f t="shared" si="9"/>
        <v>0</v>
      </c>
      <c r="S23" s="18">
        <f t="shared" si="4"/>
        <v>0</v>
      </c>
      <c r="T23" s="18">
        <f t="shared" si="5"/>
        <v>0</v>
      </c>
      <c r="U23" s="81">
        <f t="shared" si="6"/>
        <v>0</v>
      </c>
      <c r="V23" s="230" t="str">
        <f t="shared" si="7"/>
        <v/>
      </c>
      <c r="W23" s="11"/>
      <c r="X23" s="1"/>
      <c r="Y23" s="11"/>
      <c r="Z23" s="11"/>
      <c r="AA23" s="11"/>
      <c r="AB23" s="11"/>
      <c r="AC23" s="11"/>
      <c r="AD23" s="11"/>
      <c r="AE23" s="11"/>
      <c r="AF23" s="177"/>
    </row>
    <row r="24" spans="1:33" ht="12.75" customHeight="1">
      <c r="A24" s="231" t="str">
        <f t="shared" si="0"/>
        <v>H-707R-UVL (Bright Orange)</v>
      </c>
      <c r="B24" s="232">
        <f t="shared" si="1"/>
        <v>70071623972</v>
      </c>
      <c r="C24" s="226">
        <v>70071623238</v>
      </c>
      <c r="D24" s="237" t="s">
        <v>439</v>
      </c>
      <c r="E24" s="226">
        <v>70071653904</v>
      </c>
      <c r="F24" s="227" t="s">
        <v>440</v>
      </c>
      <c r="G24" s="226">
        <v>70071653912</v>
      </c>
      <c r="H24" s="227" t="s">
        <v>441</v>
      </c>
      <c r="I24" s="228">
        <v>70071623972</v>
      </c>
      <c r="J24" s="227" t="s">
        <v>438</v>
      </c>
      <c r="K24" s="200" t="s">
        <v>154</v>
      </c>
      <c r="L24" s="17">
        <v>20</v>
      </c>
      <c r="M24" s="18">
        <v>257.55</v>
      </c>
      <c r="N24" s="229"/>
      <c r="O24" s="18">
        <f t="shared" si="2"/>
        <v>0</v>
      </c>
      <c r="P24" s="18">
        <f t="shared" si="3"/>
        <v>0</v>
      </c>
      <c r="Q24" s="18">
        <f t="shared" si="8"/>
        <v>0</v>
      </c>
      <c r="R24" s="18">
        <f t="shared" ref="R24" si="10">IF(O24=0,0,O24+P24+Q24)</f>
        <v>0</v>
      </c>
      <c r="S24" s="18">
        <f t="shared" ref="S24" si="11">IF(N24=0,0,O24+$AE$11+Q24)</f>
        <v>0</v>
      </c>
      <c r="T24" s="18">
        <f t="shared" ref="T24" si="12">N24*R24</f>
        <v>0</v>
      </c>
      <c r="U24" s="81">
        <f t="shared" ref="U24" si="13">N24*S24</f>
        <v>0</v>
      </c>
      <c r="V24" s="230" t="str">
        <f t="shared" si="7"/>
        <v/>
      </c>
      <c r="W24" s="11"/>
      <c r="X24" s="1"/>
      <c r="Y24" s="11"/>
      <c r="Z24" s="11"/>
      <c r="AA24" s="11"/>
      <c r="AB24" s="11"/>
      <c r="AC24" s="11"/>
      <c r="AD24" s="11"/>
      <c r="AE24" s="11"/>
      <c r="AF24" s="177"/>
    </row>
    <row r="25" spans="1:33" ht="12.75" customHeight="1">
      <c r="A25" s="231" t="str">
        <f t="shared" si="0"/>
        <v>H-708R-UVL (Gray)</v>
      </c>
      <c r="B25" s="232">
        <f t="shared" si="1"/>
        <v>70071647518</v>
      </c>
      <c r="C25" s="226">
        <v>70071647500</v>
      </c>
      <c r="D25" s="237" t="s">
        <v>356</v>
      </c>
      <c r="E25" s="226">
        <v>70071653904</v>
      </c>
      <c r="F25" s="227" t="s">
        <v>342</v>
      </c>
      <c r="G25" s="226">
        <v>70071653912</v>
      </c>
      <c r="H25" s="227" t="s">
        <v>343</v>
      </c>
      <c r="I25" s="228">
        <v>70071647518</v>
      </c>
      <c r="J25" s="227" t="s">
        <v>344</v>
      </c>
      <c r="K25" s="200" t="s">
        <v>155</v>
      </c>
      <c r="L25" s="17">
        <v>20</v>
      </c>
      <c r="M25" s="18">
        <v>257.55</v>
      </c>
      <c r="N25" s="229"/>
      <c r="O25" s="18">
        <f t="shared" si="2"/>
        <v>0</v>
      </c>
      <c r="P25" s="18">
        <f t="shared" si="3"/>
        <v>0</v>
      </c>
      <c r="Q25" s="18">
        <f t="shared" si="8"/>
        <v>0</v>
      </c>
      <c r="R25" s="18">
        <f t="shared" si="9"/>
        <v>0</v>
      </c>
      <c r="S25" s="18">
        <f t="shared" si="4"/>
        <v>0</v>
      </c>
      <c r="T25" s="18">
        <f t="shared" si="5"/>
        <v>0</v>
      </c>
      <c r="U25" s="81">
        <f t="shared" si="6"/>
        <v>0</v>
      </c>
      <c r="V25" s="230" t="str">
        <f t="shared" si="7"/>
        <v/>
      </c>
      <c r="W25" s="11"/>
      <c r="X25" s="1"/>
      <c r="Y25" s="11"/>
      <c r="Z25" s="11"/>
      <c r="AA25" s="11"/>
      <c r="AB25" s="11"/>
      <c r="AC25" s="11"/>
      <c r="AD25" s="11"/>
      <c r="AE25" s="11"/>
      <c r="AF25" s="177"/>
    </row>
    <row r="26" spans="1:33" ht="12.75" customHeight="1">
      <c r="A26" s="231" t="str">
        <f t="shared" si="0"/>
        <v>H-709R-UVL (Bright Yellow)</v>
      </c>
      <c r="B26" s="232">
        <f t="shared" si="1"/>
        <v>70071614856</v>
      </c>
      <c r="C26" s="226">
        <v>70071614351</v>
      </c>
      <c r="D26" s="237" t="s">
        <v>357</v>
      </c>
      <c r="E26" s="226">
        <v>70071653904</v>
      </c>
      <c r="F26" s="227" t="s">
        <v>186</v>
      </c>
      <c r="G26" s="226">
        <v>70071653912</v>
      </c>
      <c r="H26" s="227" t="s">
        <v>307</v>
      </c>
      <c r="I26" s="228">
        <v>70071614856</v>
      </c>
      <c r="J26" s="227" t="s">
        <v>9</v>
      </c>
      <c r="K26" s="200" t="s">
        <v>151</v>
      </c>
      <c r="L26" s="17">
        <v>20</v>
      </c>
      <c r="M26" s="18">
        <v>257.55</v>
      </c>
      <c r="N26" s="229"/>
      <c r="O26" s="18">
        <f t="shared" si="2"/>
        <v>0</v>
      </c>
      <c r="P26" s="18">
        <f t="shared" si="3"/>
        <v>0</v>
      </c>
      <c r="Q26" s="18">
        <f t="shared" si="8"/>
        <v>0</v>
      </c>
      <c r="R26" s="18">
        <f t="shared" si="9"/>
        <v>0</v>
      </c>
      <c r="S26" s="18">
        <f t="shared" si="4"/>
        <v>0</v>
      </c>
      <c r="T26" s="18">
        <f t="shared" si="5"/>
        <v>0</v>
      </c>
      <c r="U26" s="81">
        <f t="shared" si="6"/>
        <v>0</v>
      </c>
      <c r="V26" s="230" t="str">
        <f t="shared" si="7"/>
        <v/>
      </c>
      <c r="W26" s="11"/>
      <c r="X26" s="1"/>
      <c r="Y26" s="11"/>
      <c r="Z26" s="11"/>
      <c r="AA26" s="11"/>
      <c r="AB26" s="11"/>
      <c r="AC26" s="11"/>
      <c r="AD26" s="11"/>
      <c r="AE26" s="11"/>
      <c r="AF26" s="177"/>
    </row>
    <row r="27" spans="1:33" ht="13.5" thickBot="1">
      <c r="A27" s="231" t="str">
        <f t="shared" si="0"/>
        <v>H-710R-UVL (Navy Blue)</v>
      </c>
      <c r="B27" s="232">
        <f t="shared" si="1"/>
        <v>70071647534</v>
      </c>
      <c r="C27" s="226">
        <v>70071647526</v>
      </c>
      <c r="D27" s="237" t="s">
        <v>358</v>
      </c>
      <c r="E27" s="226">
        <v>70071653904</v>
      </c>
      <c r="F27" s="227" t="s">
        <v>345</v>
      </c>
      <c r="G27" s="226">
        <v>70071653912</v>
      </c>
      <c r="H27" s="227" t="s">
        <v>346</v>
      </c>
      <c r="I27" s="228">
        <v>70071647534</v>
      </c>
      <c r="J27" s="227" t="s">
        <v>347</v>
      </c>
      <c r="K27" s="200" t="s">
        <v>156</v>
      </c>
      <c r="L27" s="17">
        <v>20</v>
      </c>
      <c r="M27" s="18">
        <v>257.55</v>
      </c>
      <c r="N27" s="229"/>
      <c r="O27" s="18">
        <f t="shared" si="2"/>
        <v>0</v>
      </c>
      <c r="P27" s="18">
        <f t="shared" si="3"/>
        <v>0</v>
      </c>
      <c r="Q27" s="18">
        <f t="shared" si="8"/>
        <v>0</v>
      </c>
      <c r="R27" s="18">
        <f t="shared" si="9"/>
        <v>0</v>
      </c>
      <c r="S27" s="18">
        <f t="shared" si="4"/>
        <v>0</v>
      </c>
      <c r="T27" s="18">
        <f t="shared" si="5"/>
        <v>0</v>
      </c>
      <c r="U27" s="81">
        <f t="shared" si="6"/>
        <v>0</v>
      </c>
      <c r="V27" s="114" t="str">
        <f t="shared" si="7"/>
        <v/>
      </c>
      <c r="W27" s="11"/>
      <c r="X27" s="1"/>
      <c r="Y27" s="11"/>
      <c r="Z27" s="11"/>
      <c r="AA27" s="11"/>
      <c r="AB27" s="11"/>
      <c r="AC27" s="11"/>
      <c r="AD27" s="11"/>
      <c r="AE27" s="11"/>
      <c r="AF27" s="177"/>
    </row>
    <row r="28" spans="1:33" ht="15.75" customHeight="1" thickBot="1">
      <c r="A28" s="149" t="s">
        <v>135</v>
      </c>
      <c r="B28" s="150"/>
      <c r="C28" s="224"/>
      <c r="D28" s="150"/>
      <c r="E28" s="224"/>
      <c r="F28" s="153"/>
      <c r="G28" s="224"/>
      <c r="H28" s="153"/>
      <c r="I28" s="150"/>
      <c r="J28" s="150"/>
      <c r="K28" s="192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15"/>
      <c r="W28" s="11"/>
      <c r="X28" s="1"/>
      <c r="Y28" s="11"/>
      <c r="Z28" s="11"/>
      <c r="AA28" s="11"/>
      <c r="AB28" s="11"/>
      <c r="AC28" s="11"/>
      <c r="AD28" s="11"/>
      <c r="AE28" s="11"/>
      <c r="AF28" s="180"/>
      <c r="AG28" s="16"/>
    </row>
    <row r="29" spans="1:33" ht="13.5" customHeight="1">
      <c r="A29" s="94" t="str">
        <f>IF($Q$9="REFLECTIVE ONLY",F29,IF($Q$9="LOGO &amp; REFLECTIVE",H29,J29))</f>
        <v>H-701V-UVL (White)</v>
      </c>
      <c r="B29" s="154">
        <f>IF($Q$9="REFLECTIVE ONLY",E29,IF($Q$9="LOGO &amp; REFLECTIVE",G29,I29))</f>
        <v>70071614864</v>
      </c>
      <c r="C29" s="239">
        <v>70071614369</v>
      </c>
      <c r="D29" s="235" t="s">
        <v>359</v>
      </c>
      <c r="E29" s="221">
        <v>70071653862</v>
      </c>
      <c r="F29" s="199" t="s">
        <v>187</v>
      </c>
      <c r="G29" s="221">
        <v>70071653870</v>
      </c>
      <c r="H29" s="199" t="s">
        <v>308</v>
      </c>
      <c r="I29" s="198">
        <v>70071614864</v>
      </c>
      <c r="J29" s="199" t="s">
        <v>10</v>
      </c>
      <c r="K29" s="198" t="s">
        <v>146</v>
      </c>
      <c r="L29" s="95">
        <v>20</v>
      </c>
      <c r="M29" s="98">
        <v>272.7</v>
      </c>
      <c r="N29" s="97"/>
      <c r="O29" s="98">
        <f>IF(N29=0,0,M29* (1-$Q$6))</f>
        <v>0</v>
      </c>
      <c r="P29" s="98">
        <f>IF(O29=0,0,$AE$7)</f>
        <v>0</v>
      </c>
      <c r="Q29" s="98">
        <f t="shared" ref="Q29:Q32" si="14">IF($Q$9="None", 0, IF(AND($Q$9 &lt;&gt; "NONE",N29&lt;&gt;0), (L29*8) * (1 - Q$6 ),0))</f>
        <v>0</v>
      </c>
      <c r="R29" s="98">
        <f t="shared" ref="R29:R32" si="15">IF(O29=0,0,O29+P29+Q29)</f>
        <v>0</v>
      </c>
      <c r="S29" s="98">
        <f>IF(N29=0,0,O29+$AE$11+Q29)</f>
        <v>0</v>
      </c>
      <c r="T29" s="98">
        <f>N29*R29</f>
        <v>0</v>
      </c>
      <c r="U29" s="99">
        <f>N29*S29</f>
        <v>0</v>
      </c>
      <c r="V29" s="112" t="str">
        <f>IF(AND($Q$9="REFLECTIVE ONLY",N29&lt;&gt;0)=TRUE,K29,"")</f>
        <v/>
      </c>
      <c r="W29" s="11"/>
      <c r="X29" s="1"/>
      <c r="Y29" s="11"/>
      <c r="Z29" s="11"/>
      <c r="AA29" s="11"/>
      <c r="AB29" s="11"/>
      <c r="AC29" s="11"/>
      <c r="AD29" s="11"/>
      <c r="AE29" s="11"/>
      <c r="AF29" s="177"/>
    </row>
    <row r="30" spans="1:33">
      <c r="A30" s="82" t="str">
        <f>IF($Q$9="REFLECTIVE ONLY",F30,IF($Q$9="LOGO &amp; REFLECTIVE",H30,J30))</f>
        <v>H-702V-UVL (Yellow)</v>
      </c>
      <c r="B30" s="155">
        <f>IF($Q$9="REFLECTIVE ONLY",E30,IF($Q$9="LOGO &amp; REFLECTIVE",G30,I30))</f>
        <v>70071614872</v>
      </c>
      <c r="C30" s="240">
        <v>70071614377</v>
      </c>
      <c r="D30" s="236" t="s">
        <v>360</v>
      </c>
      <c r="E30" s="222">
        <v>70071653862</v>
      </c>
      <c r="F30" s="201" t="s">
        <v>188</v>
      </c>
      <c r="G30" s="222">
        <v>70071653870</v>
      </c>
      <c r="H30" s="201" t="s">
        <v>309</v>
      </c>
      <c r="I30" s="200">
        <v>70071614872</v>
      </c>
      <c r="J30" s="201" t="s">
        <v>11</v>
      </c>
      <c r="K30" s="200" t="s">
        <v>147</v>
      </c>
      <c r="L30" s="17">
        <v>20</v>
      </c>
      <c r="M30" s="18">
        <v>272.7</v>
      </c>
      <c r="N30" s="76"/>
      <c r="O30" s="18">
        <f>IF(N30=0,0,M30* (1-$Q$6))</f>
        <v>0</v>
      </c>
      <c r="P30" s="18">
        <f>IF(O30=0,0,$AE$7)</f>
        <v>0</v>
      </c>
      <c r="Q30" s="18">
        <f t="shared" si="14"/>
        <v>0</v>
      </c>
      <c r="R30" s="18">
        <f t="shared" si="15"/>
        <v>0</v>
      </c>
      <c r="S30" s="18">
        <f>IF(N30=0,0,O30+$AE$11+Q30)</f>
        <v>0</v>
      </c>
      <c r="T30" s="18">
        <f>N30*R30</f>
        <v>0</v>
      </c>
      <c r="U30" s="81">
        <f>N30*S30</f>
        <v>0</v>
      </c>
      <c r="V30" s="113" t="str">
        <f>IF(AND($Q$9="REFLECTIVE ONLY",N30&lt;&gt;0)=TRUE,K30,"")</f>
        <v/>
      </c>
      <c r="W30" s="11"/>
      <c r="X30" s="11"/>
      <c r="Y30" s="11"/>
      <c r="Z30" s="11"/>
      <c r="AA30" s="11"/>
      <c r="AB30" s="11"/>
      <c r="AC30" s="11"/>
      <c r="AD30" s="11"/>
      <c r="AE30" s="11"/>
      <c r="AF30" s="177"/>
    </row>
    <row r="31" spans="1:33" ht="12.75" customHeight="1">
      <c r="A31" s="82" t="str">
        <f>IF($Q$9="REFLECTIVE ONLY",F31,IF($Q$9="LOGO &amp; REFLECTIVE",H31,J31))</f>
        <v>H-703V-UVL (Blue)</v>
      </c>
      <c r="B31" s="155">
        <f>IF($Q$9="REFLECTIVE ONLY",E31,IF($Q$9="LOGO &amp; REFLECTIVE",G31,I31))</f>
        <v>70071614880</v>
      </c>
      <c r="C31" s="240">
        <v>70071614385</v>
      </c>
      <c r="D31" s="236" t="s">
        <v>361</v>
      </c>
      <c r="E31" s="222">
        <v>70071653862</v>
      </c>
      <c r="F31" s="201" t="s">
        <v>189</v>
      </c>
      <c r="G31" s="222">
        <v>70071653870</v>
      </c>
      <c r="H31" s="201" t="s">
        <v>310</v>
      </c>
      <c r="I31" s="200">
        <v>70071614880</v>
      </c>
      <c r="J31" s="201" t="s">
        <v>12</v>
      </c>
      <c r="K31" s="200" t="s">
        <v>149</v>
      </c>
      <c r="L31" s="17">
        <v>20</v>
      </c>
      <c r="M31" s="18">
        <v>272.7</v>
      </c>
      <c r="N31" s="76"/>
      <c r="O31" s="18">
        <f>IF(N31=0,0,M31* (1-$Q$6))</f>
        <v>0</v>
      </c>
      <c r="P31" s="18">
        <f>IF(O31=0,0,$AE$7)</f>
        <v>0</v>
      </c>
      <c r="Q31" s="18">
        <f t="shared" si="14"/>
        <v>0</v>
      </c>
      <c r="R31" s="18">
        <f t="shared" si="15"/>
        <v>0</v>
      </c>
      <c r="S31" s="18">
        <f>IF(N31=0,0,O31+$AE$11+Q31)</f>
        <v>0</v>
      </c>
      <c r="T31" s="18">
        <f>N31*R31</f>
        <v>0</v>
      </c>
      <c r="U31" s="81">
        <f>N31*S31</f>
        <v>0</v>
      </c>
      <c r="V31" s="113" t="str">
        <f>IF(AND($Q$9="REFLECTIVE ONLY",N31&lt;&gt;0)=TRUE,K31,"")</f>
        <v/>
      </c>
      <c r="W31" s="11"/>
      <c r="X31" s="11"/>
      <c r="Y31" s="11"/>
      <c r="Z31" s="11"/>
      <c r="AA31" s="11"/>
      <c r="AB31" s="11"/>
      <c r="AC31" s="11"/>
      <c r="AD31" s="11"/>
      <c r="AE31" s="11"/>
      <c r="AF31" s="177"/>
    </row>
    <row r="32" spans="1:33" ht="13.5" customHeight="1" thickBot="1">
      <c r="A32" s="100" t="str">
        <f>IF($Q$9="REFLECTIVE ONLY",F32,IF($Q$9="LOGO &amp; REFLECTIVE",H32,J32))</f>
        <v>H-704V-UVL (Green)</v>
      </c>
      <c r="B32" s="156">
        <f>IF($Q$9="REFLECTIVE ONLY",E32,IF($Q$9="LOGO &amp; REFLECTIVE",G32,I32))</f>
        <v>70071614898</v>
      </c>
      <c r="C32" s="241">
        <v>70071614393</v>
      </c>
      <c r="D32" s="238" t="s">
        <v>362</v>
      </c>
      <c r="E32" s="223">
        <v>70071653862</v>
      </c>
      <c r="F32" s="203" t="s">
        <v>190</v>
      </c>
      <c r="G32" s="223">
        <v>70071653870</v>
      </c>
      <c r="H32" s="203" t="s">
        <v>311</v>
      </c>
      <c r="I32" s="202">
        <v>70071614898</v>
      </c>
      <c r="J32" s="203" t="s">
        <v>13</v>
      </c>
      <c r="K32" s="202" t="s">
        <v>150</v>
      </c>
      <c r="L32" s="101">
        <v>20</v>
      </c>
      <c r="M32" s="104">
        <v>272.7</v>
      </c>
      <c r="N32" s="103"/>
      <c r="O32" s="104">
        <f>IF(N32=0,0,M32* (1-$Q$6))</f>
        <v>0</v>
      </c>
      <c r="P32" s="104">
        <f>IF(O32=0,0,$AE$7)</f>
        <v>0</v>
      </c>
      <c r="Q32" s="104">
        <f t="shared" si="14"/>
        <v>0</v>
      </c>
      <c r="R32" s="104">
        <f t="shared" si="15"/>
        <v>0</v>
      </c>
      <c r="S32" s="104">
        <f>IF(N32=0,0,O32+$AE$11+Q32)</f>
        <v>0</v>
      </c>
      <c r="T32" s="104">
        <f>N32*R32</f>
        <v>0</v>
      </c>
      <c r="U32" s="105">
        <f>N32*S32</f>
        <v>0</v>
      </c>
      <c r="V32" s="114" t="str">
        <f>IF(AND($Q$9="REFLECTIVE ONLY",N32&lt;&gt;0)=TRUE,K32,"")</f>
        <v/>
      </c>
      <c r="W32" s="11"/>
      <c r="X32" s="11"/>
      <c r="Y32" s="11"/>
      <c r="Z32" s="11"/>
      <c r="AA32" s="11"/>
      <c r="AB32" s="11"/>
      <c r="AC32" s="11"/>
      <c r="AD32" s="11"/>
      <c r="AE32" s="11"/>
      <c r="AF32" s="177"/>
    </row>
    <row r="33" spans="1:33" s="21" customFormat="1" ht="16.5" customHeight="1" thickBot="1">
      <c r="A33" s="151" t="s">
        <v>129</v>
      </c>
      <c r="B33" s="152"/>
      <c r="C33" s="224"/>
      <c r="D33" s="150"/>
      <c r="E33" s="224"/>
      <c r="F33" s="153"/>
      <c r="G33" s="224"/>
      <c r="H33" s="153"/>
      <c r="I33" s="150"/>
      <c r="J33" s="150"/>
      <c r="K33" s="19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15"/>
      <c r="W33" s="11"/>
      <c r="X33" s="20"/>
      <c r="Y33" s="20"/>
      <c r="Z33" s="20"/>
      <c r="AA33" s="20"/>
      <c r="AB33" s="20"/>
      <c r="AC33" s="20"/>
      <c r="AD33" s="20"/>
      <c r="AE33" s="20"/>
      <c r="AF33" s="181"/>
      <c r="AG33" s="19"/>
    </row>
    <row r="34" spans="1:33">
      <c r="A34" s="94" t="str">
        <f t="shared" ref="A34:A43" si="16">IF($Q$9="REFLECTIVE ONLY",F34,IF($Q$9="LOGO &amp; REFLECTIVE",H34,J34))</f>
        <v>H-701RL (White)</v>
      </c>
      <c r="B34" s="154">
        <f t="shared" ref="B34:B43" si="17">IF($Q$9="REFLECTIVE ONLY",E34,IF($Q$9="LOGO &amp; REFLECTIVE",G34,I34))</f>
        <v>70071578549</v>
      </c>
      <c r="C34" s="239">
        <v>70071577921</v>
      </c>
      <c r="D34" s="235" t="s">
        <v>363</v>
      </c>
      <c r="E34" s="221">
        <v>70071653888</v>
      </c>
      <c r="F34" s="199" t="s">
        <v>191</v>
      </c>
      <c r="G34" s="221">
        <v>70071653896</v>
      </c>
      <c r="H34" s="199" t="s">
        <v>312</v>
      </c>
      <c r="I34" s="198">
        <v>70071578549</v>
      </c>
      <c r="J34" s="199" t="s">
        <v>14</v>
      </c>
      <c r="K34" s="198" t="s">
        <v>146</v>
      </c>
      <c r="L34" s="95">
        <v>20</v>
      </c>
      <c r="M34" s="98">
        <v>211.19</v>
      </c>
      <c r="N34" s="97"/>
      <c r="O34" s="98">
        <f t="shared" ref="O34:O43" si="18">IF(N34=0,0,M34* (1-$Q$6))</f>
        <v>0</v>
      </c>
      <c r="P34" s="98">
        <f t="shared" ref="P34:P43" si="19">IF(O34=0,0,$AE$7)</f>
        <v>0</v>
      </c>
      <c r="Q34" s="98">
        <f t="shared" ref="Q34:Q43" si="20">IF($Q$9="None", 0, IF(AND($Q$9 &lt;&gt; "NONE",N34&lt;&gt;0), (L34*8) * (1 - Q$6 ),0))</f>
        <v>0</v>
      </c>
      <c r="R34" s="98">
        <f t="shared" ref="R34:R43" si="21">IF(O34=0,0,O34+P34+Q34)</f>
        <v>0</v>
      </c>
      <c r="S34" s="98">
        <f t="shared" ref="S34:S43" si="22">IF(N34=0,0,O34+$AE$11+Q34)</f>
        <v>0</v>
      </c>
      <c r="T34" s="98">
        <f t="shared" ref="T34:T43" si="23">N34*R34</f>
        <v>0</v>
      </c>
      <c r="U34" s="99">
        <f t="shared" ref="U34:U43" si="24">N34*S34</f>
        <v>0</v>
      </c>
      <c r="V34" s="112" t="str">
        <f t="shared" ref="V34:V43" si="25">IF(AND($Q$9="REFLECTIVE ONLY",N34&lt;&gt;0)=TRUE,K34,"")</f>
        <v/>
      </c>
      <c r="W34" s="20"/>
      <c r="X34" s="11"/>
      <c r="Y34" s="11"/>
      <c r="Z34" s="11"/>
      <c r="AA34" s="11"/>
      <c r="AB34" s="11"/>
      <c r="AC34" s="11"/>
      <c r="AD34" s="11"/>
      <c r="AE34" s="11"/>
      <c r="AF34" s="177"/>
    </row>
    <row r="35" spans="1:33">
      <c r="A35" s="82" t="str">
        <f t="shared" si="16"/>
        <v>H-702RL (Yellow)</v>
      </c>
      <c r="B35" s="155">
        <f t="shared" si="17"/>
        <v>70071578556</v>
      </c>
      <c r="C35" s="240">
        <v>70071577939</v>
      </c>
      <c r="D35" s="236" t="s">
        <v>364</v>
      </c>
      <c r="E35" s="222">
        <v>70071653888</v>
      </c>
      <c r="F35" s="201" t="s">
        <v>192</v>
      </c>
      <c r="G35" s="222">
        <v>70071653896</v>
      </c>
      <c r="H35" s="201" t="s">
        <v>313</v>
      </c>
      <c r="I35" s="200">
        <v>70071578556</v>
      </c>
      <c r="J35" s="201" t="s">
        <v>15</v>
      </c>
      <c r="K35" s="200" t="s">
        <v>147</v>
      </c>
      <c r="L35" s="17">
        <v>20</v>
      </c>
      <c r="M35" s="18">
        <v>211.19</v>
      </c>
      <c r="N35" s="76"/>
      <c r="O35" s="18">
        <f t="shared" si="18"/>
        <v>0</v>
      </c>
      <c r="P35" s="18">
        <f t="shared" si="19"/>
        <v>0</v>
      </c>
      <c r="Q35" s="18">
        <f t="shared" si="20"/>
        <v>0</v>
      </c>
      <c r="R35" s="18">
        <f t="shared" si="21"/>
        <v>0</v>
      </c>
      <c r="S35" s="18">
        <f t="shared" si="22"/>
        <v>0</v>
      </c>
      <c r="T35" s="18">
        <f t="shared" si="23"/>
        <v>0</v>
      </c>
      <c r="U35" s="81">
        <f t="shared" si="24"/>
        <v>0</v>
      </c>
      <c r="V35" s="113" t="str">
        <f t="shared" si="25"/>
        <v/>
      </c>
      <c r="W35" s="11"/>
      <c r="X35" s="11"/>
      <c r="Y35" s="11"/>
      <c r="Z35" s="11"/>
      <c r="AA35" s="11"/>
      <c r="AB35" s="11"/>
      <c r="AC35" s="11"/>
      <c r="AD35" s="11"/>
      <c r="AE35" s="11"/>
      <c r="AF35" s="177"/>
    </row>
    <row r="36" spans="1:33">
      <c r="A36" s="82" t="str">
        <f t="shared" si="16"/>
        <v>H-703RL (Blue)</v>
      </c>
      <c r="B36" s="155">
        <f t="shared" si="17"/>
        <v>70071578564</v>
      </c>
      <c r="C36" s="240">
        <v>70071577947</v>
      </c>
      <c r="D36" s="236" t="s">
        <v>365</v>
      </c>
      <c r="E36" s="222">
        <v>70071653888</v>
      </c>
      <c r="F36" s="201" t="s">
        <v>193</v>
      </c>
      <c r="G36" s="222">
        <v>70071653896</v>
      </c>
      <c r="H36" s="201" t="s">
        <v>314</v>
      </c>
      <c r="I36" s="200">
        <v>70071578564</v>
      </c>
      <c r="J36" s="201" t="s">
        <v>16</v>
      </c>
      <c r="K36" s="200" t="s">
        <v>149</v>
      </c>
      <c r="L36" s="17">
        <v>20</v>
      </c>
      <c r="M36" s="18">
        <v>211.19</v>
      </c>
      <c r="N36" s="76"/>
      <c r="O36" s="18">
        <f t="shared" si="18"/>
        <v>0</v>
      </c>
      <c r="P36" s="18">
        <f t="shared" si="19"/>
        <v>0</v>
      </c>
      <c r="Q36" s="18">
        <f t="shared" si="20"/>
        <v>0</v>
      </c>
      <c r="R36" s="18">
        <f t="shared" si="21"/>
        <v>0</v>
      </c>
      <c r="S36" s="18">
        <f t="shared" si="22"/>
        <v>0</v>
      </c>
      <c r="T36" s="18">
        <f t="shared" si="23"/>
        <v>0</v>
      </c>
      <c r="U36" s="81">
        <f t="shared" si="24"/>
        <v>0</v>
      </c>
      <c r="V36" s="113" t="str">
        <f t="shared" si="25"/>
        <v/>
      </c>
      <c r="W36" s="11"/>
      <c r="X36" s="11"/>
      <c r="Y36" s="11"/>
      <c r="Z36" s="11"/>
      <c r="AA36" s="11"/>
      <c r="AB36" s="11"/>
      <c r="AC36" s="11"/>
      <c r="AD36" s="11"/>
      <c r="AE36" s="11"/>
      <c r="AF36" s="177"/>
    </row>
    <row r="37" spans="1:33">
      <c r="A37" s="82" t="str">
        <f t="shared" si="16"/>
        <v>H-704RL (Green)</v>
      </c>
      <c r="B37" s="155">
        <f t="shared" si="17"/>
        <v>70071578572</v>
      </c>
      <c r="C37" s="240">
        <v>70071577954</v>
      </c>
      <c r="D37" s="236" t="s">
        <v>366</v>
      </c>
      <c r="E37" s="222">
        <v>70071653888</v>
      </c>
      <c r="F37" s="201" t="s">
        <v>194</v>
      </c>
      <c r="G37" s="222">
        <v>70071653896</v>
      </c>
      <c r="H37" s="201" t="s">
        <v>315</v>
      </c>
      <c r="I37" s="200">
        <v>70071578572</v>
      </c>
      <c r="J37" s="201" t="s">
        <v>17</v>
      </c>
      <c r="K37" s="200" t="s">
        <v>150</v>
      </c>
      <c r="L37" s="17">
        <v>20</v>
      </c>
      <c r="M37" s="18">
        <v>211.19</v>
      </c>
      <c r="N37" s="76"/>
      <c r="O37" s="18">
        <f t="shared" si="18"/>
        <v>0</v>
      </c>
      <c r="P37" s="18">
        <f t="shared" si="19"/>
        <v>0</v>
      </c>
      <c r="Q37" s="18">
        <f t="shared" si="20"/>
        <v>0</v>
      </c>
      <c r="R37" s="18">
        <f t="shared" si="21"/>
        <v>0</v>
      </c>
      <c r="S37" s="18">
        <f t="shared" si="22"/>
        <v>0</v>
      </c>
      <c r="T37" s="18">
        <f t="shared" si="23"/>
        <v>0</v>
      </c>
      <c r="U37" s="81">
        <f t="shared" si="24"/>
        <v>0</v>
      </c>
      <c r="V37" s="113" t="str">
        <f t="shared" si="25"/>
        <v/>
      </c>
      <c r="W37" s="11"/>
      <c r="X37" s="11"/>
      <c r="Y37" s="11"/>
      <c r="Z37" s="11"/>
      <c r="AA37" s="11"/>
      <c r="AB37" s="11"/>
      <c r="AC37" s="11"/>
      <c r="AD37" s="11"/>
      <c r="AE37" s="11"/>
      <c r="AF37" s="177"/>
    </row>
    <row r="38" spans="1:33">
      <c r="A38" s="82" t="str">
        <f t="shared" si="16"/>
        <v>H-705RL (Red)</v>
      </c>
      <c r="B38" s="155">
        <f t="shared" si="17"/>
        <v>70071578580</v>
      </c>
      <c r="C38" s="240">
        <v>70071577962</v>
      </c>
      <c r="D38" s="236" t="s">
        <v>367</v>
      </c>
      <c r="E38" s="222">
        <v>70071653888</v>
      </c>
      <c r="F38" s="201" t="s">
        <v>195</v>
      </c>
      <c r="G38" s="222">
        <v>70071653896</v>
      </c>
      <c r="H38" s="201" t="s">
        <v>316</v>
      </c>
      <c r="I38" s="200">
        <v>70071578580</v>
      </c>
      <c r="J38" s="201" t="s">
        <v>18</v>
      </c>
      <c r="K38" s="200" t="s">
        <v>152</v>
      </c>
      <c r="L38" s="17">
        <v>20</v>
      </c>
      <c r="M38" s="18">
        <v>211.19</v>
      </c>
      <c r="N38" s="76"/>
      <c r="O38" s="18">
        <f t="shared" si="18"/>
        <v>0</v>
      </c>
      <c r="P38" s="18">
        <f t="shared" si="19"/>
        <v>0</v>
      </c>
      <c r="Q38" s="18">
        <f t="shared" si="20"/>
        <v>0</v>
      </c>
      <c r="R38" s="18">
        <f t="shared" si="21"/>
        <v>0</v>
      </c>
      <c r="S38" s="18">
        <f t="shared" si="22"/>
        <v>0</v>
      </c>
      <c r="T38" s="18">
        <f t="shared" si="23"/>
        <v>0</v>
      </c>
      <c r="U38" s="81">
        <f t="shared" si="24"/>
        <v>0</v>
      </c>
      <c r="V38" s="113" t="str">
        <f t="shared" si="25"/>
        <v/>
      </c>
      <c r="W38" s="11"/>
      <c r="X38" s="11"/>
      <c r="Y38" s="11"/>
      <c r="Z38" s="11"/>
      <c r="AA38" s="11"/>
      <c r="AB38" s="11"/>
      <c r="AC38" s="11"/>
      <c r="AD38" s="11"/>
      <c r="AE38" s="11"/>
      <c r="AF38" s="177"/>
    </row>
    <row r="39" spans="1:33">
      <c r="A39" s="82" t="str">
        <f t="shared" si="16"/>
        <v>H-706RL (Orange)</v>
      </c>
      <c r="B39" s="155">
        <f t="shared" si="17"/>
        <v>70071578598</v>
      </c>
      <c r="C39" s="240">
        <v>70071577970</v>
      </c>
      <c r="D39" s="236" t="s">
        <v>368</v>
      </c>
      <c r="E39" s="222">
        <v>70071653888</v>
      </c>
      <c r="F39" s="201" t="s">
        <v>196</v>
      </c>
      <c r="G39" s="222">
        <v>70071653896</v>
      </c>
      <c r="H39" s="201" t="s">
        <v>317</v>
      </c>
      <c r="I39" s="200">
        <v>70071578598</v>
      </c>
      <c r="J39" s="201" t="s">
        <v>19</v>
      </c>
      <c r="K39" s="200" t="s">
        <v>153</v>
      </c>
      <c r="L39" s="17">
        <v>20</v>
      </c>
      <c r="M39" s="18">
        <v>211.19</v>
      </c>
      <c r="N39" s="76"/>
      <c r="O39" s="18">
        <f t="shared" si="18"/>
        <v>0</v>
      </c>
      <c r="P39" s="18">
        <f t="shared" si="19"/>
        <v>0</v>
      </c>
      <c r="Q39" s="18">
        <f t="shared" si="20"/>
        <v>0</v>
      </c>
      <c r="R39" s="18">
        <f t="shared" si="21"/>
        <v>0</v>
      </c>
      <c r="S39" s="18">
        <f t="shared" si="22"/>
        <v>0</v>
      </c>
      <c r="T39" s="18">
        <f t="shared" si="23"/>
        <v>0</v>
      </c>
      <c r="U39" s="81">
        <f t="shared" si="24"/>
        <v>0</v>
      </c>
      <c r="V39" s="113" t="str">
        <f t="shared" si="25"/>
        <v/>
      </c>
      <c r="W39" s="11"/>
      <c r="X39" s="11"/>
      <c r="Y39" s="11"/>
      <c r="Z39" s="11"/>
      <c r="AA39" s="11"/>
      <c r="AB39" s="11"/>
      <c r="AC39" s="11"/>
      <c r="AD39" s="11"/>
      <c r="AE39" s="11"/>
      <c r="AF39" s="177"/>
    </row>
    <row r="40" spans="1:33">
      <c r="A40" s="82" t="str">
        <f t="shared" si="16"/>
        <v>H-707RL (Bright Orange)</v>
      </c>
      <c r="B40" s="155">
        <f t="shared" si="17"/>
        <v>70071578606</v>
      </c>
      <c r="C40" s="240">
        <v>70071577988</v>
      </c>
      <c r="D40" s="236" t="s">
        <v>369</v>
      </c>
      <c r="E40" s="222">
        <v>70071653888</v>
      </c>
      <c r="F40" s="201" t="s">
        <v>197</v>
      </c>
      <c r="G40" s="222">
        <v>70071653896</v>
      </c>
      <c r="H40" s="201" t="s">
        <v>318</v>
      </c>
      <c r="I40" s="200">
        <v>70071578606</v>
      </c>
      <c r="J40" s="201" t="s">
        <v>20</v>
      </c>
      <c r="K40" s="200" t="s">
        <v>154</v>
      </c>
      <c r="L40" s="17">
        <v>20</v>
      </c>
      <c r="M40" s="18">
        <v>211.19</v>
      </c>
      <c r="N40" s="76"/>
      <c r="O40" s="18">
        <f t="shared" si="18"/>
        <v>0</v>
      </c>
      <c r="P40" s="18">
        <f t="shared" si="19"/>
        <v>0</v>
      </c>
      <c r="Q40" s="18">
        <f t="shared" si="20"/>
        <v>0</v>
      </c>
      <c r="R40" s="18">
        <f t="shared" si="21"/>
        <v>0</v>
      </c>
      <c r="S40" s="18">
        <f t="shared" si="22"/>
        <v>0</v>
      </c>
      <c r="T40" s="18">
        <f t="shared" si="23"/>
        <v>0</v>
      </c>
      <c r="U40" s="81">
        <f t="shared" si="24"/>
        <v>0</v>
      </c>
      <c r="V40" s="113" t="str">
        <f t="shared" si="25"/>
        <v/>
      </c>
      <c r="W40" s="11"/>
      <c r="X40" s="11"/>
      <c r="Y40" s="11"/>
      <c r="Z40" s="11"/>
      <c r="AA40" s="11"/>
      <c r="AB40" s="11"/>
      <c r="AC40" s="11"/>
      <c r="AD40" s="11"/>
      <c r="AE40" s="11"/>
      <c r="AF40" s="177"/>
    </row>
    <row r="41" spans="1:33">
      <c r="A41" s="82" t="str">
        <f t="shared" si="16"/>
        <v>H-708RL (Gray)</v>
      </c>
      <c r="B41" s="155">
        <f t="shared" si="17"/>
        <v>70071611506</v>
      </c>
      <c r="C41" s="240">
        <v>70071577996</v>
      </c>
      <c r="D41" s="236" t="s">
        <v>370</v>
      </c>
      <c r="E41" s="222">
        <v>70071653888</v>
      </c>
      <c r="F41" s="201" t="s">
        <v>198</v>
      </c>
      <c r="G41" s="222">
        <v>70071653896</v>
      </c>
      <c r="H41" s="201" t="s">
        <v>319</v>
      </c>
      <c r="I41" s="200">
        <v>70071611506</v>
      </c>
      <c r="J41" s="201" t="s">
        <v>21</v>
      </c>
      <c r="K41" s="200" t="s">
        <v>155</v>
      </c>
      <c r="L41" s="17">
        <v>20</v>
      </c>
      <c r="M41" s="18">
        <v>211.19</v>
      </c>
      <c r="N41" s="76"/>
      <c r="O41" s="18">
        <f t="shared" si="18"/>
        <v>0</v>
      </c>
      <c r="P41" s="18">
        <f t="shared" si="19"/>
        <v>0</v>
      </c>
      <c r="Q41" s="18">
        <f t="shared" si="20"/>
        <v>0</v>
      </c>
      <c r="R41" s="18">
        <f t="shared" si="21"/>
        <v>0</v>
      </c>
      <c r="S41" s="18">
        <f t="shared" si="22"/>
        <v>0</v>
      </c>
      <c r="T41" s="18">
        <f t="shared" si="23"/>
        <v>0</v>
      </c>
      <c r="U41" s="81">
        <f t="shared" si="24"/>
        <v>0</v>
      </c>
      <c r="V41" s="113" t="str">
        <f t="shared" si="25"/>
        <v/>
      </c>
      <c r="W41" s="11"/>
      <c r="X41" s="11"/>
      <c r="Y41" s="11"/>
      <c r="Z41" s="11"/>
      <c r="AA41" s="11"/>
      <c r="AB41" s="11"/>
      <c r="AC41" s="11"/>
      <c r="AD41" s="11"/>
      <c r="AE41" s="11"/>
      <c r="AF41" s="177"/>
    </row>
    <row r="42" spans="1:33">
      <c r="A42" s="82" t="str">
        <f t="shared" si="16"/>
        <v>H-709RL (Bright Yellow)</v>
      </c>
      <c r="B42" s="155">
        <f t="shared" si="17"/>
        <v>70071611514</v>
      </c>
      <c r="C42" s="240">
        <v>70071578002</v>
      </c>
      <c r="D42" s="236" t="s">
        <v>371</v>
      </c>
      <c r="E42" s="222">
        <v>70071653888</v>
      </c>
      <c r="F42" s="201" t="s">
        <v>199</v>
      </c>
      <c r="G42" s="222">
        <v>70071653896</v>
      </c>
      <c r="H42" s="201" t="s">
        <v>320</v>
      </c>
      <c r="I42" s="200">
        <v>70071611514</v>
      </c>
      <c r="J42" s="201" t="s">
        <v>22</v>
      </c>
      <c r="K42" s="200" t="s">
        <v>151</v>
      </c>
      <c r="L42" s="17">
        <v>20</v>
      </c>
      <c r="M42" s="18">
        <v>211.19</v>
      </c>
      <c r="N42" s="76"/>
      <c r="O42" s="18">
        <f t="shared" si="18"/>
        <v>0</v>
      </c>
      <c r="P42" s="18">
        <f t="shared" si="19"/>
        <v>0</v>
      </c>
      <c r="Q42" s="18">
        <f t="shared" si="20"/>
        <v>0</v>
      </c>
      <c r="R42" s="18">
        <f t="shared" si="21"/>
        <v>0</v>
      </c>
      <c r="S42" s="18">
        <f t="shared" si="22"/>
        <v>0</v>
      </c>
      <c r="T42" s="18">
        <f t="shared" si="23"/>
        <v>0</v>
      </c>
      <c r="U42" s="81">
        <f t="shared" si="24"/>
        <v>0</v>
      </c>
      <c r="V42" s="113" t="str">
        <f t="shared" si="25"/>
        <v/>
      </c>
      <c r="W42" s="11"/>
      <c r="X42" s="11"/>
      <c r="Y42" s="11"/>
      <c r="Z42" s="11"/>
      <c r="AA42" s="11"/>
      <c r="AB42" s="11"/>
      <c r="AC42" s="11"/>
      <c r="AD42" s="11"/>
      <c r="AE42" s="11"/>
      <c r="AF42" s="177"/>
    </row>
    <row r="43" spans="1:33" ht="13.5" thickBot="1">
      <c r="A43" s="100" t="str">
        <f t="shared" si="16"/>
        <v>H-710RL (Navy Blue)</v>
      </c>
      <c r="B43" s="156">
        <f t="shared" si="17"/>
        <v>70071611522</v>
      </c>
      <c r="C43" s="241">
        <v>70071578010</v>
      </c>
      <c r="D43" s="238" t="s">
        <v>372</v>
      </c>
      <c r="E43" s="223">
        <v>70071653888</v>
      </c>
      <c r="F43" s="203" t="s">
        <v>200</v>
      </c>
      <c r="G43" s="223">
        <v>70071653896</v>
      </c>
      <c r="H43" s="203" t="s">
        <v>321</v>
      </c>
      <c r="I43" s="202">
        <v>70071611522</v>
      </c>
      <c r="J43" s="203" t="s">
        <v>23</v>
      </c>
      <c r="K43" s="202" t="s">
        <v>156</v>
      </c>
      <c r="L43" s="101">
        <v>20</v>
      </c>
      <c r="M43" s="104">
        <v>211.19</v>
      </c>
      <c r="N43" s="103"/>
      <c r="O43" s="104">
        <f t="shared" si="18"/>
        <v>0</v>
      </c>
      <c r="P43" s="104">
        <f t="shared" si="19"/>
        <v>0</v>
      </c>
      <c r="Q43" s="104">
        <f t="shared" si="20"/>
        <v>0</v>
      </c>
      <c r="R43" s="104">
        <f t="shared" si="21"/>
        <v>0</v>
      </c>
      <c r="S43" s="104">
        <f t="shared" si="22"/>
        <v>0</v>
      </c>
      <c r="T43" s="104">
        <f t="shared" si="23"/>
        <v>0</v>
      </c>
      <c r="U43" s="105">
        <f t="shared" si="24"/>
        <v>0</v>
      </c>
      <c r="V43" s="114" t="str">
        <f t="shared" si="25"/>
        <v/>
      </c>
      <c r="W43" s="11"/>
      <c r="X43" s="11"/>
      <c r="Y43" s="11"/>
      <c r="Z43" s="11"/>
      <c r="AA43" s="11"/>
      <c r="AB43" s="11"/>
      <c r="AC43" s="11"/>
      <c r="AD43" s="11"/>
      <c r="AE43" s="11"/>
      <c r="AF43" s="177"/>
    </row>
    <row r="44" spans="1:33" s="21" customFormat="1" ht="16.5" thickBot="1">
      <c r="A44" s="151" t="s">
        <v>130</v>
      </c>
      <c r="B44" s="152"/>
      <c r="C44" s="224"/>
      <c r="D44" s="150"/>
      <c r="E44" s="224"/>
      <c r="F44" s="153"/>
      <c r="G44" s="224"/>
      <c r="H44" s="153"/>
      <c r="I44" s="150"/>
      <c r="J44" s="150"/>
      <c r="K44" s="19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15"/>
      <c r="W44" s="11"/>
      <c r="X44" s="20"/>
      <c r="Y44" s="20"/>
      <c r="Z44" s="20"/>
      <c r="AA44" s="20"/>
      <c r="AB44" s="20"/>
      <c r="AC44" s="20"/>
      <c r="AD44" s="20"/>
      <c r="AE44" s="20"/>
      <c r="AF44" s="181"/>
      <c r="AG44" s="19"/>
    </row>
    <row r="45" spans="1:33">
      <c r="A45" s="94" t="str">
        <f>IF($Q$9="REFLECTIVE ONLY",F45,IF($Q$9="LOGO &amp; REFLECTIVE",H45,J45))</f>
        <v>H-701VL (White)</v>
      </c>
      <c r="B45" s="154">
        <f>IF($Q$9="REFLECTIVE ONLY",E45,IF($Q$9="LOGO &amp; REFLECTIVE",G45,I45))</f>
        <v>70071611530</v>
      </c>
      <c r="C45" s="239">
        <v>70071578028</v>
      </c>
      <c r="D45" s="235" t="s">
        <v>373</v>
      </c>
      <c r="E45" s="221">
        <v>70071653847</v>
      </c>
      <c r="F45" s="199" t="s">
        <v>201</v>
      </c>
      <c r="G45" s="221">
        <v>70071653854</v>
      </c>
      <c r="H45" s="199" t="s">
        <v>322</v>
      </c>
      <c r="I45" s="198">
        <v>70071611530</v>
      </c>
      <c r="J45" s="199" t="s">
        <v>24</v>
      </c>
      <c r="K45" s="198" t="s">
        <v>146</v>
      </c>
      <c r="L45" s="95">
        <v>20</v>
      </c>
      <c r="M45" s="98">
        <v>226.64</v>
      </c>
      <c r="N45" s="97"/>
      <c r="O45" s="98">
        <f>IF(N45=0,0,M45* (1-$Q$6))</f>
        <v>0</v>
      </c>
      <c r="P45" s="98">
        <f>IF(O45=0,0,$AE$7)</f>
        <v>0</v>
      </c>
      <c r="Q45" s="98">
        <f t="shared" ref="Q45:Q48" si="26">IF($Q$9="None", 0, IF(AND($Q$9 &lt;&gt; "NONE",N45&lt;&gt;0), (L45*8) * (1 - Q$6 ),0))</f>
        <v>0</v>
      </c>
      <c r="R45" s="98">
        <f t="shared" ref="R45:R48" si="27">IF(O45=0,0,O45+P45+Q45)</f>
        <v>0</v>
      </c>
      <c r="S45" s="98">
        <f>IF(N45=0,0,O45+$AE$11+Q45)</f>
        <v>0</v>
      </c>
      <c r="T45" s="98">
        <f>N45*R45</f>
        <v>0</v>
      </c>
      <c r="U45" s="99">
        <f>N45*S45</f>
        <v>0</v>
      </c>
      <c r="V45" s="112" t="str">
        <f>IF(AND($Q$9="REFLECTIVE ONLY",N45&lt;&gt;0)=TRUE,K45,"")</f>
        <v/>
      </c>
      <c r="W45" s="20"/>
      <c r="X45" s="11"/>
      <c r="Y45" s="11"/>
      <c r="Z45" s="11"/>
      <c r="AA45" s="11"/>
      <c r="AB45" s="11"/>
      <c r="AC45" s="11"/>
      <c r="AD45" s="11"/>
      <c r="AE45" s="11"/>
      <c r="AF45" s="177"/>
    </row>
    <row r="46" spans="1:33">
      <c r="A46" s="82" t="str">
        <f>IF($Q$9="REFLECTIVE ONLY",F46,IF($Q$9="LOGO &amp; REFLECTIVE",H46,J46))</f>
        <v>H-702VL (Yellow)</v>
      </c>
      <c r="B46" s="155">
        <f>IF($Q$9="REFLECTIVE ONLY",E46,IF($Q$9="LOGO &amp; REFLECTIVE",G46,I46))</f>
        <v>70071611548</v>
      </c>
      <c r="C46" s="240">
        <v>70071578036</v>
      </c>
      <c r="D46" s="236" t="s">
        <v>374</v>
      </c>
      <c r="E46" s="222">
        <v>70071653847</v>
      </c>
      <c r="F46" s="201" t="s">
        <v>202</v>
      </c>
      <c r="G46" s="222">
        <v>70071653854</v>
      </c>
      <c r="H46" s="201" t="s">
        <v>323</v>
      </c>
      <c r="I46" s="200">
        <v>70071611548</v>
      </c>
      <c r="J46" s="201" t="s">
        <v>25</v>
      </c>
      <c r="K46" s="200" t="s">
        <v>147</v>
      </c>
      <c r="L46" s="17">
        <v>20</v>
      </c>
      <c r="M46" s="18">
        <v>226.64</v>
      </c>
      <c r="N46" s="76"/>
      <c r="O46" s="18">
        <f>IF(N46=0,0,M46* (1-$Q$6))</f>
        <v>0</v>
      </c>
      <c r="P46" s="18">
        <f>IF(O46=0,0,$AE$7)</f>
        <v>0</v>
      </c>
      <c r="Q46" s="18">
        <f t="shared" si="26"/>
        <v>0</v>
      </c>
      <c r="R46" s="18">
        <f t="shared" si="27"/>
        <v>0</v>
      </c>
      <c r="S46" s="18">
        <f>IF(N46=0,0,O46+$AE$11+Q46)</f>
        <v>0</v>
      </c>
      <c r="T46" s="18">
        <f>N46*R46</f>
        <v>0</v>
      </c>
      <c r="U46" s="81">
        <f>N46*S46</f>
        <v>0</v>
      </c>
      <c r="V46" s="113" t="str">
        <f>IF(AND($Q$9="REFLECTIVE ONLY",N46&lt;&gt;0)=TRUE,K46,"")</f>
        <v/>
      </c>
      <c r="W46" s="11"/>
      <c r="X46" s="11"/>
      <c r="Y46" s="11"/>
      <c r="Z46" s="11"/>
      <c r="AA46" s="11"/>
      <c r="AB46" s="11"/>
      <c r="AC46" s="11"/>
      <c r="AD46" s="11"/>
      <c r="AE46" s="11"/>
      <c r="AF46" s="177"/>
    </row>
    <row r="47" spans="1:33">
      <c r="A47" s="82" t="str">
        <f>IF($Q$9="REFLECTIVE ONLY",F47,IF($Q$9="LOGO &amp; REFLECTIVE",H47,J47))</f>
        <v>H-703VL (Blue)</v>
      </c>
      <c r="B47" s="155">
        <f>IF($Q$9="REFLECTIVE ONLY",E47,IF($Q$9="LOGO &amp; REFLECTIVE",G47,I47))</f>
        <v>70071611555</v>
      </c>
      <c r="C47" s="240">
        <v>70071578044</v>
      </c>
      <c r="D47" s="236" t="s">
        <v>375</v>
      </c>
      <c r="E47" s="222">
        <v>70071653847</v>
      </c>
      <c r="F47" s="201" t="s">
        <v>203</v>
      </c>
      <c r="G47" s="222">
        <v>70071653854</v>
      </c>
      <c r="H47" s="201" t="s">
        <v>324</v>
      </c>
      <c r="I47" s="200">
        <v>70071611555</v>
      </c>
      <c r="J47" s="201" t="s">
        <v>26</v>
      </c>
      <c r="K47" s="200" t="s">
        <v>149</v>
      </c>
      <c r="L47" s="17">
        <v>20</v>
      </c>
      <c r="M47" s="18">
        <v>226.64</v>
      </c>
      <c r="N47" s="76"/>
      <c r="O47" s="18">
        <f>IF(N47=0,0,M47* (1-$Q$6))</f>
        <v>0</v>
      </c>
      <c r="P47" s="18">
        <f>IF(O47=0,0,$AE$7)</f>
        <v>0</v>
      </c>
      <c r="Q47" s="18">
        <f t="shared" si="26"/>
        <v>0</v>
      </c>
      <c r="R47" s="18">
        <f t="shared" si="27"/>
        <v>0</v>
      </c>
      <c r="S47" s="18">
        <f>IF(N47=0,0,O47+$AE$11+Q47)</f>
        <v>0</v>
      </c>
      <c r="T47" s="18">
        <f>N47*R47</f>
        <v>0</v>
      </c>
      <c r="U47" s="81">
        <f>N47*S47</f>
        <v>0</v>
      </c>
      <c r="V47" s="113" t="str">
        <f>IF(AND($Q$9="REFLECTIVE ONLY",N47&lt;&gt;0)=TRUE,K47,"")</f>
        <v/>
      </c>
      <c r="W47" s="11"/>
      <c r="X47" s="11"/>
      <c r="Y47" s="11"/>
      <c r="Z47" s="11"/>
      <c r="AA47" s="11"/>
      <c r="AB47" s="11"/>
      <c r="AC47" s="11"/>
      <c r="AD47" s="11"/>
      <c r="AE47" s="11"/>
      <c r="AF47" s="177"/>
    </row>
    <row r="48" spans="1:33" ht="13.5" thickBot="1">
      <c r="A48" s="100" t="str">
        <f>IF($Q$9="REFLECTIVE ONLY",F48,IF($Q$9="LOGO &amp; REFLECTIVE",H48,J48))</f>
        <v>H-704VL (Green)</v>
      </c>
      <c r="B48" s="156">
        <f>IF($Q$9="REFLECTIVE ONLY",E48,IF($Q$9="LOGO &amp; REFLECTIVE",G48,I48))</f>
        <v>70071611563</v>
      </c>
      <c r="C48" s="241">
        <v>70071578051</v>
      </c>
      <c r="D48" s="238" t="s">
        <v>376</v>
      </c>
      <c r="E48" s="223">
        <v>70071653847</v>
      </c>
      <c r="F48" s="203" t="s">
        <v>204</v>
      </c>
      <c r="G48" s="223">
        <v>70071653854</v>
      </c>
      <c r="H48" s="203" t="s">
        <v>325</v>
      </c>
      <c r="I48" s="202">
        <v>70071611563</v>
      </c>
      <c r="J48" s="203" t="s">
        <v>27</v>
      </c>
      <c r="K48" s="202" t="s">
        <v>150</v>
      </c>
      <c r="L48" s="101">
        <v>20</v>
      </c>
      <c r="M48" s="104">
        <v>226.64</v>
      </c>
      <c r="N48" s="103"/>
      <c r="O48" s="104">
        <f>IF(N48=0,0,M48* (1-$Q$6))</f>
        <v>0</v>
      </c>
      <c r="P48" s="104">
        <f>IF(O48=0,0,$AE$7)</f>
        <v>0</v>
      </c>
      <c r="Q48" s="104">
        <f t="shared" si="26"/>
        <v>0</v>
      </c>
      <c r="R48" s="104">
        <f t="shared" si="27"/>
        <v>0</v>
      </c>
      <c r="S48" s="104">
        <f>IF(N48=0,0,O48+$AE$11+Q48)</f>
        <v>0</v>
      </c>
      <c r="T48" s="104">
        <f>N48*R48</f>
        <v>0</v>
      </c>
      <c r="U48" s="105">
        <f>N48*S48</f>
        <v>0</v>
      </c>
      <c r="V48" s="114" t="str">
        <f>IF(AND($Q$9="REFLECTIVE ONLY",N48&lt;&gt;0)=TRUE,K48,"")</f>
        <v/>
      </c>
      <c r="W48" s="11"/>
      <c r="X48" s="11"/>
      <c r="Y48" s="11"/>
      <c r="Z48" s="11"/>
      <c r="AA48" s="11"/>
      <c r="AB48" s="11"/>
      <c r="AC48" s="11"/>
      <c r="AD48" s="11"/>
      <c r="AE48" s="11"/>
      <c r="AF48" s="177"/>
    </row>
    <row r="49" spans="1:33" s="21" customFormat="1" ht="16.5" thickBot="1">
      <c r="A49" s="151" t="s">
        <v>131</v>
      </c>
      <c r="B49" s="152"/>
      <c r="C49" s="224"/>
      <c r="D49" s="150"/>
      <c r="E49" s="224"/>
      <c r="F49" s="153"/>
      <c r="G49" s="224"/>
      <c r="H49" s="153"/>
      <c r="I49" s="150"/>
      <c r="J49" s="150"/>
      <c r="K49" s="19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15"/>
      <c r="W49" s="11"/>
      <c r="X49" s="20"/>
      <c r="Y49" s="20"/>
      <c r="Z49" s="20"/>
      <c r="AA49" s="20"/>
      <c r="AB49" s="20"/>
      <c r="AC49" s="20"/>
      <c r="AD49" s="20"/>
      <c r="AE49" s="20"/>
      <c r="AF49" s="181"/>
      <c r="AG49" s="19"/>
    </row>
    <row r="50" spans="1:33">
      <c r="A50" s="94" t="str">
        <f t="shared" ref="A50:A59" si="28">IF($Q$9="REFLECTIVE ONLY",F50,IF($Q$9="LOGO &amp; REFLECTIVE",H50,J50))</f>
        <v>H-701PL (White)</v>
      </c>
      <c r="B50" s="154">
        <f t="shared" ref="B50:B59" si="29">IF($Q$9="REFLECTIVE ONLY",E50,IF($Q$9="LOGO &amp; REFLECTIVE",G50,I50))</f>
        <v>70071578440</v>
      </c>
      <c r="C50" s="239">
        <v>70071577822</v>
      </c>
      <c r="D50" s="235" t="s">
        <v>377</v>
      </c>
      <c r="E50" s="221">
        <v>70071653920</v>
      </c>
      <c r="F50" s="199" t="s">
        <v>205</v>
      </c>
      <c r="G50" s="221">
        <v>70071653938</v>
      </c>
      <c r="H50" s="199" t="s">
        <v>326</v>
      </c>
      <c r="I50" s="198">
        <v>70071578440</v>
      </c>
      <c r="J50" s="199" t="s">
        <v>28</v>
      </c>
      <c r="K50" s="198" t="s">
        <v>146</v>
      </c>
      <c r="L50" s="95">
        <v>20</v>
      </c>
      <c r="M50" s="98">
        <v>140.47</v>
      </c>
      <c r="N50" s="97"/>
      <c r="O50" s="98">
        <f t="shared" ref="O50:O59" si="30">IF(N50=0,0,M50* (1-$Q$6))</f>
        <v>0</v>
      </c>
      <c r="P50" s="98">
        <f t="shared" ref="P50:P59" si="31">IF(O50=0,0,$AE$7)</f>
        <v>0</v>
      </c>
      <c r="Q50" s="98">
        <f t="shared" ref="Q50:Q59" si="32">IF($Q$9="None", 0, IF(AND($Q$9 &lt;&gt; "NONE",N50&lt;&gt;0), (L50*8) * (1 - Q$6 ),0))</f>
        <v>0</v>
      </c>
      <c r="R50" s="98">
        <f t="shared" ref="R50:R59" si="33">IF(O50=0,0,O50+P50+Q50)</f>
        <v>0</v>
      </c>
      <c r="S50" s="98">
        <f t="shared" ref="S50:S59" si="34">IF(N50=0,0,O50+$AE$11+Q50)</f>
        <v>0</v>
      </c>
      <c r="T50" s="98">
        <f t="shared" ref="T50:T59" si="35">N50*R50</f>
        <v>0</v>
      </c>
      <c r="U50" s="99">
        <f t="shared" ref="U50:U59" si="36">N50*S50</f>
        <v>0</v>
      </c>
      <c r="V50" s="112" t="str">
        <f t="shared" ref="V50:V59" si="37">IF(AND($Q$9="REFLECTIVE ONLY",N50&lt;&gt;0)=TRUE,K50,"")</f>
        <v/>
      </c>
      <c r="W50" s="20"/>
      <c r="X50" s="11"/>
      <c r="Y50" s="11"/>
      <c r="Z50" s="11"/>
      <c r="AA50" s="11"/>
      <c r="AB50" s="11"/>
      <c r="AC50" s="11"/>
      <c r="AD50" s="11"/>
      <c r="AE50" s="11"/>
      <c r="AF50" s="177"/>
    </row>
    <row r="51" spans="1:33">
      <c r="A51" s="82" t="str">
        <f t="shared" si="28"/>
        <v>H-702PL (Yellow)</v>
      </c>
      <c r="B51" s="155">
        <f t="shared" si="29"/>
        <v>70071578457</v>
      </c>
      <c r="C51" s="240">
        <v>70071577830</v>
      </c>
      <c r="D51" s="236" t="s">
        <v>378</v>
      </c>
      <c r="E51" s="222">
        <v>70071653920</v>
      </c>
      <c r="F51" s="201" t="s">
        <v>206</v>
      </c>
      <c r="G51" s="222">
        <v>70071653938</v>
      </c>
      <c r="H51" s="201" t="s">
        <v>327</v>
      </c>
      <c r="I51" s="200">
        <v>70071578457</v>
      </c>
      <c r="J51" s="201" t="s">
        <v>29</v>
      </c>
      <c r="K51" s="200" t="s">
        <v>147</v>
      </c>
      <c r="L51" s="17">
        <v>20</v>
      </c>
      <c r="M51" s="18">
        <v>140.47</v>
      </c>
      <c r="N51" s="76"/>
      <c r="O51" s="18">
        <f t="shared" si="30"/>
        <v>0</v>
      </c>
      <c r="P51" s="18">
        <f t="shared" si="31"/>
        <v>0</v>
      </c>
      <c r="Q51" s="18">
        <f t="shared" si="32"/>
        <v>0</v>
      </c>
      <c r="R51" s="18">
        <f t="shared" si="33"/>
        <v>0</v>
      </c>
      <c r="S51" s="18">
        <f t="shared" si="34"/>
        <v>0</v>
      </c>
      <c r="T51" s="18">
        <f t="shared" si="35"/>
        <v>0</v>
      </c>
      <c r="U51" s="81">
        <f t="shared" si="36"/>
        <v>0</v>
      </c>
      <c r="V51" s="113" t="str">
        <f t="shared" si="37"/>
        <v/>
      </c>
      <c r="W51" s="11"/>
      <c r="X51" s="11"/>
      <c r="Y51" s="11"/>
      <c r="Z51" s="11"/>
      <c r="AA51" s="11"/>
      <c r="AB51" s="11"/>
      <c r="AC51" s="11"/>
      <c r="AD51" s="11"/>
      <c r="AE51" s="11"/>
      <c r="AF51" s="177"/>
    </row>
    <row r="52" spans="1:33">
      <c r="A52" s="82" t="str">
        <f t="shared" si="28"/>
        <v>H-703PL (Blue)</v>
      </c>
      <c r="B52" s="155">
        <f t="shared" si="29"/>
        <v>70071578465</v>
      </c>
      <c r="C52" s="240">
        <v>70071577848</v>
      </c>
      <c r="D52" s="236" t="s">
        <v>379</v>
      </c>
      <c r="E52" s="222">
        <v>70071653920</v>
      </c>
      <c r="F52" s="201" t="s">
        <v>207</v>
      </c>
      <c r="G52" s="222">
        <v>70071653938</v>
      </c>
      <c r="H52" s="201" t="s">
        <v>328</v>
      </c>
      <c r="I52" s="200">
        <v>70071578465</v>
      </c>
      <c r="J52" s="201" t="s">
        <v>30</v>
      </c>
      <c r="K52" s="200" t="s">
        <v>149</v>
      </c>
      <c r="L52" s="17">
        <v>20</v>
      </c>
      <c r="M52" s="18">
        <v>140.47</v>
      </c>
      <c r="N52" s="76"/>
      <c r="O52" s="18">
        <f t="shared" si="30"/>
        <v>0</v>
      </c>
      <c r="P52" s="18">
        <f t="shared" si="31"/>
        <v>0</v>
      </c>
      <c r="Q52" s="18">
        <f t="shared" si="32"/>
        <v>0</v>
      </c>
      <c r="R52" s="18">
        <f t="shared" si="33"/>
        <v>0</v>
      </c>
      <c r="S52" s="18">
        <f t="shared" si="34"/>
        <v>0</v>
      </c>
      <c r="T52" s="18">
        <f t="shared" si="35"/>
        <v>0</v>
      </c>
      <c r="U52" s="81">
        <f t="shared" si="36"/>
        <v>0</v>
      </c>
      <c r="V52" s="113" t="str">
        <f t="shared" si="37"/>
        <v/>
      </c>
      <c r="W52" s="11"/>
      <c r="X52" s="11"/>
      <c r="Y52" s="11"/>
      <c r="Z52" s="11"/>
      <c r="AA52" s="11"/>
      <c r="AB52" s="11"/>
      <c r="AC52" s="11"/>
      <c r="AD52" s="11"/>
      <c r="AE52" s="11"/>
      <c r="AF52" s="177"/>
    </row>
    <row r="53" spans="1:33">
      <c r="A53" s="82" t="str">
        <f t="shared" si="28"/>
        <v>H-704PL (Green)</v>
      </c>
      <c r="B53" s="155">
        <f t="shared" si="29"/>
        <v>70071578473</v>
      </c>
      <c r="C53" s="240">
        <v>70071577855</v>
      </c>
      <c r="D53" s="236" t="s">
        <v>380</v>
      </c>
      <c r="E53" s="222">
        <v>70071653920</v>
      </c>
      <c r="F53" s="201" t="s">
        <v>208</v>
      </c>
      <c r="G53" s="222">
        <v>70071653938</v>
      </c>
      <c r="H53" s="201" t="s">
        <v>329</v>
      </c>
      <c r="I53" s="200">
        <v>70071578473</v>
      </c>
      <c r="J53" s="201" t="s">
        <v>31</v>
      </c>
      <c r="K53" s="200" t="s">
        <v>150</v>
      </c>
      <c r="L53" s="17">
        <v>20</v>
      </c>
      <c r="M53" s="18">
        <v>140.47</v>
      </c>
      <c r="N53" s="76"/>
      <c r="O53" s="18">
        <f t="shared" si="30"/>
        <v>0</v>
      </c>
      <c r="P53" s="18">
        <f t="shared" si="31"/>
        <v>0</v>
      </c>
      <c r="Q53" s="18">
        <f t="shared" si="32"/>
        <v>0</v>
      </c>
      <c r="R53" s="18">
        <f t="shared" si="33"/>
        <v>0</v>
      </c>
      <c r="S53" s="18">
        <f t="shared" si="34"/>
        <v>0</v>
      </c>
      <c r="T53" s="18">
        <f t="shared" si="35"/>
        <v>0</v>
      </c>
      <c r="U53" s="81">
        <f t="shared" si="36"/>
        <v>0</v>
      </c>
      <c r="V53" s="113" t="str">
        <f t="shared" si="37"/>
        <v/>
      </c>
      <c r="W53" s="11"/>
      <c r="X53" s="11"/>
      <c r="Y53" s="11"/>
      <c r="Z53" s="11"/>
      <c r="AA53" s="11"/>
      <c r="AB53" s="11"/>
      <c r="AC53" s="11"/>
      <c r="AD53" s="11"/>
      <c r="AE53" s="11"/>
      <c r="AF53" s="177"/>
    </row>
    <row r="54" spans="1:33">
      <c r="A54" s="82" t="str">
        <f t="shared" si="28"/>
        <v>H-705PL (Red)</v>
      </c>
      <c r="B54" s="155">
        <f t="shared" si="29"/>
        <v>70071578481</v>
      </c>
      <c r="C54" s="240">
        <v>70071577863</v>
      </c>
      <c r="D54" s="236" t="s">
        <v>381</v>
      </c>
      <c r="E54" s="222">
        <v>70071653920</v>
      </c>
      <c r="F54" s="201" t="s">
        <v>209</v>
      </c>
      <c r="G54" s="222">
        <v>70071653938</v>
      </c>
      <c r="H54" s="201" t="s">
        <v>330</v>
      </c>
      <c r="I54" s="200">
        <v>70071578481</v>
      </c>
      <c r="J54" s="201" t="s">
        <v>32</v>
      </c>
      <c r="K54" s="200" t="s">
        <v>152</v>
      </c>
      <c r="L54" s="17">
        <v>20</v>
      </c>
      <c r="M54" s="18">
        <v>140.47</v>
      </c>
      <c r="N54" s="76"/>
      <c r="O54" s="18">
        <f t="shared" si="30"/>
        <v>0</v>
      </c>
      <c r="P54" s="18">
        <f t="shared" si="31"/>
        <v>0</v>
      </c>
      <c r="Q54" s="18">
        <f t="shared" si="32"/>
        <v>0</v>
      </c>
      <c r="R54" s="18">
        <f t="shared" si="33"/>
        <v>0</v>
      </c>
      <c r="S54" s="18">
        <f t="shared" si="34"/>
        <v>0</v>
      </c>
      <c r="T54" s="18">
        <f t="shared" si="35"/>
        <v>0</v>
      </c>
      <c r="U54" s="81">
        <f t="shared" si="36"/>
        <v>0</v>
      </c>
      <c r="V54" s="113" t="str">
        <f t="shared" si="37"/>
        <v/>
      </c>
      <c r="W54" s="11"/>
      <c r="X54" s="11"/>
      <c r="Y54" s="11"/>
      <c r="Z54" s="11"/>
      <c r="AA54" s="11"/>
      <c r="AB54" s="11"/>
      <c r="AC54" s="11"/>
      <c r="AD54" s="11"/>
      <c r="AE54" s="11"/>
      <c r="AF54" s="177"/>
    </row>
    <row r="55" spans="1:33">
      <c r="A55" s="82" t="str">
        <f t="shared" si="28"/>
        <v>H-706PL (Orange)</v>
      </c>
      <c r="B55" s="155">
        <f t="shared" si="29"/>
        <v>70071578499</v>
      </c>
      <c r="C55" s="240">
        <v>70071577871</v>
      </c>
      <c r="D55" s="236" t="s">
        <v>382</v>
      </c>
      <c r="E55" s="222">
        <v>70071653920</v>
      </c>
      <c r="F55" s="201" t="s">
        <v>210</v>
      </c>
      <c r="G55" s="222">
        <v>70071653938</v>
      </c>
      <c r="H55" s="201" t="s">
        <v>331</v>
      </c>
      <c r="I55" s="200">
        <v>70071578499</v>
      </c>
      <c r="J55" s="201" t="s">
        <v>33</v>
      </c>
      <c r="K55" s="200" t="s">
        <v>153</v>
      </c>
      <c r="L55" s="17">
        <v>20</v>
      </c>
      <c r="M55" s="18">
        <v>140.47</v>
      </c>
      <c r="N55" s="76"/>
      <c r="O55" s="18">
        <f t="shared" si="30"/>
        <v>0</v>
      </c>
      <c r="P55" s="18">
        <f t="shared" si="31"/>
        <v>0</v>
      </c>
      <c r="Q55" s="18">
        <f t="shared" si="32"/>
        <v>0</v>
      </c>
      <c r="R55" s="18">
        <f t="shared" si="33"/>
        <v>0</v>
      </c>
      <c r="S55" s="18">
        <f t="shared" si="34"/>
        <v>0</v>
      </c>
      <c r="T55" s="18">
        <f t="shared" si="35"/>
        <v>0</v>
      </c>
      <c r="U55" s="81">
        <f t="shared" si="36"/>
        <v>0</v>
      </c>
      <c r="V55" s="113" t="str">
        <f t="shared" si="37"/>
        <v/>
      </c>
      <c r="W55" s="11"/>
      <c r="X55" s="11"/>
      <c r="Y55" s="11"/>
      <c r="Z55" s="11"/>
      <c r="AA55" s="11"/>
      <c r="AB55" s="11"/>
      <c r="AC55" s="11"/>
      <c r="AD55" s="11"/>
      <c r="AE55" s="11"/>
      <c r="AF55" s="177"/>
    </row>
    <row r="56" spans="1:33">
      <c r="A56" s="82" t="str">
        <f t="shared" si="28"/>
        <v>H-707PL (Bright Orange)</v>
      </c>
      <c r="B56" s="155">
        <f t="shared" si="29"/>
        <v>70071578507</v>
      </c>
      <c r="C56" s="240">
        <v>70071577889</v>
      </c>
      <c r="D56" s="236" t="s">
        <v>383</v>
      </c>
      <c r="E56" s="222">
        <v>70071653920</v>
      </c>
      <c r="F56" s="201" t="s">
        <v>211</v>
      </c>
      <c r="G56" s="222">
        <v>70071653938</v>
      </c>
      <c r="H56" s="201" t="s">
        <v>332</v>
      </c>
      <c r="I56" s="200">
        <v>70071578507</v>
      </c>
      <c r="J56" s="201" t="s">
        <v>34</v>
      </c>
      <c r="K56" s="200" t="s">
        <v>154</v>
      </c>
      <c r="L56" s="17">
        <v>20</v>
      </c>
      <c r="M56" s="18">
        <v>140.47</v>
      </c>
      <c r="N56" s="76"/>
      <c r="O56" s="18">
        <f t="shared" si="30"/>
        <v>0</v>
      </c>
      <c r="P56" s="18">
        <f t="shared" si="31"/>
        <v>0</v>
      </c>
      <c r="Q56" s="18">
        <f t="shared" si="32"/>
        <v>0</v>
      </c>
      <c r="R56" s="18">
        <f t="shared" si="33"/>
        <v>0</v>
      </c>
      <c r="S56" s="18">
        <f t="shared" si="34"/>
        <v>0</v>
      </c>
      <c r="T56" s="18">
        <f t="shared" si="35"/>
        <v>0</v>
      </c>
      <c r="U56" s="81">
        <f t="shared" si="36"/>
        <v>0</v>
      </c>
      <c r="V56" s="113" t="str">
        <f t="shared" si="37"/>
        <v/>
      </c>
      <c r="W56" s="11"/>
      <c r="X56" s="11"/>
      <c r="Y56" s="11"/>
      <c r="Z56" s="11"/>
      <c r="AA56" s="11"/>
      <c r="AB56" s="11"/>
      <c r="AC56" s="11"/>
      <c r="AD56" s="11"/>
      <c r="AE56" s="11"/>
      <c r="AF56" s="177"/>
    </row>
    <row r="57" spans="1:33">
      <c r="A57" s="82" t="str">
        <f t="shared" si="28"/>
        <v>H-708PL (Gray)</v>
      </c>
      <c r="B57" s="155">
        <f t="shared" si="29"/>
        <v>70071578515</v>
      </c>
      <c r="C57" s="240">
        <v>70071577897</v>
      </c>
      <c r="D57" s="236" t="s">
        <v>384</v>
      </c>
      <c r="E57" s="222">
        <v>70071653920</v>
      </c>
      <c r="F57" s="201" t="s">
        <v>212</v>
      </c>
      <c r="G57" s="222">
        <v>70071653938</v>
      </c>
      <c r="H57" s="201" t="s">
        <v>333</v>
      </c>
      <c r="I57" s="200">
        <v>70071578515</v>
      </c>
      <c r="J57" s="201" t="s">
        <v>35</v>
      </c>
      <c r="K57" s="200" t="s">
        <v>155</v>
      </c>
      <c r="L57" s="17">
        <v>20</v>
      </c>
      <c r="M57" s="18">
        <v>140.47</v>
      </c>
      <c r="N57" s="76"/>
      <c r="O57" s="18">
        <f t="shared" si="30"/>
        <v>0</v>
      </c>
      <c r="P57" s="18">
        <f t="shared" si="31"/>
        <v>0</v>
      </c>
      <c r="Q57" s="18">
        <f t="shared" si="32"/>
        <v>0</v>
      </c>
      <c r="R57" s="18">
        <f t="shared" si="33"/>
        <v>0</v>
      </c>
      <c r="S57" s="18">
        <f t="shared" si="34"/>
        <v>0</v>
      </c>
      <c r="T57" s="18">
        <f t="shared" si="35"/>
        <v>0</v>
      </c>
      <c r="U57" s="81">
        <f t="shared" si="36"/>
        <v>0</v>
      </c>
      <c r="V57" s="113" t="str">
        <f t="shared" si="37"/>
        <v/>
      </c>
      <c r="W57" s="11"/>
      <c r="X57" s="11"/>
      <c r="Y57" s="11"/>
      <c r="Z57" s="11"/>
      <c r="AA57" s="11"/>
      <c r="AB57" s="11"/>
      <c r="AC57" s="11"/>
      <c r="AD57" s="11"/>
      <c r="AE57" s="11"/>
      <c r="AF57" s="177"/>
    </row>
    <row r="58" spans="1:33">
      <c r="A58" s="82" t="str">
        <f t="shared" si="28"/>
        <v>H-709PL (Bright Yellow)</v>
      </c>
      <c r="B58" s="155">
        <f t="shared" si="29"/>
        <v>70071578523</v>
      </c>
      <c r="C58" s="240">
        <v>70071577905</v>
      </c>
      <c r="D58" s="236" t="s">
        <v>385</v>
      </c>
      <c r="E58" s="222">
        <v>70071653920</v>
      </c>
      <c r="F58" s="201" t="s">
        <v>213</v>
      </c>
      <c r="G58" s="222">
        <v>70071653938</v>
      </c>
      <c r="H58" s="201" t="s">
        <v>334</v>
      </c>
      <c r="I58" s="200">
        <v>70071578523</v>
      </c>
      <c r="J58" s="201" t="s">
        <v>36</v>
      </c>
      <c r="K58" s="200" t="s">
        <v>151</v>
      </c>
      <c r="L58" s="17">
        <v>20</v>
      </c>
      <c r="M58" s="18">
        <v>140.47</v>
      </c>
      <c r="N58" s="76"/>
      <c r="O58" s="18">
        <f t="shared" si="30"/>
        <v>0</v>
      </c>
      <c r="P58" s="18">
        <f t="shared" si="31"/>
        <v>0</v>
      </c>
      <c r="Q58" s="18">
        <f t="shared" si="32"/>
        <v>0</v>
      </c>
      <c r="R58" s="18">
        <f t="shared" si="33"/>
        <v>0</v>
      </c>
      <c r="S58" s="18">
        <f t="shared" si="34"/>
        <v>0</v>
      </c>
      <c r="T58" s="18">
        <f t="shared" si="35"/>
        <v>0</v>
      </c>
      <c r="U58" s="81">
        <f t="shared" si="36"/>
        <v>0</v>
      </c>
      <c r="V58" s="113" t="str">
        <f t="shared" si="37"/>
        <v/>
      </c>
      <c r="W58" s="11"/>
      <c r="X58" s="11"/>
      <c r="Y58" s="11"/>
      <c r="Z58" s="11"/>
      <c r="AA58" s="11"/>
      <c r="AB58" s="11"/>
      <c r="AC58" s="11"/>
      <c r="AD58" s="11"/>
      <c r="AE58" s="11"/>
      <c r="AF58" s="177"/>
    </row>
    <row r="59" spans="1:33" ht="13.5" thickBot="1">
      <c r="A59" s="100" t="str">
        <f t="shared" si="28"/>
        <v>H-710PL (Navy Blue)</v>
      </c>
      <c r="B59" s="156">
        <f t="shared" si="29"/>
        <v>70071578531</v>
      </c>
      <c r="C59" s="241">
        <v>70071577913</v>
      </c>
      <c r="D59" s="238" t="s">
        <v>386</v>
      </c>
      <c r="E59" s="223">
        <v>70071653920</v>
      </c>
      <c r="F59" s="203" t="s">
        <v>214</v>
      </c>
      <c r="G59" s="223">
        <v>70071653938</v>
      </c>
      <c r="H59" s="203" t="s">
        <v>335</v>
      </c>
      <c r="I59" s="202">
        <v>70071578531</v>
      </c>
      <c r="J59" s="203" t="s">
        <v>37</v>
      </c>
      <c r="K59" s="202" t="s">
        <v>156</v>
      </c>
      <c r="L59" s="101">
        <v>20</v>
      </c>
      <c r="M59" s="104">
        <v>140.47</v>
      </c>
      <c r="N59" s="103"/>
      <c r="O59" s="104">
        <f t="shared" si="30"/>
        <v>0</v>
      </c>
      <c r="P59" s="104">
        <f t="shared" si="31"/>
        <v>0</v>
      </c>
      <c r="Q59" s="104">
        <f t="shared" si="32"/>
        <v>0</v>
      </c>
      <c r="R59" s="104">
        <f t="shared" si="33"/>
        <v>0</v>
      </c>
      <c r="S59" s="104">
        <f t="shared" si="34"/>
        <v>0</v>
      </c>
      <c r="T59" s="104">
        <f t="shared" si="35"/>
        <v>0</v>
      </c>
      <c r="U59" s="105">
        <f t="shared" si="36"/>
        <v>0</v>
      </c>
      <c r="V59" s="114" t="str">
        <f t="shared" si="37"/>
        <v/>
      </c>
      <c r="W59" s="11"/>
      <c r="X59" s="11"/>
      <c r="Y59" s="11"/>
      <c r="Z59" s="11"/>
      <c r="AA59" s="11"/>
      <c r="AB59" s="11"/>
      <c r="AC59" s="11"/>
      <c r="AD59" s="11"/>
      <c r="AE59" s="11"/>
      <c r="AF59" s="177"/>
    </row>
    <row r="60" spans="1:33" ht="16.5" thickBot="1">
      <c r="A60" s="149" t="s">
        <v>136</v>
      </c>
      <c r="B60" s="150"/>
      <c r="C60" s="224"/>
      <c r="D60" s="150"/>
      <c r="E60" s="224"/>
      <c r="F60" s="153"/>
      <c r="G60" s="224"/>
      <c r="H60" s="153"/>
      <c r="I60" s="150"/>
      <c r="J60" s="150"/>
      <c r="K60" s="192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15"/>
      <c r="W60" s="11"/>
      <c r="X60" s="11"/>
      <c r="Y60" s="11"/>
      <c r="Z60" s="11"/>
      <c r="AA60" s="11"/>
      <c r="AB60" s="11"/>
      <c r="AC60" s="11"/>
      <c r="AD60" s="11"/>
      <c r="AE60" s="11"/>
      <c r="AF60" s="180"/>
      <c r="AG60" s="16"/>
    </row>
    <row r="61" spans="1:33">
      <c r="A61" s="94" t="str">
        <f t="shared" ref="A61:A71" si="38">IF($Q$9="REFLECTIVE ONLY",F61,IF($Q$9="LOGO &amp; REFLECTIVE",H61,J61))</f>
        <v>H-801R-UVL (White)</v>
      </c>
      <c r="B61" s="154">
        <f t="shared" ref="B61:B71" si="39">IF($Q$9="REFLECTIVE ONLY",E61,IF($Q$9="LOGO &amp; REFLECTIVE",G61,I61))</f>
        <v>70071648805</v>
      </c>
      <c r="C61" s="239">
        <v>70071648243</v>
      </c>
      <c r="D61" s="235" t="s">
        <v>387</v>
      </c>
      <c r="E61" s="221">
        <v>70071654027</v>
      </c>
      <c r="F61" s="199" t="s">
        <v>215</v>
      </c>
      <c r="G61" s="221">
        <v>70071654035</v>
      </c>
      <c r="H61" s="199" t="s">
        <v>259</v>
      </c>
      <c r="I61" s="198">
        <v>70071648805</v>
      </c>
      <c r="J61" s="199" t="s">
        <v>107</v>
      </c>
      <c r="K61" s="198" t="s">
        <v>157</v>
      </c>
      <c r="L61" s="95">
        <v>20</v>
      </c>
      <c r="M61" s="96">
        <v>360</v>
      </c>
      <c r="N61" s="97"/>
      <c r="O61" s="98">
        <f t="shared" ref="O61:O71" si="40">IF(N61=0,0,M61* (1-$Q$6))</f>
        <v>0</v>
      </c>
      <c r="P61" s="98">
        <f t="shared" ref="P61:P71" si="41">IF(O61=0,0,$AE$7)</f>
        <v>0</v>
      </c>
      <c r="Q61" s="98">
        <f t="shared" ref="Q61:Q71" si="42">IF($Q$9="None", 0, IF(AND($Q$9 &lt;&gt; "NONE",N61&lt;&gt;0), (L61*8) * (1 - Q$6 ),0))</f>
        <v>0</v>
      </c>
      <c r="R61" s="98">
        <f t="shared" ref="R61:R71" si="43">IF(O61=0,0,O61+P61+Q61)</f>
        <v>0</v>
      </c>
      <c r="S61" s="98">
        <f t="shared" ref="S61:S71" si="44">IF(N61=0,0,O61+$AE$11+Q61)</f>
        <v>0</v>
      </c>
      <c r="T61" s="98">
        <f t="shared" ref="T61:T71" si="45">N61*R61</f>
        <v>0</v>
      </c>
      <c r="U61" s="99">
        <f t="shared" ref="U61:U71" si="46">N61*S61</f>
        <v>0</v>
      </c>
      <c r="V61" s="112" t="str">
        <f t="shared" ref="V61:V71" si="47">IF(AND($Q$9="REFLECTIVE ONLY",N61&lt;&gt;0)=TRUE,K61,"")</f>
        <v/>
      </c>
      <c r="W61" s="11"/>
      <c r="X61" s="11"/>
      <c r="Y61" s="11"/>
      <c r="Z61" s="11"/>
      <c r="AA61" s="11"/>
      <c r="AB61" s="11"/>
      <c r="AC61" s="11"/>
      <c r="AD61" s="11"/>
      <c r="AE61" s="11"/>
      <c r="AF61" s="177"/>
    </row>
    <row r="62" spans="1:33">
      <c r="A62" s="82" t="str">
        <f t="shared" si="38"/>
        <v>H-802R-UVL (Yellow)</v>
      </c>
      <c r="B62" s="155">
        <f t="shared" si="39"/>
        <v>70071648813</v>
      </c>
      <c r="C62" s="240">
        <v>70071648250</v>
      </c>
      <c r="D62" s="236" t="s">
        <v>388</v>
      </c>
      <c r="E62" s="222">
        <v>70071654027</v>
      </c>
      <c r="F62" s="201" t="s">
        <v>216</v>
      </c>
      <c r="G62" s="222">
        <v>70071654035</v>
      </c>
      <c r="H62" s="201" t="s">
        <v>260</v>
      </c>
      <c r="I62" s="200">
        <v>70071648813</v>
      </c>
      <c r="J62" s="201" t="s">
        <v>108</v>
      </c>
      <c r="K62" s="200" t="s">
        <v>158</v>
      </c>
      <c r="L62" s="17">
        <v>20</v>
      </c>
      <c r="M62" s="75">
        <v>360</v>
      </c>
      <c r="N62" s="76"/>
      <c r="O62" s="18">
        <f t="shared" si="40"/>
        <v>0</v>
      </c>
      <c r="P62" s="18">
        <f t="shared" si="41"/>
        <v>0</v>
      </c>
      <c r="Q62" s="18">
        <f t="shared" si="42"/>
        <v>0</v>
      </c>
      <c r="R62" s="18">
        <f t="shared" si="43"/>
        <v>0</v>
      </c>
      <c r="S62" s="18">
        <f t="shared" si="44"/>
        <v>0</v>
      </c>
      <c r="T62" s="18">
        <f t="shared" si="45"/>
        <v>0</v>
      </c>
      <c r="U62" s="81">
        <f t="shared" si="46"/>
        <v>0</v>
      </c>
      <c r="V62" s="113" t="str">
        <f t="shared" si="47"/>
        <v/>
      </c>
      <c r="W62" s="11"/>
      <c r="X62" s="11"/>
      <c r="Y62" s="11"/>
      <c r="Z62" s="11"/>
      <c r="AA62" s="11"/>
      <c r="AB62" s="11"/>
      <c r="AC62" s="11"/>
      <c r="AD62" s="11"/>
      <c r="AE62" s="11"/>
      <c r="AF62" s="177"/>
    </row>
    <row r="63" spans="1:33">
      <c r="A63" s="82" t="str">
        <f t="shared" si="38"/>
        <v>H-803R-UVL (Blue)</v>
      </c>
      <c r="B63" s="155">
        <f t="shared" si="39"/>
        <v>70071648821</v>
      </c>
      <c r="C63" s="240">
        <v>70071648268</v>
      </c>
      <c r="D63" s="236" t="s">
        <v>389</v>
      </c>
      <c r="E63" s="222">
        <v>70071654027</v>
      </c>
      <c r="F63" s="201" t="s">
        <v>217</v>
      </c>
      <c r="G63" s="222">
        <v>70071654035</v>
      </c>
      <c r="H63" s="201" t="s">
        <v>261</v>
      </c>
      <c r="I63" s="200">
        <v>70071648821</v>
      </c>
      <c r="J63" s="201" t="s">
        <v>109</v>
      </c>
      <c r="K63" s="200" t="s">
        <v>159</v>
      </c>
      <c r="L63" s="17">
        <v>20</v>
      </c>
      <c r="M63" s="75">
        <v>360</v>
      </c>
      <c r="N63" s="76"/>
      <c r="O63" s="18">
        <f t="shared" si="40"/>
        <v>0</v>
      </c>
      <c r="P63" s="18">
        <f t="shared" si="41"/>
        <v>0</v>
      </c>
      <c r="Q63" s="18">
        <f t="shared" si="42"/>
        <v>0</v>
      </c>
      <c r="R63" s="18">
        <f t="shared" si="43"/>
        <v>0</v>
      </c>
      <c r="S63" s="18">
        <f t="shared" si="44"/>
        <v>0</v>
      </c>
      <c r="T63" s="18">
        <f t="shared" si="45"/>
        <v>0</v>
      </c>
      <c r="U63" s="81">
        <f t="shared" si="46"/>
        <v>0</v>
      </c>
      <c r="V63" s="113" t="str">
        <f t="shared" si="47"/>
        <v/>
      </c>
      <c r="W63" s="11"/>
      <c r="X63" s="11"/>
      <c r="Y63" s="11"/>
      <c r="Z63" s="11"/>
      <c r="AA63" s="11"/>
      <c r="AB63" s="11"/>
      <c r="AC63" s="11"/>
      <c r="AD63" s="11"/>
      <c r="AE63" s="11"/>
      <c r="AF63" s="177"/>
    </row>
    <row r="64" spans="1:33">
      <c r="A64" s="82" t="str">
        <f t="shared" si="38"/>
        <v>H-804R-UVL (Green)</v>
      </c>
      <c r="B64" s="155">
        <f t="shared" si="39"/>
        <v>70071648839</v>
      </c>
      <c r="C64" s="240">
        <v>70071648276</v>
      </c>
      <c r="D64" s="236" t="s">
        <v>390</v>
      </c>
      <c r="E64" s="222">
        <v>70071654027</v>
      </c>
      <c r="F64" s="201" t="s">
        <v>218</v>
      </c>
      <c r="G64" s="222">
        <v>70071654035</v>
      </c>
      <c r="H64" s="201" t="s">
        <v>262</v>
      </c>
      <c r="I64" s="200">
        <v>70071648839</v>
      </c>
      <c r="J64" s="201" t="s">
        <v>110</v>
      </c>
      <c r="K64" s="200" t="s">
        <v>160</v>
      </c>
      <c r="L64" s="17">
        <v>20</v>
      </c>
      <c r="M64" s="75">
        <v>360</v>
      </c>
      <c r="N64" s="76"/>
      <c r="O64" s="18">
        <f t="shared" si="40"/>
        <v>0</v>
      </c>
      <c r="P64" s="18">
        <f t="shared" si="41"/>
        <v>0</v>
      </c>
      <c r="Q64" s="18">
        <f t="shared" si="42"/>
        <v>0</v>
      </c>
      <c r="R64" s="18">
        <f t="shared" si="43"/>
        <v>0</v>
      </c>
      <c r="S64" s="18">
        <f t="shared" si="44"/>
        <v>0</v>
      </c>
      <c r="T64" s="18">
        <f t="shared" si="45"/>
        <v>0</v>
      </c>
      <c r="U64" s="81">
        <f t="shared" si="46"/>
        <v>0</v>
      </c>
      <c r="V64" s="113" t="str">
        <f t="shared" si="47"/>
        <v/>
      </c>
      <c r="W64" s="11"/>
      <c r="X64" s="11"/>
      <c r="Y64" s="11"/>
      <c r="Z64" s="11"/>
      <c r="AA64" s="11"/>
      <c r="AB64" s="11"/>
      <c r="AC64" s="11"/>
      <c r="AD64" s="11"/>
      <c r="AE64" s="11"/>
      <c r="AF64" s="177"/>
    </row>
    <row r="65" spans="1:33">
      <c r="A65" s="82" t="str">
        <f t="shared" si="38"/>
        <v>H-805R-UVL (Red)</v>
      </c>
      <c r="B65" s="155">
        <f t="shared" si="39"/>
        <v>70071648847</v>
      </c>
      <c r="C65" s="240">
        <v>70071648284</v>
      </c>
      <c r="D65" s="236" t="s">
        <v>391</v>
      </c>
      <c r="E65" s="222">
        <v>70071654027</v>
      </c>
      <c r="F65" s="201" t="s">
        <v>219</v>
      </c>
      <c r="G65" s="222">
        <v>70071654035</v>
      </c>
      <c r="H65" s="201" t="s">
        <v>263</v>
      </c>
      <c r="I65" s="200">
        <v>70071648847</v>
      </c>
      <c r="J65" s="201" t="s">
        <v>111</v>
      </c>
      <c r="K65" s="200" t="s">
        <v>161</v>
      </c>
      <c r="L65" s="17">
        <v>20</v>
      </c>
      <c r="M65" s="75">
        <v>360</v>
      </c>
      <c r="N65" s="76"/>
      <c r="O65" s="18">
        <f t="shared" si="40"/>
        <v>0</v>
      </c>
      <c r="P65" s="18">
        <f t="shared" si="41"/>
        <v>0</v>
      </c>
      <c r="Q65" s="18">
        <f t="shared" si="42"/>
        <v>0</v>
      </c>
      <c r="R65" s="18">
        <f t="shared" si="43"/>
        <v>0</v>
      </c>
      <c r="S65" s="18">
        <f t="shared" si="44"/>
        <v>0</v>
      </c>
      <c r="T65" s="18">
        <f t="shared" si="45"/>
        <v>0</v>
      </c>
      <c r="U65" s="81">
        <f t="shared" si="46"/>
        <v>0</v>
      </c>
      <c r="V65" s="113" t="str">
        <f t="shared" si="47"/>
        <v/>
      </c>
      <c r="W65" s="11"/>
      <c r="X65" s="11"/>
      <c r="Y65" s="11"/>
      <c r="Z65" s="11"/>
      <c r="AA65" s="11"/>
      <c r="AB65" s="11"/>
      <c r="AC65" s="11"/>
      <c r="AD65" s="11"/>
      <c r="AE65" s="11"/>
      <c r="AF65" s="177"/>
    </row>
    <row r="66" spans="1:33">
      <c r="A66" s="82" t="str">
        <f t="shared" si="38"/>
        <v>H-806R-UVL (Orange)</v>
      </c>
      <c r="B66" s="155">
        <f t="shared" si="39"/>
        <v>70071648854</v>
      </c>
      <c r="C66" s="240">
        <v>70071648292</v>
      </c>
      <c r="D66" s="236" t="s">
        <v>392</v>
      </c>
      <c r="E66" s="222">
        <v>70071654027</v>
      </c>
      <c r="F66" s="201" t="s">
        <v>220</v>
      </c>
      <c r="G66" s="222">
        <v>70071654035</v>
      </c>
      <c r="H66" s="201" t="s">
        <v>264</v>
      </c>
      <c r="I66" s="200">
        <v>70071648854</v>
      </c>
      <c r="J66" s="201" t="s">
        <v>112</v>
      </c>
      <c r="K66" s="200" t="s">
        <v>162</v>
      </c>
      <c r="L66" s="17">
        <v>20</v>
      </c>
      <c r="M66" s="75">
        <v>360</v>
      </c>
      <c r="N66" s="76"/>
      <c r="O66" s="18">
        <f t="shared" si="40"/>
        <v>0</v>
      </c>
      <c r="P66" s="18">
        <f t="shared" si="41"/>
        <v>0</v>
      </c>
      <c r="Q66" s="18">
        <f t="shared" si="42"/>
        <v>0</v>
      </c>
      <c r="R66" s="18">
        <f t="shared" si="43"/>
        <v>0</v>
      </c>
      <c r="S66" s="18">
        <f t="shared" si="44"/>
        <v>0</v>
      </c>
      <c r="T66" s="18">
        <f t="shared" si="45"/>
        <v>0</v>
      </c>
      <c r="U66" s="81">
        <f t="shared" si="46"/>
        <v>0</v>
      </c>
      <c r="V66" s="113" t="str">
        <f t="shared" si="47"/>
        <v/>
      </c>
      <c r="W66" s="11"/>
      <c r="X66" s="11"/>
      <c r="Y66" s="11"/>
      <c r="Z66" s="11"/>
      <c r="AA66" s="11"/>
      <c r="AB66" s="11"/>
      <c r="AC66" s="11"/>
      <c r="AD66" s="11"/>
      <c r="AE66" s="11"/>
      <c r="AF66" s="177"/>
    </row>
    <row r="67" spans="1:33">
      <c r="A67" s="82" t="str">
        <f t="shared" si="38"/>
        <v>H-807R-UVL (Bright Orange)</v>
      </c>
      <c r="B67" s="155">
        <f t="shared" si="39"/>
        <v>70071648862</v>
      </c>
      <c r="C67" s="240">
        <v>70071648300</v>
      </c>
      <c r="D67" s="236" t="s">
        <v>393</v>
      </c>
      <c r="E67" s="222">
        <v>70071654027</v>
      </c>
      <c r="F67" s="201" t="s">
        <v>221</v>
      </c>
      <c r="G67" s="222">
        <v>70071654035</v>
      </c>
      <c r="H67" s="201" t="s">
        <v>265</v>
      </c>
      <c r="I67" s="200">
        <v>70071648862</v>
      </c>
      <c r="J67" s="201" t="s">
        <v>113</v>
      </c>
      <c r="K67" s="200" t="s">
        <v>163</v>
      </c>
      <c r="L67" s="17">
        <v>20</v>
      </c>
      <c r="M67" s="75">
        <v>360</v>
      </c>
      <c r="N67" s="76"/>
      <c r="O67" s="18">
        <f t="shared" si="40"/>
        <v>0</v>
      </c>
      <c r="P67" s="18">
        <f t="shared" si="41"/>
        <v>0</v>
      </c>
      <c r="Q67" s="18">
        <f t="shared" si="42"/>
        <v>0</v>
      </c>
      <c r="R67" s="18">
        <f t="shared" si="43"/>
        <v>0</v>
      </c>
      <c r="S67" s="18">
        <f t="shared" si="44"/>
        <v>0</v>
      </c>
      <c r="T67" s="18">
        <f t="shared" si="45"/>
        <v>0</v>
      </c>
      <c r="U67" s="81">
        <f t="shared" si="46"/>
        <v>0</v>
      </c>
      <c r="V67" s="113" t="str">
        <f t="shared" si="47"/>
        <v/>
      </c>
      <c r="W67" s="11"/>
      <c r="X67" s="11"/>
      <c r="Y67" s="11"/>
      <c r="Z67" s="11"/>
      <c r="AA67" s="11"/>
      <c r="AB67" s="11"/>
      <c r="AC67" s="11"/>
      <c r="AD67" s="11"/>
      <c r="AE67" s="11"/>
      <c r="AF67" s="177"/>
    </row>
    <row r="68" spans="1:33">
      <c r="A68" s="82" t="str">
        <f t="shared" si="38"/>
        <v>H-808R-UVL (Gray)</v>
      </c>
      <c r="B68" s="155">
        <f t="shared" si="39"/>
        <v>70071648870</v>
      </c>
      <c r="C68" s="240">
        <v>70071648318</v>
      </c>
      <c r="D68" s="236" t="s">
        <v>394</v>
      </c>
      <c r="E68" s="222">
        <v>70071654027</v>
      </c>
      <c r="F68" s="201" t="s">
        <v>222</v>
      </c>
      <c r="G68" s="222">
        <v>70071654035</v>
      </c>
      <c r="H68" s="201" t="s">
        <v>266</v>
      </c>
      <c r="I68" s="200">
        <v>70071648870</v>
      </c>
      <c r="J68" s="201" t="s">
        <v>114</v>
      </c>
      <c r="K68" s="200" t="s">
        <v>164</v>
      </c>
      <c r="L68" s="17">
        <v>20</v>
      </c>
      <c r="M68" s="75">
        <v>360</v>
      </c>
      <c r="N68" s="76"/>
      <c r="O68" s="18">
        <f t="shared" si="40"/>
        <v>0</v>
      </c>
      <c r="P68" s="18">
        <f t="shared" si="41"/>
        <v>0</v>
      </c>
      <c r="Q68" s="18">
        <f t="shared" si="42"/>
        <v>0</v>
      </c>
      <c r="R68" s="18">
        <f t="shared" si="43"/>
        <v>0</v>
      </c>
      <c r="S68" s="18">
        <f t="shared" si="44"/>
        <v>0</v>
      </c>
      <c r="T68" s="18">
        <f t="shared" si="45"/>
        <v>0</v>
      </c>
      <c r="U68" s="81">
        <f t="shared" si="46"/>
        <v>0</v>
      </c>
      <c r="V68" s="113" t="str">
        <f t="shared" si="47"/>
        <v/>
      </c>
      <c r="W68" s="11"/>
      <c r="X68" s="11"/>
      <c r="Y68" s="11"/>
      <c r="Z68" s="11"/>
      <c r="AA68" s="11"/>
      <c r="AB68" s="11"/>
      <c r="AC68" s="11"/>
      <c r="AD68" s="11"/>
      <c r="AE68" s="11"/>
      <c r="AF68" s="177"/>
    </row>
    <row r="69" spans="1:33">
      <c r="A69" s="82" t="str">
        <f t="shared" si="38"/>
        <v>H-809R-UVL (Bright Yellow)</v>
      </c>
      <c r="B69" s="155">
        <f t="shared" si="39"/>
        <v>70071648888</v>
      </c>
      <c r="C69" s="240">
        <v>70071648326</v>
      </c>
      <c r="D69" s="236" t="s">
        <v>395</v>
      </c>
      <c r="E69" s="222">
        <v>70071654027</v>
      </c>
      <c r="F69" s="201" t="s">
        <v>223</v>
      </c>
      <c r="G69" s="222">
        <v>70071654035</v>
      </c>
      <c r="H69" s="201" t="s">
        <v>267</v>
      </c>
      <c r="I69" s="200">
        <v>70071648888</v>
      </c>
      <c r="J69" s="201" t="s">
        <v>115</v>
      </c>
      <c r="K69" s="200" t="s">
        <v>165</v>
      </c>
      <c r="L69" s="17">
        <v>20</v>
      </c>
      <c r="M69" s="75">
        <v>360</v>
      </c>
      <c r="N69" s="76"/>
      <c r="O69" s="18">
        <f t="shared" si="40"/>
        <v>0</v>
      </c>
      <c r="P69" s="18">
        <f t="shared" si="41"/>
        <v>0</v>
      </c>
      <c r="Q69" s="18">
        <f t="shared" si="42"/>
        <v>0</v>
      </c>
      <c r="R69" s="18">
        <f t="shared" si="43"/>
        <v>0</v>
      </c>
      <c r="S69" s="18">
        <f t="shared" si="44"/>
        <v>0</v>
      </c>
      <c r="T69" s="18">
        <f t="shared" si="45"/>
        <v>0</v>
      </c>
      <c r="U69" s="81">
        <f t="shared" si="46"/>
        <v>0</v>
      </c>
      <c r="V69" s="113" t="str">
        <f t="shared" si="47"/>
        <v/>
      </c>
      <c r="W69" s="11"/>
      <c r="X69" s="11"/>
      <c r="Y69" s="11"/>
      <c r="Z69" s="11"/>
      <c r="AA69" s="11"/>
      <c r="AB69" s="11"/>
      <c r="AC69" s="11"/>
      <c r="AD69" s="11"/>
      <c r="AE69" s="11"/>
      <c r="AF69" s="177"/>
    </row>
    <row r="70" spans="1:33">
      <c r="A70" s="82" t="str">
        <f t="shared" si="38"/>
        <v>H-810R-UVL (Navy Blue)</v>
      </c>
      <c r="B70" s="155">
        <f t="shared" si="39"/>
        <v>70071648896</v>
      </c>
      <c r="C70" s="240">
        <v>70071648334</v>
      </c>
      <c r="D70" s="236" t="s">
        <v>396</v>
      </c>
      <c r="E70" s="222">
        <v>70071654027</v>
      </c>
      <c r="F70" s="201" t="s">
        <v>224</v>
      </c>
      <c r="G70" s="222">
        <v>70071654035</v>
      </c>
      <c r="H70" s="201" t="s">
        <v>268</v>
      </c>
      <c r="I70" s="200">
        <v>70071648896</v>
      </c>
      <c r="J70" s="201" t="s">
        <v>116</v>
      </c>
      <c r="K70" s="200" t="s">
        <v>166</v>
      </c>
      <c r="L70" s="17">
        <v>20</v>
      </c>
      <c r="M70" s="75">
        <v>360</v>
      </c>
      <c r="N70" s="76"/>
      <c r="O70" s="18">
        <f t="shared" si="40"/>
        <v>0</v>
      </c>
      <c r="P70" s="18">
        <f t="shared" si="41"/>
        <v>0</v>
      </c>
      <c r="Q70" s="18">
        <f t="shared" si="42"/>
        <v>0</v>
      </c>
      <c r="R70" s="18">
        <f t="shared" si="43"/>
        <v>0</v>
      </c>
      <c r="S70" s="18">
        <f t="shared" si="44"/>
        <v>0</v>
      </c>
      <c r="T70" s="18">
        <f t="shared" si="45"/>
        <v>0</v>
      </c>
      <c r="U70" s="81">
        <f t="shared" si="46"/>
        <v>0</v>
      </c>
      <c r="V70" s="113" t="str">
        <f t="shared" si="47"/>
        <v/>
      </c>
      <c r="W70" s="11"/>
      <c r="X70" s="11"/>
      <c r="Y70" s="11"/>
      <c r="Z70" s="11"/>
      <c r="AA70" s="11"/>
      <c r="AB70" s="11"/>
      <c r="AC70" s="11"/>
      <c r="AD70" s="11"/>
      <c r="AE70" s="11"/>
      <c r="AF70" s="177"/>
    </row>
    <row r="71" spans="1:33" ht="13.5" thickBot="1">
      <c r="A71" s="100" t="str">
        <f t="shared" si="38"/>
        <v>H-811R-UVL (Tan)</v>
      </c>
      <c r="B71" s="156">
        <f t="shared" si="39"/>
        <v>70071648904</v>
      </c>
      <c r="C71" s="241">
        <v>70071648342</v>
      </c>
      <c r="D71" s="238" t="s">
        <v>397</v>
      </c>
      <c r="E71" s="223">
        <v>70071654027</v>
      </c>
      <c r="F71" s="203" t="s">
        <v>225</v>
      </c>
      <c r="G71" s="223">
        <v>70071654035</v>
      </c>
      <c r="H71" s="203" t="s">
        <v>269</v>
      </c>
      <c r="I71" s="202">
        <v>70071648904</v>
      </c>
      <c r="J71" s="203" t="s">
        <v>117</v>
      </c>
      <c r="K71" s="202" t="s">
        <v>167</v>
      </c>
      <c r="L71" s="101">
        <v>20</v>
      </c>
      <c r="M71" s="102">
        <v>360</v>
      </c>
      <c r="N71" s="103"/>
      <c r="O71" s="104">
        <f t="shared" si="40"/>
        <v>0</v>
      </c>
      <c r="P71" s="104">
        <f t="shared" si="41"/>
        <v>0</v>
      </c>
      <c r="Q71" s="104">
        <f t="shared" si="42"/>
        <v>0</v>
      </c>
      <c r="R71" s="104">
        <f t="shared" si="43"/>
        <v>0</v>
      </c>
      <c r="S71" s="104">
        <f t="shared" si="44"/>
        <v>0</v>
      </c>
      <c r="T71" s="104">
        <f t="shared" si="45"/>
        <v>0</v>
      </c>
      <c r="U71" s="105">
        <f t="shared" si="46"/>
        <v>0</v>
      </c>
      <c r="V71" s="114" t="str">
        <f t="shared" si="47"/>
        <v/>
      </c>
      <c r="W71" s="11"/>
      <c r="X71" s="11"/>
      <c r="Y71" s="11"/>
      <c r="Z71" s="11"/>
      <c r="AA71" s="11"/>
      <c r="AB71" s="11"/>
      <c r="AC71" s="11"/>
      <c r="AD71" s="11"/>
      <c r="AE71" s="11"/>
      <c r="AF71" s="177"/>
    </row>
    <row r="72" spans="1:33" ht="16.5" thickBot="1">
      <c r="A72" s="149" t="s">
        <v>137</v>
      </c>
      <c r="B72" s="150"/>
      <c r="C72" s="224"/>
      <c r="D72" s="150"/>
      <c r="E72" s="224"/>
      <c r="F72" s="153"/>
      <c r="G72" s="224"/>
      <c r="H72" s="153"/>
      <c r="I72" s="150"/>
      <c r="J72" s="150"/>
      <c r="K72" s="192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15"/>
      <c r="W72" s="11"/>
      <c r="X72" s="11"/>
      <c r="Y72" s="11"/>
      <c r="Z72" s="11"/>
      <c r="AA72" s="11"/>
      <c r="AB72" s="11"/>
      <c r="AC72" s="11"/>
      <c r="AD72" s="11"/>
      <c r="AE72" s="11"/>
      <c r="AF72" s="180"/>
      <c r="AG72" s="16"/>
    </row>
    <row r="73" spans="1:33">
      <c r="A73" s="94" t="str">
        <f t="shared" ref="A73:A83" si="48">IF($Q$9="REFLECTIVE ONLY",F73,IF($Q$9="LOGO &amp; REFLECTIVE",H73,J73))</f>
        <v>H-801V-UVL (White)</v>
      </c>
      <c r="B73" s="154">
        <f t="shared" ref="B73:B83" si="49">IF($Q$9="REFLECTIVE ONLY",E73,IF($Q$9="LOGO &amp; REFLECTIVE",G73,I73))</f>
        <v>70071648912</v>
      </c>
      <c r="C73" s="239">
        <v>70071648359</v>
      </c>
      <c r="D73" s="235" t="s">
        <v>398</v>
      </c>
      <c r="E73" s="221">
        <v>70071653987</v>
      </c>
      <c r="F73" s="199" t="s">
        <v>226</v>
      </c>
      <c r="G73" s="221">
        <v>70071653995</v>
      </c>
      <c r="H73" s="199" t="s">
        <v>270</v>
      </c>
      <c r="I73" s="198">
        <v>70071648912</v>
      </c>
      <c r="J73" s="199" t="s">
        <v>118</v>
      </c>
      <c r="K73" s="198" t="s">
        <v>157</v>
      </c>
      <c r="L73" s="95">
        <v>20</v>
      </c>
      <c r="M73" s="96">
        <v>375</v>
      </c>
      <c r="N73" s="97"/>
      <c r="O73" s="98">
        <f t="shared" ref="O73:O83" si="50">IF(N73=0,0,M73* (1-$Q$6))</f>
        <v>0</v>
      </c>
      <c r="P73" s="98">
        <f t="shared" ref="P73:P83" si="51">IF(O73=0,0,$AE$7)</f>
        <v>0</v>
      </c>
      <c r="Q73" s="98">
        <f t="shared" ref="Q73:Q83" si="52">IF($Q$9="None", 0, IF(AND($Q$9 &lt;&gt; "NONE",N73&lt;&gt;0), (L73*8) * (1 - Q$6 ),0))</f>
        <v>0</v>
      </c>
      <c r="R73" s="98">
        <f t="shared" ref="R73:R83" si="53">IF(O73=0,0,O73+P73+Q73)</f>
        <v>0</v>
      </c>
      <c r="S73" s="98">
        <f t="shared" ref="S73:S83" si="54">IF(N73=0,0,O73+$AE$11+Q73)</f>
        <v>0</v>
      </c>
      <c r="T73" s="98">
        <f t="shared" ref="T73:T83" si="55">N73*R73</f>
        <v>0</v>
      </c>
      <c r="U73" s="99">
        <f t="shared" ref="U73:U83" si="56">N73*S73</f>
        <v>0</v>
      </c>
      <c r="V73" s="112" t="str">
        <f t="shared" ref="V73:V83" si="57">IF(AND($Q$9="REFLECTIVE ONLY",N73&lt;&gt;0)=TRUE,K73,"")</f>
        <v/>
      </c>
      <c r="W73" s="11"/>
      <c r="X73" s="11"/>
      <c r="Y73" s="11"/>
      <c r="Z73" s="11"/>
      <c r="AA73" s="11"/>
      <c r="AB73" s="11"/>
      <c r="AC73" s="11"/>
      <c r="AD73" s="11"/>
      <c r="AE73" s="11"/>
      <c r="AF73" s="177"/>
    </row>
    <row r="74" spans="1:33">
      <c r="A74" s="82" t="str">
        <f t="shared" si="48"/>
        <v>H-802V-UVL (Yellow)</v>
      </c>
      <c r="B74" s="155">
        <f t="shared" si="49"/>
        <v>70071648920</v>
      </c>
      <c r="C74" s="240">
        <v>70071648367</v>
      </c>
      <c r="D74" s="236" t="s">
        <v>399</v>
      </c>
      <c r="E74" s="222">
        <v>70071653987</v>
      </c>
      <c r="F74" s="201" t="s">
        <v>227</v>
      </c>
      <c r="G74" s="222">
        <v>70071653995</v>
      </c>
      <c r="H74" s="201" t="s">
        <v>271</v>
      </c>
      <c r="I74" s="200">
        <v>70071648920</v>
      </c>
      <c r="J74" s="201" t="s">
        <v>119</v>
      </c>
      <c r="K74" s="200" t="s">
        <v>158</v>
      </c>
      <c r="L74" s="17">
        <v>20</v>
      </c>
      <c r="M74" s="75">
        <v>375</v>
      </c>
      <c r="N74" s="76"/>
      <c r="O74" s="18">
        <f t="shared" si="50"/>
        <v>0</v>
      </c>
      <c r="P74" s="18">
        <f t="shared" si="51"/>
        <v>0</v>
      </c>
      <c r="Q74" s="18">
        <f t="shared" si="52"/>
        <v>0</v>
      </c>
      <c r="R74" s="18">
        <f t="shared" si="53"/>
        <v>0</v>
      </c>
      <c r="S74" s="18">
        <f t="shared" si="54"/>
        <v>0</v>
      </c>
      <c r="T74" s="18">
        <f t="shared" si="55"/>
        <v>0</v>
      </c>
      <c r="U74" s="81">
        <f t="shared" si="56"/>
        <v>0</v>
      </c>
      <c r="V74" s="113" t="str">
        <f t="shared" si="57"/>
        <v/>
      </c>
      <c r="W74" s="11"/>
      <c r="X74" s="11"/>
      <c r="Y74" s="11"/>
      <c r="Z74" s="11"/>
      <c r="AA74" s="11"/>
      <c r="AB74" s="11"/>
      <c r="AC74" s="11"/>
      <c r="AD74" s="11"/>
      <c r="AE74" s="11"/>
      <c r="AF74" s="177"/>
    </row>
    <row r="75" spans="1:33">
      <c r="A75" s="82" t="str">
        <f t="shared" si="48"/>
        <v>H-803V-UVL (Blue)</v>
      </c>
      <c r="B75" s="155">
        <f t="shared" si="49"/>
        <v>70071648938</v>
      </c>
      <c r="C75" s="240">
        <v>70071648375</v>
      </c>
      <c r="D75" s="236" t="s">
        <v>400</v>
      </c>
      <c r="E75" s="222">
        <v>70071653987</v>
      </c>
      <c r="F75" s="201" t="s">
        <v>228</v>
      </c>
      <c r="G75" s="222">
        <v>70071653995</v>
      </c>
      <c r="H75" s="201" t="s">
        <v>272</v>
      </c>
      <c r="I75" s="200">
        <v>70071648938</v>
      </c>
      <c r="J75" s="201" t="s">
        <v>120</v>
      </c>
      <c r="K75" s="200" t="s">
        <v>159</v>
      </c>
      <c r="L75" s="17">
        <v>20</v>
      </c>
      <c r="M75" s="75">
        <v>375</v>
      </c>
      <c r="N75" s="76"/>
      <c r="O75" s="18">
        <f t="shared" si="50"/>
        <v>0</v>
      </c>
      <c r="P75" s="18">
        <f t="shared" si="51"/>
        <v>0</v>
      </c>
      <c r="Q75" s="18">
        <f t="shared" si="52"/>
        <v>0</v>
      </c>
      <c r="R75" s="18">
        <f t="shared" si="53"/>
        <v>0</v>
      </c>
      <c r="S75" s="18">
        <f t="shared" si="54"/>
        <v>0</v>
      </c>
      <c r="T75" s="18">
        <f t="shared" si="55"/>
        <v>0</v>
      </c>
      <c r="U75" s="81">
        <f t="shared" si="56"/>
        <v>0</v>
      </c>
      <c r="V75" s="113" t="str">
        <f t="shared" si="57"/>
        <v/>
      </c>
      <c r="W75" s="11"/>
      <c r="X75" s="11"/>
      <c r="Y75" s="11"/>
      <c r="Z75" s="11"/>
      <c r="AA75" s="11"/>
      <c r="AB75" s="11"/>
      <c r="AC75" s="11"/>
      <c r="AD75" s="11"/>
      <c r="AE75" s="11"/>
      <c r="AF75" s="177"/>
    </row>
    <row r="76" spans="1:33">
      <c r="A76" s="82" t="str">
        <f t="shared" si="48"/>
        <v>H-804V-UVL (Green)</v>
      </c>
      <c r="B76" s="155">
        <f t="shared" si="49"/>
        <v>70071648946</v>
      </c>
      <c r="C76" s="240">
        <v>70071648383</v>
      </c>
      <c r="D76" s="236" t="s">
        <v>401</v>
      </c>
      <c r="E76" s="222">
        <v>70071653987</v>
      </c>
      <c r="F76" s="201" t="s">
        <v>229</v>
      </c>
      <c r="G76" s="222">
        <v>70071653995</v>
      </c>
      <c r="H76" s="201" t="s">
        <v>273</v>
      </c>
      <c r="I76" s="200">
        <v>70071648946</v>
      </c>
      <c r="J76" s="201" t="s">
        <v>121</v>
      </c>
      <c r="K76" s="200" t="s">
        <v>160</v>
      </c>
      <c r="L76" s="17">
        <v>20</v>
      </c>
      <c r="M76" s="75">
        <v>375</v>
      </c>
      <c r="N76" s="76"/>
      <c r="O76" s="18">
        <f t="shared" si="50"/>
        <v>0</v>
      </c>
      <c r="P76" s="18">
        <f t="shared" si="51"/>
        <v>0</v>
      </c>
      <c r="Q76" s="18">
        <f t="shared" si="52"/>
        <v>0</v>
      </c>
      <c r="R76" s="18">
        <f t="shared" si="53"/>
        <v>0</v>
      </c>
      <c r="S76" s="18">
        <f t="shared" si="54"/>
        <v>0</v>
      </c>
      <c r="T76" s="18">
        <f t="shared" si="55"/>
        <v>0</v>
      </c>
      <c r="U76" s="81">
        <f t="shared" si="56"/>
        <v>0</v>
      </c>
      <c r="V76" s="113" t="str">
        <f t="shared" si="57"/>
        <v/>
      </c>
      <c r="W76" s="11"/>
      <c r="X76" s="11"/>
      <c r="Y76" s="11"/>
      <c r="Z76" s="11"/>
      <c r="AA76" s="11"/>
      <c r="AB76" s="11"/>
      <c r="AC76" s="11"/>
      <c r="AD76" s="11"/>
      <c r="AE76" s="11"/>
      <c r="AF76" s="177"/>
    </row>
    <row r="77" spans="1:33">
      <c r="A77" s="82" t="str">
        <f t="shared" si="48"/>
        <v>H-805V-UVL (Red)</v>
      </c>
      <c r="B77" s="155">
        <f t="shared" si="49"/>
        <v>70071648953</v>
      </c>
      <c r="C77" s="240">
        <v>70071648391</v>
      </c>
      <c r="D77" s="236" t="s">
        <v>402</v>
      </c>
      <c r="E77" s="222">
        <v>70071653987</v>
      </c>
      <c r="F77" s="201" t="s">
        <v>230</v>
      </c>
      <c r="G77" s="222">
        <v>70071653995</v>
      </c>
      <c r="H77" s="201" t="s">
        <v>274</v>
      </c>
      <c r="I77" s="200">
        <v>70071648953</v>
      </c>
      <c r="J77" s="201" t="s">
        <v>122</v>
      </c>
      <c r="K77" s="200" t="s">
        <v>161</v>
      </c>
      <c r="L77" s="17">
        <v>20</v>
      </c>
      <c r="M77" s="75">
        <v>375</v>
      </c>
      <c r="N77" s="76"/>
      <c r="O77" s="18">
        <f t="shared" si="50"/>
        <v>0</v>
      </c>
      <c r="P77" s="18">
        <f t="shared" si="51"/>
        <v>0</v>
      </c>
      <c r="Q77" s="18">
        <f t="shared" si="52"/>
        <v>0</v>
      </c>
      <c r="R77" s="18">
        <f t="shared" si="53"/>
        <v>0</v>
      </c>
      <c r="S77" s="18">
        <f t="shared" si="54"/>
        <v>0</v>
      </c>
      <c r="T77" s="18">
        <f t="shared" si="55"/>
        <v>0</v>
      </c>
      <c r="U77" s="81">
        <f t="shared" si="56"/>
        <v>0</v>
      </c>
      <c r="V77" s="113" t="str">
        <f t="shared" si="57"/>
        <v/>
      </c>
      <c r="W77" s="11"/>
      <c r="X77" s="11"/>
      <c r="Y77" s="11"/>
      <c r="Z77" s="11"/>
      <c r="AA77" s="11"/>
      <c r="AB77" s="11"/>
      <c r="AC77" s="11"/>
      <c r="AD77" s="11"/>
      <c r="AE77" s="11"/>
      <c r="AF77" s="177"/>
    </row>
    <row r="78" spans="1:33">
      <c r="A78" s="82" t="str">
        <f t="shared" si="48"/>
        <v>H-806V-UVL (Orange)</v>
      </c>
      <c r="B78" s="155">
        <f t="shared" si="49"/>
        <v>70071648961</v>
      </c>
      <c r="C78" s="240">
        <v>70071648409</v>
      </c>
      <c r="D78" s="236" t="s">
        <v>403</v>
      </c>
      <c r="E78" s="222">
        <v>70071653987</v>
      </c>
      <c r="F78" s="201" t="s">
        <v>231</v>
      </c>
      <c r="G78" s="222">
        <v>70071653995</v>
      </c>
      <c r="H78" s="201" t="s">
        <v>275</v>
      </c>
      <c r="I78" s="200">
        <v>70071648961</v>
      </c>
      <c r="J78" s="201" t="s">
        <v>123</v>
      </c>
      <c r="K78" s="200" t="s">
        <v>162</v>
      </c>
      <c r="L78" s="17">
        <v>20</v>
      </c>
      <c r="M78" s="75">
        <v>375</v>
      </c>
      <c r="N78" s="76"/>
      <c r="O78" s="18">
        <f t="shared" si="50"/>
        <v>0</v>
      </c>
      <c r="P78" s="18">
        <f t="shared" si="51"/>
        <v>0</v>
      </c>
      <c r="Q78" s="18">
        <f t="shared" si="52"/>
        <v>0</v>
      </c>
      <c r="R78" s="18">
        <f t="shared" si="53"/>
        <v>0</v>
      </c>
      <c r="S78" s="18">
        <f t="shared" si="54"/>
        <v>0</v>
      </c>
      <c r="T78" s="18">
        <f t="shared" si="55"/>
        <v>0</v>
      </c>
      <c r="U78" s="81">
        <f t="shared" si="56"/>
        <v>0</v>
      </c>
      <c r="V78" s="113" t="str">
        <f t="shared" si="57"/>
        <v/>
      </c>
      <c r="W78" s="11"/>
      <c r="X78" s="11"/>
      <c r="Y78" s="11"/>
      <c r="Z78" s="11"/>
      <c r="AA78" s="11"/>
      <c r="AB78" s="11"/>
      <c r="AC78" s="11"/>
      <c r="AD78" s="11"/>
      <c r="AE78" s="11"/>
      <c r="AF78" s="177"/>
    </row>
    <row r="79" spans="1:33">
      <c r="A79" s="82" t="str">
        <f t="shared" si="48"/>
        <v>H-807V-UVL (Bright Orange)</v>
      </c>
      <c r="B79" s="155">
        <f t="shared" si="49"/>
        <v>70071648979</v>
      </c>
      <c r="C79" s="240">
        <v>70071648417</v>
      </c>
      <c r="D79" s="236" t="s">
        <v>404</v>
      </c>
      <c r="E79" s="222">
        <v>70071653987</v>
      </c>
      <c r="F79" s="201" t="s">
        <v>232</v>
      </c>
      <c r="G79" s="222">
        <v>70071653995</v>
      </c>
      <c r="H79" s="201" t="s">
        <v>276</v>
      </c>
      <c r="I79" s="200">
        <v>70071648979</v>
      </c>
      <c r="J79" s="201" t="s">
        <v>124</v>
      </c>
      <c r="K79" s="200" t="s">
        <v>163</v>
      </c>
      <c r="L79" s="17">
        <v>20</v>
      </c>
      <c r="M79" s="75">
        <v>375</v>
      </c>
      <c r="N79" s="76"/>
      <c r="O79" s="18">
        <f t="shared" si="50"/>
        <v>0</v>
      </c>
      <c r="P79" s="18">
        <f t="shared" si="51"/>
        <v>0</v>
      </c>
      <c r="Q79" s="18">
        <f t="shared" si="52"/>
        <v>0</v>
      </c>
      <c r="R79" s="18">
        <f t="shared" si="53"/>
        <v>0</v>
      </c>
      <c r="S79" s="18">
        <f t="shared" si="54"/>
        <v>0</v>
      </c>
      <c r="T79" s="18">
        <f t="shared" si="55"/>
        <v>0</v>
      </c>
      <c r="U79" s="81">
        <f t="shared" si="56"/>
        <v>0</v>
      </c>
      <c r="V79" s="113" t="str">
        <f t="shared" si="57"/>
        <v/>
      </c>
      <c r="W79" s="11"/>
      <c r="X79" s="11"/>
      <c r="Y79" s="11"/>
      <c r="Z79" s="11"/>
      <c r="AA79" s="11"/>
      <c r="AB79" s="11"/>
      <c r="AC79" s="11"/>
      <c r="AD79" s="11"/>
      <c r="AE79" s="11"/>
      <c r="AF79" s="177"/>
    </row>
    <row r="80" spans="1:33">
      <c r="A80" s="82" t="str">
        <f t="shared" si="48"/>
        <v>H-808V-UVL (Gray)</v>
      </c>
      <c r="B80" s="155">
        <f t="shared" si="49"/>
        <v>70071648987</v>
      </c>
      <c r="C80" s="240">
        <v>70071648425</v>
      </c>
      <c r="D80" s="236" t="s">
        <v>405</v>
      </c>
      <c r="E80" s="222">
        <v>70071653987</v>
      </c>
      <c r="F80" s="201" t="s">
        <v>233</v>
      </c>
      <c r="G80" s="222">
        <v>70071653995</v>
      </c>
      <c r="H80" s="201" t="s">
        <v>277</v>
      </c>
      <c r="I80" s="200">
        <v>70071648987</v>
      </c>
      <c r="J80" s="201" t="s">
        <v>125</v>
      </c>
      <c r="K80" s="200" t="s">
        <v>164</v>
      </c>
      <c r="L80" s="17">
        <v>20</v>
      </c>
      <c r="M80" s="75">
        <v>375</v>
      </c>
      <c r="N80" s="76"/>
      <c r="O80" s="18">
        <f t="shared" si="50"/>
        <v>0</v>
      </c>
      <c r="P80" s="18">
        <f t="shared" si="51"/>
        <v>0</v>
      </c>
      <c r="Q80" s="18">
        <f t="shared" si="52"/>
        <v>0</v>
      </c>
      <c r="R80" s="18">
        <f t="shared" si="53"/>
        <v>0</v>
      </c>
      <c r="S80" s="18">
        <f t="shared" si="54"/>
        <v>0</v>
      </c>
      <c r="T80" s="18">
        <f t="shared" si="55"/>
        <v>0</v>
      </c>
      <c r="U80" s="81">
        <f t="shared" si="56"/>
        <v>0</v>
      </c>
      <c r="V80" s="113" t="str">
        <f t="shared" si="57"/>
        <v/>
      </c>
      <c r="W80" s="11"/>
      <c r="X80" s="11"/>
      <c r="Y80" s="11"/>
      <c r="Z80" s="11"/>
      <c r="AA80" s="11"/>
      <c r="AB80" s="11"/>
      <c r="AC80" s="11"/>
      <c r="AD80" s="11"/>
      <c r="AE80" s="11"/>
      <c r="AF80" s="177"/>
    </row>
    <row r="81" spans="1:33">
      <c r="A81" s="82" t="str">
        <f t="shared" si="48"/>
        <v>H-809V-UVL (Bright Yellow)</v>
      </c>
      <c r="B81" s="155">
        <f t="shared" si="49"/>
        <v>70071648995</v>
      </c>
      <c r="C81" s="240">
        <v>70071648433</v>
      </c>
      <c r="D81" s="236" t="s">
        <v>406</v>
      </c>
      <c r="E81" s="222">
        <v>70071653987</v>
      </c>
      <c r="F81" s="201" t="s">
        <v>234</v>
      </c>
      <c r="G81" s="222">
        <v>70071653995</v>
      </c>
      <c r="H81" s="201" t="s">
        <v>278</v>
      </c>
      <c r="I81" s="200">
        <v>70071648995</v>
      </c>
      <c r="J81" s="201" t="s">
        <v>126</v>
      </c>
      <c r="K81" s="200" t="s">
        <v>165</v>
      </c>
      <c r="L81" s="17">
        <v>20</v>
      </c>
      <c r="M81" s="75">
        <v>375</v>
      </c>
      <c r="N81" s="76"/>
      <c r="O81" s="18">
        <f t="shared" si="50"/>
        <v>0</v>
      </c>
      <c r="P81" s="18">
        <f t="shared" si="51"/>
        <v>0</v>
      </c>
      <c r="Q81" s="18">
        <f t="shared" si="52"/>
        <v>0</v>
      </c>
      <c r="R81" s="18">
        <f t="shared" si="53"/>
        <v>0</v>
      </c>
      <c r="S81" s="18">
        <f t="shared" si="54"/>
        <v>0</v>
      </c>
      <c r="T81" s="18">
        <f t="shared" si="55"/>
        <v>0</v>
      </c>
      <c r="U81" s="81">
        <f t="shared" si="56"/>
        <v>0</v>
      </c>
      <c r="V81" s="113" t="str">
        <f t="shared" si="57"/>
        <v/>
      </c>
      <c r="W81" s="11"/>
      <c r="X81" s="11"/>
      <c r="Y81" s="11"/>
      <c r="Z81" s="11"/>
      <c r="AA81" s="11"/>
      <c r="AB81" s="11"/>
      <c r="AC81" s="11"/>
      <c r="AD81" s="11"/>
      <c r="AE81" s="11"/>
      <c r="AF81" s="177"/>
    </row>
    <row r="82" spans="1:33">
      <c r="A82" s="82" t="str">
        <f t="shared" si="48"/>
        <v>H-810V-UVL (Navy Blue)</v>
      </c>
      <c r="B82" s="155">
        <f t="shared" si="49"/>
        <v>70071649001</v>
      </c>
      <c r="C82" s="240">
        <v>70071648441</v>
      </c>
      <c r="D82" s="236" t="s">
        <v>407</v>
      </c>
      <c r="E82" s="222">
        <v>70071653987</v>
      </c>
      <c r="F82" s="201" t="s">
        <v>235</v>
      </c>
      <c r="G82" s="222">
        <v>70071653995</v>
      </c>
      <c r="H82" s="201" t="s">
        <v>279</v>
      </c>
      <c r="I82" s="200">
        <v>70071649001</v>
      </c>
      <c r="J82" s="201" t="s">
        <v>127</v>
      </c>
      <c r="K82" s="200" t="s">
        <v>166</v>
      </c>
      <c r="L82" s="17">
        <v>20</v>
      </c>
      <c r="M82" s="75">
        <v>375</v>
      </c>
      <c r="N82" s="76"/>
      <c r="O82" s="18">
        <f t="shared" si="50"/>
        <v>0</v>
      </c>
      <c r="P82" s="18">
        <f t="shared" si="51"/>
        <v>0</v>
      </c>
      <c r="Q82" s="18">
        <f t="shared" si="52"/>
        <v>0</v>
      </c>
      <c r="R82" s="18">
        <f t="shared" si="53"/>
        <v>0</v>
      </c>
      <c r="S82" s="18">
        <f t="shared" si="54"/>
        <v>0</v>
      </c>
      <c r="T82" s="18">
        <f t="shared" si="55"/>
        <v>0</v>
      </c>
      <c r="U82" s="81">
        <f t="shared" si="56"/>
        <v>0</v>
      </c>
      <c r="V82" s="113" t="str">
        <f t="shared" si="57"/>
        <v/>
      </c>
      <c r="W82" s="11"/>
      <c r="X82" s="11"/>
      <c r="Y82" s="11"/>
      <c r="Z82" s="11"/>
      <c r="AA82" s="11"/>
      <c r="AB82" s="11"/>
      <c r="AC82" s="11"/>
      <c r="AD82" s="11"/>
      <c r="AE82" s="11"/>
      <c r="AF82" s="177"/>
    </row>
    <row r="83" spans="1:33" ht="13.5" thickBot="1">
      <c r="A83" s="100" t="str">
        <f t="shared" si="48"/>
        <v>H-811V-UVL (Tan)</v>
      </c>
      <c r="B83" s="156">
        <f t="shared" si="49"/>
        <v>70071649019</v>
      </c>
      <c r="C83" s="241">
        <v>70071648458</v>
      </c>
      <c r="D83" s="238" t="s">
        <v>408</v>
      </c>
      <c r="E83" s="223">
        <v>70071653987</v>
      </c>
      <c r="F83" s="203" t="s">
        <v>236</v>
      </c>
      <c r="G83" s="223">
        <v>70071653995</v>
      </c>
      <c r="H83" s="203" t="s">
        <v>280</v>
      </c>
      <c r="I83" s="202">
        <v>70071649019</v>
      </c>
      <c r="J83" s="203" t="s">
        <v>128</v>
      </c>
      <c r="K83" s="202" t="s">
        <v>167</v>
      </c>
      <c r="L83" s="101">
        <v>20</v>
      </c>
      <c r="M83" s="102">
        <v>375</v>
      </c>
      <c r="N83" s="103"/>
      <c r="O83" s="104">
        <f t="shared" si="50"/>
        <v>0</v>
      </c>
      <c r="P83" s="104">
        <f t="shared" si="51"/>
        <v>0</v>
      </c>
      <c r="Q83" s="104">
        <f t="shared" si="52"/>
        <v>0</v>
      </c>
      <c r="R83" s="104">
        <f t="shared" si="53"/>
        <v>0</v>
      </c>
      <c r="S83" s="104">
        <f t="shared" si="54"/>
        <v>0</v>
      </c>
      <c r="T83" s="104">
        <f t="shared" si="55"/>
        <v>0</v>
      </c>
      <c r="U83" s="105">
        <f t="shared" si="56"/>
        <v>0</v>
      </c>
      <c r="V83" s="114" t="str">
        <f t="shared" si="57"/>
        <v/>
      </c>
      <c r="W83" s="11"/>
      <c r="X83" s="11"/>
      <c r="Y83" s="11"/>
      <c r="Z83" s="11"/>
      <c r="AA83" s="11"/>
      <c r="AB83" s="11"/>
      <c r="AC83" s="11"/>
      <c r="AD83" s="11"/>
      <c r="AE83" s="11"/>
      <c r="AF83" s="177"/>
    </row>
    <row r="84" spans="1:33" s="21" customFormat="1" ht="16.5" thickBot="1">
      <c r="A84" s="151" t="s">
        <v>138</v>
      </c>
      <c r="B84" s="152"/>
      <c r="C84" s="224"/>
      <c r="D84" s="150"/>
      <c r="E84" s="224"/>
      <c r="F84" s="153"/>
      <c r="G84" s="224"/>
      <c r="H84" s="153"/>
      <c r="I84" s="150"/>
      <c r="J84" s="150"/>
      <c r="K84" s="19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15"/>
      <c r="W84" s="11"/>
      <c r="X84" s="20"/>
      <c r="Y84" s="20"/>
      <c r="Z84" s="20"/>
      <c r="AA84" s="20"/>
      <c r="AB84" s="20"/>
      <c r="AC84" s="20"/>
      <c r="AD84" s="20"/>
      <c r="AE84" s="20"/>
      <c r="AF84" s="181"/>
      <c r="AG84" s="19"/>
    </row>
    <row r="85" spans="1:33">
      <c r="A85" s="94" t="str">
        <f t="shared" ref="A85:A95" si="58">IF($Q$9="REFLECTIVE ONLY",F85,IF($Q$9="LOGO &amp; REFLECTIVE",H85,J85))</f>
        <v>H-801RL (White)</v>
      </c>
      <c r="B85" s="154">
        <f t="shared" ref="B85:B95" si="59">IF($Q$9="REFLECTIVE ONLY",E85,IF($Q$9="LOGO &amp; REFLECTIVE",G85,I85))</f>
        <v>70071648581</v>
      </c>
      <c r="C85" s="239">
        <v>70071648029</v>
      </c>
      <c r="D85" s="235" t="s">
        <v>409</v>
      </c>
      <c r="E85" s="221">
        <v>70071654001</v>
      </c>
      <c r="F85" s="199" t="s">
        <v>237</v>
      </c>
      <c r="G85" s="221">
        <v>70071654019</v>
      </c>
      <c r="H85" s="199" t="s">
        <v>281</v>
      </c>
      <c r="I85" s="198">
        <v>70071648581</v>
      </c>
      <c r="J85" s="199" t="s">
        <v>85</v>
      </c>
      <c r="K85" s="198" t="s">
        <v>157</v>
      </c>
      <c r="L85" s="95">
        <v>20</v>
      </c>
      <c r="M85" s="96">
        <v>310</v>
      </c>
      <c r="N85" s="97"/>
      <c r="O85" s="98">
        <f t="shared" ref="O85:O95" si="60">IF(N85=0,0,M85* (1-$Q$6))</f>
        <v>0</v>
      </c>
      <c r="P85" s="98">
        <f t="shared" ref="P85:P95" si="61">IF(O85=0,0,$AE$7)</f>
        <v>0</v>
      </c>
      <c r="Q85" s="98">
        <f t="shared" ref="Q85:Q94" si="62">IF($Q$9="None", 0, IF(AND($Q$9 &lt;&gt; "NONE",N85&lt;&gt;0), (L85*8) * (1 - Q$6 ),0))</f>
        <v>0</v>
      </c>
      <c r="R85" s="98">
        <f t="shared" ref="R85:R95" si="63">IF(O85=0,0,O85+P85+Q85)</f>
        <v>0</v>
      </c>
      <c r="S85" s="98">
        <f t="shared" ref="S85:S95" si="64">IF(N85=0,0,O85+$AE$11+Q85)</f>
        <v>0</v>
      </c>
      <c r="T85" s="98">
        <f t="shared" ref="T85:T95" si="65">N85*R85</f>
        <v>0</v>
      </c>
      <c r="U85" s="99">
        <f t="shared" ref="U85:U95" si="66">N85*S85</f>
        <v>0</v>
      </c>
      <c r="V85" s="112" t="str">
        <f t="shared" ref="V85:V95" si="67">IF(AND($Q$9="REFLECTIVE ONLY",N85&lt;&gt;0)=TRUE,K85,"")</f>
        <v/>
      </c>
      <c r="W85" s="11"/>
      <c r="X85" s="11"/>
      <c r="Y85" s="11"/>
      <c r="Z85" s="11"/>
      <c r="AA85" s="11"/>
      <c r="AB85" s="11"/>
      <c r="AC85" s="11"/>
      <c r="AD85" s="11"/>
      <c r="AE85" s="11"/>
      <c r="AF85" s="177"/>
    </row>
    <row r="86" spans="1:33">
      <c r="A86" s="82" t="str">
        <f t="shared" si="58"/>
        <v>H-802RL (Yellow)</v>
      </c>
      <c r="B86" s="155">
        <f t="shared" si="59"/>
        <v>70071648599</v>
      </c>
      <c r="C86" s="240">
        <v>70071648037</v>
      </c>
      <c r="D86" s="236" t="s">
        <v>410</v>
      </c>
      <c r="E86" s="222">
        <v>70071654001</v>
      </c>
      <c r="F86" s="201" t="s">
        <v>238</v>
      </c>
      <c r="G86" s="222">
        <v>70071654019</v>
      </c>
      <c r="H86" s="201" t="s">
        <v>282</v>
      </c>
      <c r="I86" s="200">
        <v>70071648599</v>
      </c>
      <c r="J86" s="201" t="s">
        <v>86</v>
      </c>
      <c r="K86" s="200" t="s">
        <v>158</v>
      </c>
      <c r="L86" s="17">
        <v>20</v>
      </c>
      <c r="M86" s="75">
        <v>310</v>
      </c>
      <c r="N86" s="76"/>
      <c r="O86" s="18">
        <f t="shared" si="60"/>
        <v>0</v>
      </c>
      <c r="P86" s="18">
        <f t="shared" si="61"/>
        <v>0</v>
      </c>
      <c r="Q86" s="18">
        <f t="shared" si="62"/>
        <v>0</v>
      </c>
      <c r="R86" s="18">
        <f t="shared" si="63"/>
        <v>0</v>
      </c>
      <c r="S86" s="18">
        <f t="shared" si="64"/>
        <v>0</v>
      </c>
      <c r="T86" s="18">
        <f t="shared" si="65"/>
        <v>0</v>
      </c>
      <c r="U86" s="81">
        <f t="shared" si="66"/>
        <v>0</v>
      </c>
      <c r="V86" s="113" t="str">
        <f t="shared" si="67"/>
        <v/>
      </c>
      <c r="W86" s="11"/>
      <c r="X86" s="11"/>
      <c r="Y86" s="11"/>
      <c r="Z86" s="11"/>
      <c r="AA86" s="11"/>
      <c r="AB86" s="11"/>
      <c r="AC86" s="11"/>
      <c r="AD86" s="11"/>
      <c r="AE86" s="11"/>
      <c r="AF86" s="177"/>
    </row>
    <row r="87" spans="1:33">
      <c r="A87" s="82" t="str">
        <f t="shared" si="58"/>
        <v>H-803RL (Blue)</v>
      </c>
      <c r="B87" s="155">
        <f t="shared" si="59"/>
        <v>70071648607</v>
      </c>
      <c r="C87" s="240">
        <v>70071648045</v>
      </c>
      <c r="D87" s="236" t="s">
        <v>411</v>
      </c>
      <c r="E87" s="222">
        <v>70071654001</v>
      </c>
      <c r="F87" s="201" t="s">
        <v>239</v>
      </c>
      <c r="G87" s="222">
        <v>70071654019</v>
      </c>
      <c r="H87" s="201" t="s">
        <v>283</v>
      </c>
      <c r="I87" s="200">
        <v>70071648607</v>
      </c>
      <c r="J87" s="201" t="s">
        <v>87</v>
      </c>
      <c r="K87" s="200" t="s">
        <v>159</v>
      </c>
      <c r="L87" s="17">
        <v>20</v>
      </c>
      <c r="M87" s="75">
        <v>310</v>
      </c>
      <c r="N87" s="76"/>
      <c r="O87" s="18">
        <f t="shared" si="60"/>
        <v>0</v>
      </c>
      <c r="P87" s="18">
        <f t="shared" si="61"/>
        <v>0</v>
      </c>
      <c r="Q87" s="18">
        <f t="shared" si="62"/>
        <v>0</v>
      </c>
      <c r="R87" s="18">
        <f t="shared" si="63"/>
        <v>0</v>
      </c>
      <c r="S87" s="18">
        <f t="shared" si="64"/>
        <v>0</v>
      </c>
      <c r="T87" s="18">
        <f t="shared" si="65"/>
        <v>0</v>
      </c>
      <c r="U87" s="81">
        <f t="shared" si="66"/>
        <v>0</v>
      </c>
      <c r="V87" s="113" t="str">
        <f t="shared" si="67"/>
        <v/>
      </c>
      <c r="W87" s="11"/>
      <c r="X87" s="11"/>
      <c r="Y87" s="11"/>
      <c r="Z87" s="11"/>
      <c r="AA87" s="11"/>
      <c r="AB87" s="11"/>
      <c r="AC87" s="11"/>
      <c r="AD87" s="11"/>
      <c r="AE87" s="11"/>
      <c r="AF87" s="177"/>
    </row>
    <row r="88" spans="1:33">
      <c r="A88" s="82" t="str">
        <f t="shared" si="58"/>
        <v>H-804RL (Green)</v>
      </c>
      <c r="B88" s="155">
        <f t="shared" si="59"/>
        <v>70071648615</v>
      </c>
      <c r="C88" s="240">
        <v>70071648052</v>
      </c>
      <c r="D88" s="236" t="s">
        <v>412</v>
      </c>
      <c r="E88" s="222">
        <v>70071654001</v>
      </c>
      <c r="F88" s="201" t="s">
        <v>240</v>
      </c>
      <c r="G88" s="222">
        <v>70071654019</v>
      </c>
      <c r="H88" s="201" t="s">
        <v>284</v>
      </c>
      <c r="I88" s="200">
        <v>70071648615</v>
      </c>
      <c r="J88" s="201" t="s">
        <v>88</v>
      </c>
      <c r="K88" s="200" t="s">
        <v>160</v>
      </c>
      <c r="L88" s="17">
        <v>20</v>
      </c>
      <c r="M88" s="75">
        <v>310</v>
      </c>
      <c r="N88" s="76"/>
      <c r="O88" s="18">
        <f t="shared" si="60"/>
        <v>0</v>
      </c>
      <c r="P88" s="18">
        <f t="shared" si="61"/>
        <v>0</v>
      </c>
      <c r="Q88" s="18">
        <f t="shared" si="62"/>
        <v>0</v>
      </c>
      <c r="R88" s="18">
        <f t="shared" si="63"/>
        <v>0</v>
      </c>
      <c r="S88" s="18">
        <f t="shared" si="64"/>
        <v>0</v>
      </c>
      <c r="T88" s="18">
        <f t="shared" si="65"/>
        <v>0</v>
      </c>
      <c r="U88" s="81">
        <f t="shared" si="66"/>
        <v>0</v>
      </c>
      <c r="V88" s="113" t="str">
        <f t="shared" si="67"/>
        <v/>
      </c>
      <c r="W88" s="11"/>
      <c r="X88" s="11"/>
      <c r="Y88" s="11"/>
      <c r="Z88" s="11"/>
      <c r="AA88" s="11"/>
      <c r="AB88" s="11"/>
      <c r="AC88" s="11"/>
      <c r="AD88" s="11"/>
      <c r="AE88" s="11"/>
      <c r="AF88" s="177"/>
    </row>
    <row r="89" spans="1:33">
      <c r="A89" s="82" t="str">
        <f t="shared" si="58"/>
        <v>H-805RL (Red)</v>
      </c>
      <c r="B89" s="155">
        <f t="shared" si="59"/>
        <v>70071648623</v>
      </c>
      <c r="C89" s="240">
        <v>70071648060</v>
      </c>
      <c r="D89" s="236" t="s">
        <v>413</v>
      </c>
      <c r="E89" s="222">
        <v>70071654001</v>
      </c>
      <c r="F89" s="201" t="s">
        <v>241</v>
      </c>
      <c r="G89" s="222">
        <v>70071654019</v>
      </c>
      <c r="H89" s="201" t="s">
        <v>285</v>
      </c>
      <c r="I89" s="200">
        <v>70071648623</v>
      </c>
      <c r="J89" s="201" t="s">
        <v>89</v>
      </c>
      <c r="K89" s="200" t="s">
        <v>161</v>
      </c>
      <c r="L89" s="17">
        <v>20</v>
      </c>
      <c r="M89" s="75">
        <v>310</v>
      </c>
      <c r="N89" s="76"/>
      <c r="O89" s="18">
        <f t="shared" si="60"/>
        <v>0</v>
      </c>
      <c r="P89" s="18">
        <f t="shared" si="61"/>
        <v>0</v>
      </c>
      <c r="Q89" s="18">
        <f t="shared" si="62"/>
        <v>0</v>
      </c>
      <c r="R89" s="18">
        <f t="shared" si="63"/>
        <v>0</v>
      </c>
      <c r="S89" s="18">
        <f t="shared" si="64"/>
        <v>0</v>
      </c>
      <c r="T89" s="18">
        <f t="shared" si="65"/>
        <v>0</v>
      </c>
      <c r="U89" s="81">
        <f t="shared" si="66"/>
        <v>0</v>
      </c>
      <c r="V89" s="113" t="str">
        <f t="shared" si="67"/>
        <v/>
      </c>
      <c r="W89" s="11"/>
      <c r="X89" s="11"/>
      <c r="Y89" s="11"/>
      <c r="Z89" s="11"/>
      <c r="AA89" s="11"/>
      <c r="AB89" s="11"/>
      <c r="AC89" s="11"/>
      <c r="AD89" s="11"/>
      <c r="AE89" s="11"/>
      <c r="AF89" s="177"/>
    </row>
    <row r="90" spans="1:33">
      <c r="A90" s="82" t="str">
        <f t="shared" si="58"/>
        <v>H-806RL (Orange)</v>
      </c>
      <c r="B90" s="155">
        <f t="shared" si="59"/>
        <v>70071648631</v>
      </c>
      <c r="C90" s="240">
        <v>70071648078</v>
      </c>
      <c r="D90" s="236" t="s">
        <v>414</v>
      </c>
      <c r="E90" s="222">
        <v>70071654001</v>
      </c>
      <c r="F90" s="201" t="s">
        <v>242</v>
      </c>
      <c r="G90" s="222">
        <v>70071654019</v>
      </c>
      <c r="H90" s="201" t="s">
        <v>286</v>
      </c>
      <c r="I90" s="200">
        <v>70071648631</v>
      </c>
      <c r="J90" s="201" t="s">
        <v>90</v>
      </c>
      <c r="K90" s="200" t="s">
        <v>162</v>
      </c>
      <c r="L90" s="17">
        <v>20</v>
      </c>
      <c r="M90" s="75">
        <v>310</v>
      </c>
      <c r="N90" s="76"/>
      <c r="O90" s="18">
        <f t="shared" si="60"/>
        <v>0</v>
      </c>
      <c r="P90" s="18">
        <f t="shared" si="61"/>
        <v>0</v>
      </c>
      <c r="Q90" s="18">
        <f t="shared" si="62"/>
        <v>0</v>
      </c>
      <c r="R90" s="18">
        <f t="shared" si="63"/>
        <v>0</v>
      </c>
      <c r="S90" s="18">
        <f t="shared" si="64"/>
        <v>0</v>
      </c>
      <c r="T90" s="18">
        <f t="shared" si="65"/>
        <v>0</v>
      </c>
      <c r="U90" s="81">
        <f t="shared" si="66"/>
        <v>0</v>
      </c>
      <c r="V90" s="113" t="str">
        <f t="shared" si="67"/>
        <v/>
      </c>
      <c r="W90" s="11"/>
      <c r="X90" s="11"/>
      <c r="Y90" s="11"/>
      <c r="Z90" s="11"/>
      <c r="AA90" s="11"/>
      <c r="AB90" s="11"/>
      <c r="AC90" s="11"/>
      <c r="AD90" s="11"/>
      <c r="AE90" s="11"/>
      <c r="AF90" s="177"/>
    </row>
    <row r="91" spans="1:33">
      <c r="A91" s="82" t="str">
        <f t="shared" si="58"/>
        <v>H-807RL (Bright Orange)</v>
      </c>
      <c r="B91" s="155">
        <f t="shared" si="59"/>
        <v>70071648649</v>
      </c>
      <c r="C91" s="240">
        <v>70071648086</v>
      </c>
      <c r="D91" s="236" t="s">
        <v>415</v>
      </c>
      <c r="E91" s="222">
        <v>70071654001</v>
      </c>
      <c r="F91" s="201" t="s">
        <v>243</v>
      </c>
      <c r="G91" s="222">
        <v>70071654019</v>
      </c>
      <c r="H91" s="201" t="s">
        <v>287</v>
      </c>
      <c r="I91" s="200">
        <v>70071648649</v>
      </c>
      <c r="J91" s="201" t="s">
        <v>91</v>
      </c>
      <c r="K91" s="200" t="s">
        <v>163</v>
      </c>
      <c r="L91" s="17">
        <v>20</v>
      </c>
      <c r="M91" s="75">
        <v>310</v>
      </c>
      <c r="N91" s="76"/>
      <c r="O91" s="18">
        <f t="shared" si="60"/>
        <v>0</v>
      </c>
      <c r="P91" s="18">
        <f t="shared" si="61"/>
        <v>0</v>
      </c>
      <c r="Q91" s="18">
        <f t="shared" si="62"/>
        <v>0</v>
      </c>
      <c r="R91" s="18">
        <f t="shared" si="63"/>
        <v>0</v>
      </c>
      <c r="S91" s="18">
        <f t="shared" si="64"/>
        <v>0</v>
      </c>
      <c r="T91" s="18">
        <f t="shared" si="65"/>
        <v>0</v>
      </c>
      <c r="U91" s="81">
        <f t="shared" si="66"/>
        <v>0</v>
      </c>
      <c r="V91" s="113" t="str">
        <f t="shared" si="67"/>
        <v/>
      </c>
      <c r="W91" s="11"/>
      <c r="X91" s="11"/>
      <c r="Y91" s="11"/>
      <c r="Z91" s="11"/>
      <c r="AA91" s="11"/>
      <c r="AB91" s="11"/>
      <c r="AC91" s="11"/>
      <c r="AD91" s="11"/>
      <c r="AE91" s="11"/>
      <c r="AF91" s="177"/>
    </row>
    <row r="92" spans="1:33">
      <c r="A92" s="82" t="str">
        <f t="shared" si="58"/>
        <v>H-808RL (Gray)</v>
      </c>
      <c r="B92" s="155">
        <f t="shared" si="59"/>
        <v>70071648656</v>
      </c>
      <c r="C92" s="240">
        <v>70071648094</v>
      </c>
      <c r="D92" s="236" t="s">
        <v>416</v>
      </c>
      <c r="E92" s="222">
        <v>70071654001</v>
      </c>
      <c r="F92" s="201" t="s">
        <v>244</v>
      </c>
      <c r="G92" s="222">
        <v>70071654019</v>
      </c>
      <c r="H92" s="201" t="s">
        <v>288</v>
      </c>
      <c r="I92" s="200">
        <v>70071648656</v>
      </c>
      <c r="J92" s="201" t="s">
        <v>92</v>
      </c>
      <c r="K92" s="200" t="s">
        <v>164</v>
      </c>
      <c r="L92" s="17">
        <v>20</v>
      </c>
      <c r="M92" s="75">
        <v>310</v>
      </c>
      <c r="N92" s="76"/>
      <c r="O92" s="18">
        <f t="shared" si="60"/>
        <v>0</v>
      </c>
      <c r="P92" s="18">
        <f t="shared" si="61"/>
        <v>0</v>
      </c>
      <c r="Q92" s="18">
        <f t="shared" si="62"/>
        <v>0</v>
      </c>
      <c r="R92" s="18">
        <f t="shared" si="63"/>
        <v>0</v>
      </c>
      <c r="S92" s="18">
        <f t="shared" si="64"/>
        <v>0</v>
      </c>
      <c r="T92" s="18">
        <f t="shared" si="65"/>
        <v>0</v>
      </c>
      <c r="U92" s="81">
        <f t="shared" si="66"/>
        <v>0</v>
      </c>
      <c r="V92" s="113" t="str">
        <f t="shared" si="67"/>
        <v/>
      </c>
      <c r="W92" s="11"/>
      <c r="X92" s="11"/>
      <c r="Y92" s="11"/>
      <c r="Z92" s="11"/>
      <c r="AA92" s="11"/>
      <c r="AB92" s="11"/>
      <c r="AC92" s="11"/>
      <c r="AD92" s="11"/>
      <c r="AE92" s="11"/>
      <c r="AF92" s="177"/>
    </row>
    <row r="93" spans="1:33">
      <c r="A93" s="82" t="str">
        <f t="shared" si="58"/>
        <v>H-809RL (Bright Yellow)</v>
      </c>
      <c r="B93" s="155">
        <f t="shared" si="59"/>
        <v>70071648664</v>
      </c>
      <c r="C93" s="240">
        <v>70071648102</v>
      </c>
      <c r="D93" s="236" t="s">
        <v>417</v>
      </c>
      <c r="E93" s="222">
        <v>70071654001</v>
      </c>
      <c r="F93" s="201" t="s">
        <v>245</v>
      </c>
      <c r="G93" s="222">
        <v>70071654019</v>
      </c>
      <c r="H93" s="201" t="s">
        <v>289</v>
      </c>
      <c r="I93" s="200">
        <v>70071648664</v>
      </c>
      <c r="J93" s="201" t="s">
        <v>93</v>
      </c>
      <c r="K93" s="200" t="s">
        <v>165</v>
      </c>
      <c r="L93" s="17">
        <v>20</v>
      </c>
      <c r="M93" s="75">
        <v>310</v>
      </c>
      <c r="N93" s="76"/>
      <c r="O93" s="18">
        <f t="shared" si="60"/>
        <v>0</v>
      </c>
      <c r="P93" s="18">
        <f t="shared" si="61"/>
        <v>0</v>
      </c>
      <c r="Q93" s="18">
        <f t="shared" si="62"/>
        <v>0</v>
      </c>
      <c r="R93" s="18">
        <f t="shared" si="63"/>
        <v>0</v>
      </c>
      <c r="S93" s="18">
        <f t="shared" si="64"/>
        <v>0</v>
      </c>
      <c r="T93" s="18">
        <f t="shared" si="65"/>
        <v>0</v>
      </c>
      <c r="U93" s="81">
        <f t="shared" si="66"/>
        <v>0</v>
      </c>
      <c r="V93" s="113" t="str">
        <f t="shared" si="67"/>
        <v/>
      </c>
      <c r="W93" s="11"/>
      <c r="X93" s="11"/>
      <c r="Y93" s="11"/>
      <c r="Z93" s="11"/>
      <c r="AA93" s="11"/>
      <c r="AB93" s="11"/>
      <c r="AC93" s="11"/>
      <c r="AD93" s="11"/>
      <c r="AE93" s="11"/>
      <c r="AF93" s="177"/>
    </row>
    <row r="94" spans="1:33">
      <c r="A94" s="82" t="str">
        <f t="shared" si="58"/>
        <v>H-810RL (Navy Blue)</v>
      </c>
      <c r="B94" s="155">
        <f t="shared" si="59"/>
        <v>70071648672</v>
      </c>
      <c r="C94" s="240">
        <v>70071648110</v>
      </c>
      <c r="D94" s="236" t="s">
        <v>418</v>
      </c>
      <c r="E94" s="222">
        <v>70071654001</v>
      </c>
      <c r="F94" s="201" t="s">
        <v>246</v>
      </c>
      <c r="G94" s="222">
        <v>70071654019</v>
      </c>
      <c r="H94" s="201" t="s">
        <v>290</v>
      </c>
      <c r="I94" s="200">
        <v>70071648672</v>
      </c>
      <c r="J94" s="201" t="s">
        <v>94</v>
      </c>
      <c r="K94" s="200" t="s">
        <v>166</v>
      </c>
      <c r="L94" s="17">
        <v>20</v>
      </c>
      <c r="M94" s="75">
        <v>310</v>
      </c>
      <c r="N94" s="76"/>
      <c r="O94" s="18">
        <f t="shared" si="60"/>
        <v>0</v>
      </c>
      <c r="P94" s="18">
        <f t="shared" si="61"/>
        <v>0</v>
      </c>
      <c r="Q94" s="18">
        <f t="shared" si="62"/>
        <v>0</v>
      </c>
      <c r="R94" s="18">
        <f t="shared" si="63"/>
        <v>0</v>
      </c>
      <c r="S94" s="18">
        <f t="shared" si="64"/>
        <v>0</v>
      </c>
      <c r="T94" s="18">
        <f t="shared" si="65"/>
        <v>0</v>
      </c>
      <c r="U94" s="81">
        <f t="shared" si="66"/>
        <v>0</v>
      </c>
      <c r="V94" s="113" t="str">
        <f t="shared" si="67"/>
        <v/>
      </c>
      <c r="W94" s="11"/>
      <c r="X94" s="11"/>
      <c r="Y94" s="11"/>
      <c r="Z94" s="11"/>
      <c r="AA94" s="11"/>
      <c r="AB94" s="11"/>
      <c r="AC94" s="11"/>
      <c r="AD94" s="11"/>
      <c r="AE94" s="11"/>
      <c r="AF94" s="177"/>
    </row>
    <row r="95" spans="1:33" ht="13.5" thickBot="1">
      <c r="A95" s="100" t="str">
        <f t="shared" si="58"/>
        <v>H-811RL (Tan)</v>
      </c>
      <c r="B95" s="156">
        <f t="shared" si="59"/>
        <v>70071648680</v>
      </c>
      <c r="C95" s="241">
        <v>70071648128</v>
      </c>
      <c r="D95" s="238" t="s">
        <v>419</v>
      </c>
      <c r="E95" s="223">
        <v>70071654001</v>
      </c>
      <c r="F95" s="203" t="s">
        <v>247</v>
      </c>
      <c r="G95" s="223">
        <v>70071654019</v>
      </c>
      <c r="H95" s="203" t="s">
        <v>291</v>
      </c>
      <c r="I95" s="202">
        <v>70071648680</v>
      </c>
      <c r="J95" s="203" t="s">
        <v>95</v>
      </c>
      <c r="K95" s="202" t="s">
        <v>167</v>
      </c>
      <c r="L95" s="101">
        <v>20</v>
      </c>
      <c r="M95" s="102">
        <v>310</v>
      </c>
      <c r="N95" s="103"/>
      <c r="O95" s="104">
        <f t="shared" si="60"/>
        <v>0</v>
      </c>
      <c r="P95" s="104">
        <f t="shared" si="61"/>
        <v>0</v>
      </c>
      <c r="Q95" s="104">
        <f>IF($Q$9="None", 0, IF(AND($Q$9 &lt;&gt; "NONE",N95&lt;&gt;0), (L95*8) * (1 - Q$6 ),0))</f>
        <v>0</v>
      </c>
      <c r="R95" s="104">
        <f t="shared" si="63"/>
        <v>0</v>
      </c>
      <c r="S95" s="104">
        <f t="shared" si="64"/>
        <v>0</v>
      </c>
      <c r="T95" s="104">
        <f t="shared" si="65"/>
        <v>0</v>
      </c>
      <c r="U95" s="105">
        <f t="shared" si="66"/>
        <v>0</v>
      </c>
      <c r="V95" s="114" t="str">
        <f t="shared" si="67"/>
        <v/>
      </c>
      <c r="W95" s="11"/>
      <c r="X95" s="11"/>
      <c r="Y95" s="11"/>
      <c r="Z95" s="11"/>
      <c r="AA95" s="11"/>
      <c r="AB95" s="11"/>
      <c r="AC95" s="11"/>
      <c r="AD95" s="11"/>
      <c r="AE95" s="11"/>
      <c r="AF95" s="177"/>
    </row>
    <row r="96" spans="1:33" s="21" customFormat="1" ht="16.5" thickBot="1">
      <c r="A96" s="151" t="s">
        <v>139</v>
      </c>
      <c r="B96" s="152"/>
      <c r="C96" s="224"/>
      <c r="D96" s="150"/>
      <c r="E96" s="224"/>
      <c r="F96" s="153"/>
      <c r="G96" s="224"/>
      <c r="H96" s="153"/>
      <c r="I96" s="150"/>
      <c r="J96" s="150"/>
      <c r="K96" s="19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15"/>
      <c r="W96" s="11"/>
      <c r="X96" s="20"/>
      <c r="Y96" s="20"/>
      <c r="Z96" s="20"/>
      <c r="AA96" s="20"/>
      <c r="AB96" s="20"/>
      <c r="AC96" s="20"/>
      <c r="AD96" s="20"/>
      <c r="AE96" s="20"/>
      <c r="AF96" s="181"/>
      <c r="AG96" s="19"/>
    </row>
    <row r="97" spans="1:33">
      <c r="A97" s="94" t="str">
        <f t="shared" ref="A97:A107" si="68">IF($Q$9="REFLECTIVE ONLY",F97,IF($Q$9="LOGO &amp; REFLECTIVE",H97,J97))</f>
        <v>H-801VL (White)</v>
      </c>
      <c r="B97" s="154">
        <f t="shared" ref="B97:B107" si="69">IF($Q$9="REFLECTIVE ONLY",E97,IF($Q$9="LOGO &amp; REFLECTIVE",G97,I97))</f>
        <v>70071648698</v>
      </c>
      <c r="C97" s="239">
        <v>70071648136</v>
      </c>
      <c r="D97" s="235" t="s">
        <v>420</v>
      </c>
      <c r="E97" s="221">
        <v>70071653961</v>
      </c>
      <c r="F97" s="199" t="s">
        <v>248</v>
      </c>
      <c r="G97" s="221">
        <v>70071653979</v>
      </c>
      <c r="H97" s="199" t="s">
        <v>292</v>
      </c>
      <c r="I97" s="198">
        <v>70071648698</v>
      </c>
      <c r="J97" s="199" t="s">
        <v>96</v>
      </c>
      <c r="K97" s="198" t="s">
        <v>157</v>
      </c>
      <c r="L97" s="95">
        <v>20</v>
      </c>
      <c r="M97" s="96">
        <v>325</v>
      </c>
      <c r="N97" s="97"/>
      <c r="O97" s="98">
        <f t="shared" ref="O97:O107" si="70">IF(N97=0,0,M97* (1-$Q$6))</f>
        <v>0</v>
      </c>
      <c r="P97" s="98">
        <f t="shared" ref="P97:P107" si="71">IF(O97=0,0,$AE$7)</f>
        <v>0</v>
      </c>
      <c r="Q97" s="98">
        <f t="shared" ref="Q97:Q107" si="72">IF($Q$9="None", 0, IF(AND($Q$9 &lt;&gt; "NONE",N97&lt;&gt;0), (L97*8) * (1 - Q$6 ),0))</f>
        <v>0</v>
      </c>
      <c r="R97" s="98">
        <f t="shared" ref="R97:R107" si="73">IF(O97=0,0,O97+P97+Q97)</f>
        <v>0</v>
      </c>
      <c r="S97" s="98">
        <f t="shared" ref="S97:S107" si="74">IF(N97=0,0,O97+$AE$11+Q97)</f>
        <v>0</v>
      </c>
      <c r="T97" s="98">
        <f t="shared" ref="T97:T107" si="75">N97*R97</f>
        <v>0</v>
      </c>
      <c r="U97" s="99">
        <f t="shared" ref="U97:U107" si="76">N97*S97</f>
        <v>0</v>
      </c>
      <c r="V97" s="112" t="str">
        <f t="shared" ref="V97:V107" si="77">IF(AND($Q$9="REFLECTIVE ONLY",N97&lt;&gt;0)=TRUE,K97,"")</f>
        <v/>
      </c>
      <c r="W97" s="11"/>
      <c r="X97" s="11"/>
      <c r="Y97" s="11"/>
      <c r="Z97" s="11"/>
      <c r="AA97" s="11"/>
      <c r="AB97" s="11"/>
      <c r="AC97" s="11"/>
      <c r="AD97" s="11"/>
      <c r="AE97" s="11"/>
      <c r="AF97" s="177"/>
    </row>
    <row r="98" spans="1:33">
      <c r="A98" s="82" t="str">
        <f t="shared" si="68"/>
        <v>H-802VL (Yellow)</v>
      </c>
      <c r="B98" s="155">
        <f t="shared" si="69"/>
        <v>70071648706</v>
      </c>
      <c r="C98" s="240">
        <v>70071648144</v>
      </c>
      <c r="D98" s="236" t="s">
        <v>421</v>
      </c>
      <c r="E98" s="222">
        <v>70071653961</v>
      </c>
      <c r="F98" s="201" t="s">
        <v>249</v>
      </c>
      <c r="G98" s="222">
        <v>70071653979</v>
      </c>
      <c r="H98" s="201" t="s">
        <v>293</v>
      </c>
      <c r="I98" s="200">
        <v>70071648706</v>
      </c>
      <c r="J98" s="201" t="s">
        <v>97</v>
      </c>
      <c r="K98" s="200" t="s">
        <v>158</v>
      </c>
      <c r="L98" s="17">
        <v>20</v>
      </c>
      <c r="M98" s="75">
        <v>325</v>
      </c>
      <c r="N98" s="76"/>
      <c r="O98" s="18">
        <f t="shared" si="70"/>
        <v>0</v>
      </c>
      <c r="P98" s="18">
        <f t="shared" si="71"/>
        <v>0</v>
      </c>
      <c r="Q98" s="18">
        <f t="shared" si="72"/>
        <v>0</v>
      </c>
      <c r="R98" s="18">
        <f t="shared" si="73"/>
        <v>0</v>
      </c>
      <c r="S98" s="18">
        <f t="shared" si="74"/>
        <v>0</v>
      </c>
      <c r="T98" s="18">
        <f t="shared" si="75"/>
        <v>0</v>
      </c>
      <c r="U98" s="81">
        <f t="shared" si="76"/>
        <v>0</v>
      </c>
      <c r="V98" s="113" t="str">
        <f t="shared" si="77"/>
        <v/>
      </c>
      <c r="W98" s="11"/>
      <c r="X98" s="11"/>
      <c r="Y98" s="11"/>
      <c r="Z98" s="11"/>
      <c r="AA98" s="11"/>
      <c r="AB98" s="11"/>
      <c r="AC98" s="11"/>
      <c r="AD98" s="11"/>
      <c r="AE98" s="11"/>
      <c r="AF98" s="177"/>
    </row>
    <row r="99" spans="1:33">
      <c r="A99" s="82" t="str">
        <f t="shared" si="68"/>
        <v>H-803VL (Blue)</v>
      </c>
      <c r="B99" s="155">
        <f t="shared" si="69"/>
        <v>70071648714</v>
      </c>
      <c r="C99" s="240">
        <v>70071648151</v>
      </c>
      <c r="D99" s="236" t="s">
        <v>422</v>
      </c>
      <c r="E99" s="222">
        <v>70071653961</v>
      </c>
      <c r="F99" s="201" t="s">
        <v>250</v>
      </c>
      <c r="G99" s="222">
        <v>70071653979</v>
      </c>
      <c r="H99" s="201" t="s">
        <v>294</v>
      </c>
      <c r="I99" s="200">
        <v>70071648714</v>
      </c>
      <c r="J99" s="201" t="s">
        <v>98</v>
      </c>
      <c r="K99" s="200" t="s">
        <v>159</v>
      </c>
      <c r="L99" s="17">
        <v>20</v>
      </c>
      <c r="M99" s="75">
        <v>325</v>
      </c>
      <c r="N99" s="76"/>
      <c r="O99" s="18">
        <f t="shared" si="70"/>
        <v>0</v>
      </c>
      <c r="P99" s="18">
        <f t="shared" si="71"/>
        <v>0</v>
      </c>
      <c r="Q99" s="18">
        <f t="shared" si="72"/>
        <v>0</v>
      </c>
      <c r="R99" s="18">
        <f t="shared" si="73"/>
        <v>0</v>
      </c>
      <c r="S99" s="18">
        <f t="shared" si="74"/>
        <v>0</v>
      </c>
      <c r="T99" s="18">
        <f t="shared" si="75"/>
        <v>0</v>
      </c>
      <c r="U99" s="81">
        <f t="shared" si="76"/>
        <v>0</v>
      </c>
      <c r="V99" s="113" t="str">
        <f t="shared" si="77"/>
        <v/>
      </c>
      <c r="W99" s="11"/>
      <c r="X99" s="11"/>
      <c r="Y99" s="11"/>
      <c r="Z99" s="11"/>
      <c r="AA99" s="11"/>
      <c r="AB99" s="11"/>
      <c r="AC99" s="11"/>
      <c r="AD99" s="11"/>
      <c r="AE99" s="11"/>
      <c r="AF99" s="177"/>
    </row>
    <row r="100" spans="1:33">
      <c r="A100" s="82" t="str">
        <f t="shared" si="68"/>
        <v>H-804VL (Green)</v>
      </c>
      <c r="B100" s="155">
        <f t="shared" si="69"/>
        <v>70071648722</v>
      </c>
      <c r="C100" s="240">
        <v>70071648169</v>
      </c>
      <c r="D100" s="236" t="s">
        <v>423</v>
      </c>
      <c r="E100" s="222">
        <v>70071653961</v>
      </c>
      <c r="F100" s="201" t="s">
        <v>251</v>
      </c>
      <c r="G100" s="222">
        <v>70071653979</v>
      </c>
      <c r="H100" s="201" t="s">
        <v>295</v>
      </c>
      <c r="I100" s="200">
        <v>70071648722</v>
      </c>
      <c r="J100" s="201" t="s">
        <v>99</v>
      </c>
      <c r="K100" s="200" t="s">
        <v>160</v>
      </c>
      <c r="L100" s="17">
        <v>20</v>
      </c>
      <c r="M100" s="75">
        <v>325</v>
      </c>
      <c r="N100" s="76"/>
      <c r="O100" s="18">
        <f t="shared" si="70"/>
        <v>0</v>
      </c>
      <c r="P100" s="18">
        <f t="shared" si="71"/>
        <v>0</v>
      </c>
      <c r="Q100" s="18">
        <f t="shared" si="72"/>
        <v>0</v>
      </c>
      <c r="R100" s="18">
        <f t="shared" si="73"/>
        <v>0</v>
      </c>
      <c r="S100" s="18">
        <f t="shared" si="74"/>
        <v>0</v>
      </c>
      <c r="T100" s="18">
        <f t="shared" si="75"/>
        <v>0</v>
      </c>
      <c r="U100" s="81">
        <f t="shared" si="76"/>
        <v>0</v>
      </c>
      <c r="V100" s="113" t="str">
        <f t="shared" si="77"/>
        <v/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77"/>
    </row>
    <row r="101" spans="1:33">
      <c r="A101" s="82" t="str">
        <f t="shared" si="68"/>
        <v>H-805VL (Red)</v>
      </c>
      <c r="B101" s="155">
        <f t="shared" si="69"/>
        <v>70071648730</v>
      </c>
      <c r="C101" s="240">
        <v>70071648177</v>
      </c>
      <c r="D101" s="236" t="s">
        <v>424</v>
      </c>
      <c r="E101" s="222">
        <v>70071653961</v>
      </c>
      <c r="F101" s="201" t="s">
        <v>252</v>
      </c>
      <c r="G101" s="222">
        <v>70071653979</v>
      </c>
      <c r="H101" s="201" t="s">
        <v>296</v>
      </c>
      <c r="I101" s="200">
        <v>70071648730</v>
      </c>
      <c r="J101" s="201" t="s">
        <v>100</v>
      </c>
      <c r="K101" s="200" t="s">
        <v>161</v>
      </c>
      <c r="L101" s="17">
        <v>20</v>
      </c>
      <c r="M101" s="75">
        <v>325</v>
      </c>
      <c r="N101" s="76"/>
      <c r="O101" s="18">
        <f t="shared" si="70"/>
        <v>0</v>
      </c>
      <c r="P101" s="18">
        <f t="shared" si="71"/>
        <v>0</v>
      </c>
      <c r="Q101" s="18">
        <f t="shared" si="72"/>
        <v>0</v>
      </c>
      <c r="R101" s="18">
        <f t="shared" si="73"/>
        <v>0</v>
      </c>
      <c r="S101" s="18">
        <f t="shared" si="74"/>
        <v>0</v>
      </c>
      <c r="T101" s="18">
        <f t="shared" si="75"/>
        <v>0</v>
      </c>
      <c r="U101" s="81">
        <f t="shared" si="76"/>
        <v>0</v>
      </c>
      <c r="V101" s="113" t="str">
        <f t="shared" si="77"/>
        <v/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77"/>
    </row>
    <row r="102" spans="1:33">
      <c r="A102" s="82" t="str">
        <f t="shared" si="68"/>
        <v>H-806VL (Orange)</v>
      </c>
      <c r="B102" s="155">
        <f t="shared" si="69"/>
        <v>70071648748</v>
      </c>
      <c r="C102" s="240">
        <v>70071648185</v>
      </c>
      <c r="D102" s="236" t="s">
        <v>425</v>
      </c>
      <c r="E102" s="222">
        <v>70071653961</v>
      </c>
      <c r="F102" s="201" t="s">
        <v>253</v>
      </c>
      <c r="G102" s="222">
        <v>70071653979</v>
      </c>
      <c r="H102" s="201" t="s">
        <v>297</v>
      </c>
      <c r="I102" s="200">
        <v>70071648748</v>
      </c>
      <c r="J102" s="201" t="s">
        <v>101</v>
      </c>
      <c r="K102" s="200" t="s">
        <v>162</v>
      </c>
      <c r="L102" s="17">
        <v>20</v>
      </c>
      <c r="M102" s="75">
        <v>325</v>
      </c>
      <c r="N102" s="76"/>
      <c r="O102" s="18">
        <f t="shared" si="70"/>
        <v>0</v>
      </c>
      <c r="P102" s="18">
        <f t="shared" si="71"/>
        <v>0</v>
      </c>
      <c r="Q102" s="18">
        <f t="shared" si="72"/>
        <v>0</v>
      </c>
      <c r="R102" s="18">
        <f t="shared" si="73"/>
        <v>0</v>
      </c>
      <c r="S102" s="18">
        <f t="shared" si="74"/>
        <v>0</v>
      </c>
      <c r="T102" s="18">
        <f t="shared" si="75"/>
        <v>0</v>
      </c>
      <c r="U102" s="81">
        <f t="shared" si="76"/>
        <v>0</v>
      </c>
      <c r="V102" s="113" t="str">
        <f t="shared" si="77"/>
        <v/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77"/>
    </row>
    <row r="103" spans="1:33">
      <c r="A103" s="82" t="str">
        <f t="shared" si="68"/>
        <v>H-807VL (Bright Orange)</v>
      </c>
      <c r="B103" s="155">
        <f t="shared" si="69"/>
        <v>70071648755</v>
      </c>
      <c r="C103" s="240">
        <v>70071648193</v>
      </c>
      <c r="D103" s="236" t="s">
        <v>426</v>
      </c>
      <c r="E103" s="222">
        <v>70071653961</v>
      </c>
      <c r="F103" s="201" t="s">
        <v>254</v>
      </c>
      <c r="G103" s="222">
        <v>70071653979</v>
      </c>
      <c r="H103" s="201" t="s">
        <v>298</v>
      </c>
      <c r="I103" s="200">
        <v>70071648755</v>
      </c>
      <c r="J103" s="201" t="s">
        <v>102</v>
      </c>
      <c r="K103" s="200" t="s">
        <v>163</v>
      </c>
      <c r="L103" s="17">
        <v>20</v>
      </c>
      <c r="M103" s="75">
        <v>325</v>
      </c>
      <c r="N103" s="76"/>
      <c r="O103" s="18">
        <f t="shared" si="70"/>
        <v>0</v>
      </c>
      <c r="P103" s="18">
        <f t="shared" si="71"/>
        <v>0</v>
      </c>
      <c r="Q103" s="18">
        <f t="shared" si="72"/>
        <v>0</v>
      </c>
      <c r="R103" s="18">
        <f t="shared" si="73"/>
        <v>0</v>
      </c>
      <c r="S103" s="18">
        <f t="shared" si="74"/>
        <v>0</v>
      </c>
      <c r="T103" s="18">
        <f t="shared" si="75"/>
        <v>0</v>
      </c>
      <c r="U103" s="81">
        <f t="shared" si="76"/>
        <v>0</v>
      </c>
      <c r="V103" s="113" t="str">
        <f t="shared" si="77"/>
        <v/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77"/>
    </row>
    <row r="104" spans="1:33">
      <c r="A104" s="82" t="str">
        <f t="shared" si="68"/>
        <v>H-808VL (Gray)</v>
      </c>
      <c r="B104" s="155">
        <f t="shared" si="69"/>
        <v>70071648763</v>
      </c>
      <c r="C104" s="240">
        <v>70071648201</v>
      </c>
      <c r="D104" s="236" t="s">
        <v>427</v>
      </c>
      <c r="E104" s="222">
        <v>70071653961</v>
      </c>
      <c r="F104" s="201" t="s">
        <v>255</v>
      </c>
      <c r="G104" s="222">
        <v>70071653979</v>
      </c>
      <c r="H104" s="201" t="s">
        <v>299</v>
      </c>
      <c r="I104" s="200">
        <v>70071648763</v>
      </c>
      <c r="J104" s="201" t="s">
        <v>103</v>
      </c>
      <c r="K104" s="200" t="s">
        <v>164</v>
      </c>
      <c r="L104" s="17">
        <v>20</v>
      </c>
      <c r="M104" s="75">
        <v>325</v>
      </c>
      <c r="N104" s="76"/>
      <c r="O104" s="18">
        <f t="shared" si="70"/>
        <v>0</v>
      </c>
      <c r="P104" s="18">
        <f t="shared" si="71"/>
        <v>0</v>
      </c>
      <c r="Q104" s="18">
        <f t="shared" si="72"/>
        <v>0</v>
      </c>
      <c r="R104" s="18">
        <f t="shared" si="73"/>
        <v>0</v>
      </c>
      <c r="S104" s="18">
        <f t="shared" si="74"/>
        <v>0</v>
      </c>
      <c r="T104" s="18">
        <f t="shared" si="75"/>
        <v>0</v>
      </c>
      <c r="U104" s="81">
        <f t="shared" si="76"/>
        <v>0</v>
      </c>
      <c r="V104" s="113" t="str">
        <f t="shared" si="77"/>
        <v/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77"/>
    </row>
    <row r="105" spans="1:33">
      <c r="A105" s="82" t="str">
        <f t="shared" si="68"/>
        <v>H-809VL (Bright Yellow)</v>
      </c>
      <c r="B105" s="155">
        <f t="shared" si="69"/>
        <v>70071648771</v>
      </c>
      <c r="C105" s="240">
        <v>70071648219</v>
      </c>
      <c r="D105" s="236" t="s">
        <v>428</v>
      </c>
      <c r="E105" s="222">
        <v>70071653961</v>
      </c>
      <c r="F105" s="201" t="s">
        <v>256</v>
      </c>
      <c r="G105" s="222">
        <v>70071653979</v>
      </c>
      <c r="H105" s="201" t="s">
        <v>300</v>
      </c>
      <c r="I105" s="200">
        <v>70071648771</v>
      </c>
      <c r="J105" s="201" t="s">
        <v>104</v>
      </c>
      <c r="K105" s="200" t="s">
        <v>165</v>
      </c>
      <c r="L105" s="17">
        <v>20</v>
      </c>
      <c r="M105" s="75">
        <v>325</v>
      </c>
      <c r="N105" s="76"/>
      <c r="O105" s="18">
        <f t="shared" si="70"/>
        <v>0</v>
      </c>
      <c r="P105" s="18">
        <f t="shared" si="71"/>
        <v>0</v>
      </c>
      <c r="Q105" s="18">
        <f t="shared" si="72"/>
        <v>0</v>
      </c>
      <c r="R105" s="18">
        <f t="shared" si="73"/>
        <v>0</v>
      </c>
      <c r="S105" s="18">
        <f t="shared" si="74"/>
        <v>0</v>
      </c>
      <c r="T105" s="18">
        <f t="shared" si="75"/>
        <v>0</v>
      </c>
      <c r="U105" s="81">
        <f t="shared" si="76"/>
        <v>0</v>
      </c>
      <c r="V105" s="113" t="str">
        <f t="shared" si="77"/>
        <v/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77"/>
    </row>
    <row r="106" spans="1:33">
      <c r="A106" s="82" t="str">
        <f t="shared" si="68"/>
        <v>H-810VL (Navy Blue)</v>
      </c>
      <c r="B106" s="155">
        <f t="shared" si="69"/>
        <v>70071648789</v>
      </c>
      <c r="C106" s="240">
        <v>70071648227</v>
      </c>
      <c r="D106" s="236" t="s">
        <v>429</v>
      </c>
      <c r="E106" s="222">
        <v>70071653961</v>
      </c>
      <c r="F106" s="201" t="s">
        <v>257</v>
      </c>
      <c r="G106" s="222">
        <v>70071653979</v>
      </c>
      <c r="H106" s="201" t="s">
        <v>301</v>
      </c>
      <c r="I106" s="200">
        <v>70071648789</v>
      </c>
      <c r="J106" s="201" t="s">
        <v>105</v>
      </c>
      <c r="K106" s="200" t="s">
        <v>166</v>
      </c>
      <c r="L106" s="17">
        <v>20</v>
      </c>
      <c r="M106" s="75">
        <v>325</v>
      </c>
      <c r="N106" s="76"/>
      <c r="O106" s="18">
        <f t="shared" si="70"/>
        <v>0</v>
      </c>
      <c r="P106" s="18">
        <f t="shared" si="71"/>
        <v>0</v>
      </c>
      <c r="Q106" s="18">
        <f t="shared" si="72"/>
        <v>0</v>
      </c>
      <c r="R106" s="18">
        <f t="shared" si="73"/>
        <v>0</v>
      </c>
      <c r="S106" s="18">
        <f t="shared" si="74"/>
        <v>0</v>
      </c>
      <c r="T106" s="18">
        <f t="shared" si="75"/>
        <v>0</v>
      </c>
      <c r="U106" s="81">
        <f t="shared" si="76"/>
        <v>0</v>
      </c>
      <c r="V106" s="113" t="str">
        <f t="shared" si="77"/>
        <v/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77"/>
    </row>
    <row r="107" spans="1:33" ht="13.5" thickBot="1">
      <c r="A107" s="100" t="str">
        <f t="shared" si="68"/>
        <v>H-811VL (Tan)</v>
      </c>
      <c r="B107" s="156">
        <f t="shared" si="69"/>
        <v>70071648797</v>
      </c>
      <c r="C107" s="241">
        <v>70071648235</v>
      </c>
      <c r="D107" s="238" t="s">
        <v>430</v>
      </c>
      <c r="E107" s="223">
        <v>70071653961</v>
      </c>
      <c r="F107" s="203" t="s">
        <v>258</v>
      </c>
      <c r="G107" s="223">
        <v>70071653979</v>
      </c>
      <c r="H107" s="203" t="s">
        <v>302</v>
      </c>
      <c r="I107" s="202">
        <v>70071648797</v>
      </c>
      <c r="J107" s="203" t="s">
        <v>106</v>
      </c>
      <c r="K107" s="202" t="s">
        <v>167</v>
      </c>
      <c r="L107" s="101">
        <v>20</v>
      </c>
      <c r="M107" s="102">
        <v>325</v>
      </c>
      <c r="N107" s="103"/>
      <c r="O107" s="104">
        <f t="shared" si="70"/>
        <v>0</v>
      </c>
      <c r="P107" s="104">
        <f t="shared" si="71"/>
        <v>0</v>
      </c>
      <c r="Q107" s="104">
        <f t="shared" si="72"/>
        <v>0</v>
      </c>
      <c r="R107" s="104">
        <f t="shared" si="73"/>
        <v>0</v>
      </c>
      <c r="S107" s="104">
        <f t="shared" si="74"/>
        <v>0</v>
      </c>
      <c r="T107" s="104">
        <f t="shared" si="75"/>
        <v>0</v>
      </c>
      <c r="U107" s="105">
        <f t="shared" si="76"/>
        <v>0</v>
      </c>
      <c r="V107" s="114" t="str">
        <f t="shared" si="77"/>
        <v/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77"/>
    </row>
    <row r="108" spans="1:33" ht="16.5" thickBot="1">
      <c r="A108" s="86"/>
      <c r="B108" s="9"/>
      <c r="C108" s="195"/>
      <c r="D108" s="195"/>
      <c r="E108" s="195"/>
      <c r="F108" s="195"/>
      <c r="G108" s="195"/>
      <c r="H108" s="195"/>
      <c r="I108" s="195"/>
      <c r="J108" s="195"/>
      <c r="K108" s="195"/>
      <c r="L108" s="9"/>
      <c r="M108" s="49" t="s">
        <v>56</v>
      </c>
      <c r="N108" s="233">
        <f>SUM(N19:N27,N29:N32,N34:N43,N45:N48,N50:N59,N61:N71,N73:N83,N85:N95,N97:N107)</f>
        <v>0</v>
      </c>
      <c r="O108" s="10"/>
      <c r="P108" s="10"/>
      <c r="Q108" s="10"/>
      <c r="R108" s="10"/>
      <c r="S108" s="10"/>
      <c r="T108" s="12"/>
      <c r="U108" s="12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77"/>
    </row>
    <row r="109" spans="1:33">
      <c r="A109" s="86"/>
      <c r="B109" s="9"/>
      <c r="C109" s="195"/>
      <c r="D109" s="195"/>
      <c r="E109" s="195"/>
      <c r="F109" s="195"/>
      <c r="G109" s="195"/>
      <c r="H109" s="195"/>
      <c r="I109" s="195"/>
      <c r="J109" s="195"/>
      <c r="K109" s="195"/>
      <c r="L109" s="9"/>
      <c r="M109" s="9"/>
      <c r="N109" s="9"/>
      <c r="O109" s="10"/>
      <c r="P109" s="10"/>
      <c r="Q109" s="10"/>
      <c r="R109" s="10"/>
      <c r="S109" s="10"/>
      <c r="T109" s="12"/>
      <c r="U109" s="12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77"/>
    </row>
    <row r="110" spans="1:33">
      <c r="A110" s="86"/>
      <c r="B110" s="9"/>
      <c r="C110" s="195"/>
      <c r="D110" s="195"/>
      <c r="E110" s="195"/>
      <c r="F110" s="195"/>
      <c r="G110" s="195"/>
      <c r="H110" s="195"/>
      <c r="I110" s="195"/>
      <c r="J110" s="195"/>
      <c r="K110" s="195"/>
      <c r="L110" s="9"/>
      <c r="M110" s="9"/>
      <c r="N110" s="9"/>
      <c r="O110" s="10"/>
      <c r="P110" s="10"/>
      <c r="Q110" s="10"/>
      <c r="R110" s="10"/>
      <c r="S110" s="10"/>
      <c r="T110" s="12"/>
      <c r="U110" s="12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77"/>
    </row>
    <row r="111" spans="1:33" s="26" customFormat="1">
      <c r="A111" s="88" t="s">
        <v>38</v>
      </c>
      <c r="B111" s="50"/>
      <c r="C111" s="204"/>
      <c r="D111" s="204"/>
      <c r="E111" s="204"/>
      <c r="F111" s="204"/>
      <c r="G111" s="204"/>
      <c r="H111" s="204"/>
      <c r="I111" s="204"/>
      <c r="J111" s="204"/>
      <c r="K111" s="204"/>
      <c r="L111" s="51"/>
      <c r="M111" s="51"/>
      <c r="N111" s="50"/>
      <c r="O111" s="52"/>
      <c r="P111" s="52"/>
      <c r="Q111" s="52"/>
      <c r="R111" s="52"/>
      <c r="S111" s="52"/>
      <c r="T111" s="25"/>
      <c r="U111" s="25"/>
      <c r="V111" s="48"/>
      <c r="W111" s="11"/>
      <c r="X111" s="38"/>
      <c r="Y111" s="38"/>
      <c r="Z111" s="38"/>
      <c r="AA111" s="38"/>
      <c r="AB111" s="38"/>
      <c r="AC111" s="38"/>
      <c r="AD111" s="38"/>
      <c r="AE111" s="38"/>
      <c r="AF111" s="182"/>
      <c r="AG111" s="47"/>
    </row>
    <row r="112" spans="1:33" s="26" customFormat="1">
      <c r="A112" s="89" t="s">
        <v>39</v>
      </c>
      <c r="B112" s="50"/>
      <c r="C112" s="204"/>
      <c r="D112" s="204"/>
      <c r="E112" s="204"/>
      <c r="F112" s="204"/>
      <c r="G112" s="204"/>
      <c r="H112" s="204"/>
      <c r="I112" s="204"/>
      <c r="J112" s="204"/>
      <c r="K112" s="204"/>
      <c r="L112" s="53"/>
      <c r="M112" s="53"/>
      <c r="N112" s="50"/>
      <c r="O112" s="52"/>
      <c r="P112" s="52"/>
      <c r="Q112" s="52"/>
      <c r="R112" s="52"/>
      <c r="S112" s="52"/>
      <c r="T112" s="25"/>
      <c r="U112" s="25"/>
      <c r="V112" s="48"/>
      <c r="W112" s="38"/>
      <c r="X112" s="38"/>
      <c r="Y112" s="38"/>
      <c r="Z112" s="38"/>
      <c r="AA112" s="38"/>
      <c r="AB112" s="38"/>
      <c r="AC112" s="38"/>
      <c r="AD112" s="38"/>
      <c r="AE112" s="38"/>
      <c r="AF112" s="182"/>
      <c r="AG112" s="47"/>
    </row>
    <row r="113" spans="1:44" s="26" customFormat="1">
      <c r="A113" s="89" t="s">
        <v>40</v>
      </c>
      <c r="B113" s="50"/>
      <c r="C113" s="204"/>
      <c r="D113" s="204"/>
      <c r="E113" s="204"/>
      <c r="F113" s="204"/>
      <c r="G113" s="204"/>
      <c r="H113" s="204"/>
      <c r="I113" s="204"/>
      <c r="J113" s="204"/>
      <c r="K113" s="204"/>
      <c r="L113" s="51"/>
      <c r="M113" s="51"/>
      <c r="N113" s="50"/>
      <c r="O113" s="52"/>
      <c r="P113" s="52"/>
      <c r="Q113" s="52"/>
      <c r="R113" s="52"/>
      <c r="S113" s="52"/>
      <c r="T113" s="25"/>
      <c r="U113" s="25"/>
      <c r="V113" s="48"/>
      <c r="W113" s="38"/>
      <c r="X113" s="38"/>
      <c r="Y113" s="38"/>
      <c r="Z113" s="38"/>
      <c r="AA113" s="38"/>
      <c r="AB113" s="38"/>
      <c r="AC113" s="38"/>
      <c r="AD113" s="38"/>
      <c r="AE113" s="38"/>
      <c r="AF113" s="182"/>
      <c r="AG113" s="47"/>
    </row>
    <row r="114" spans="1:44" s="26" customFormat="1">
      <c r="A114" s="90" t="s">
        <v>41</v>
      </c>
      <c r="B114" s="50"/>
      <c r="C114" s="204"/>
      <c r="D114" s="204"/>
      <c r="E114" s="204"/>
      <c r="F114" s="204"/>
      <c r="G114" s="204"/>
      <c r="H114" s="204"/>
      <c r="I114" s="204"/>
      <c r="J114" s="204"/>
      <c r="K114" s="204"/>
      <c r="L114" s="51"/>
      <c r="M114" s="51"/>
      <c r="N114" s="50"/>
      <c r="O114" s="54"/>
      <c r="P114" s="54"/>
      <c r="Q114" s="54"/>
      <c r="R114" s="54"/>
      <c r="S114" s="52"/>
      <c r="T114" s="25"/>
      <c r="U114" s="25"/>
      <c r="V114" s="48"/>
      <c r="W114" s="38"/>
      <c r="X114" s="38"/>
      <c r="Y114" s="38"/>
      <c r="Z114" s="38"/>
      <c r="AA114" s="38"/>
      <c r="AB114" s="38"/>
      <c r="AC114" s="38"/>
      <c r="AD114" s="38"/>
      <c r="AE114" s="38"/>
      <c r="AF114" s="182"/>
      <c r="AG114" s="47"/>
    </row>
    <row r="115" spans="1:44" s="26" customFormat="1">
      <c r="A115" s="89"/>
      <c r="B115" s="50"/>
      <c r="C115" s="204"/>
      <c r="D115" s="204"/>
      <c r="E115" s="204"/>
      <c r="F115" s="204"/>
      <c r="G115" s="204"/>
      <c r="H115" s="204"/>
      <c r="I115" s="204"/>
      <c r="J115" s="204"/>
      <c r="K115" s="204"/>
      <c r="L115" s="51"/>
      <c r="M115" s="51"/>
      <c r="N115" s="50"/>
      <c r="O115" s="54"/>
      <c r="P115" s="54"/>
      <c r="Q115" s="54"/>
      <c r="R115" s="54"/>
      <c r="S115" s="52"/>
      <c r="T115" s="25"/>
      <c r="U115" s="25"/>
      <c r="V115" s="48"/>
      <c r="W115" s="38"/>
      <c r="X115" s="38"/>
      <c r="Y115" s="38"/>
      <c r="Z115" s="38"/>
      <c r="AA115" s="38"/>
      <c r="AB115" s="38"/>
      <c r="AC115" s="38"/>
      <c r="AD115" s="38"/>
      <c r="AE115" s="38"/>
      <c r="AF115" s="182"/>
      <c r="AG115" s="47"/>
    </row>
    <row r="116" spans="1:44" s="26" customFormat="1" ht="13.5">
      <c r="A116" s="91"/>
      <c r="B116" s="50"/>
      <c r="C116" s="204"/>
      <c r="D116" s="204"/>
      <c r="E116" s="204"/>
      <c r="F116" s="204"/>
      <c r="G116" s="204"/>
      <c r="H116" s="204"/>
      <c r="I116" s="204"/>
      <c r="J116" s="204"/>
      <c r="K116" s="204"/>
      <c r="L116" s="51"/>
      <c r="M116" s="51"/>
      <c r="N116" s="50"/>
      <c r="O116" s="54"/>
      <c r="P116" s="54"/>
      <c r="Q116" s="54"/>
      <c r="R116" s="54"/>
      <c r="S116" s="52"/>
      <c r="T116" s="25"/>
      <c r="U116" s="25"/>
      <c r="V116" s="48"/>
      <c r="W116" s="38"/>
      <c r="X116" s="38"/>
      <c r="Y116" s="38"/>
      <c r="Z116" s="38"/>
      <c r="AA116" s="38"/>
      <c r="AB116" s="38"/>
      <c r="AC116" s="38"/>
      <c r="AD116" s="38"/>
      <c r="AE116" s="38"/>
      <c r="AF116" s="182"/>
      <c r="AG116" s="47"/>
    </row>
    <row r="117" spans="1:44" s="26" customFormat="1" ht="13.5">
      <c r="A117" s="91"/>
      <c r="B117" s="50"/>
      <c r="C117" s="204"/>
      <c r="D117" s="204"/>
      <c r="E117" s="204"/>
      <c r="F117" s="204"/>
      <c r="G117" s="204"/>
      <c r="H117" s="204"/>
      <c r="I117" s="204"/>
      <c r="J117" s="204"/>
      <c r="K117" s="204"/>
      <c r="L117" s="51"/>
      <c r="M117" s="51"/>
      <c r="N117" s="50"/>
      <c r="O117" s="54"/>
      <c r="P117" s="54"/>
      <c r="Q117" s="54"/>
      <c r="R117" s="54"/>
      <c r="S117" s="52"/>
      <c r="T117" s="25"/>
      <c r="U117" s="25"/>
      <c r="V117" s="48"/>
      <c r="W117" s="38"/>
      <c r="X117" s="38"/>
      <c r="Y117" s="38"/>
      <c r="Z117" s="38"/>
      <c r="AA117" s="38"/>
      <c r="AB117" s="38"/>
      <c r="AC117" s="38"/>
      <c r="AD117" s="38"/>
      <c r="AE117" s="38"/>
      <c r="AF117" s="182"/>
      <c r="AG117" s="47"/>
    </row>
    <row r="118" spans="1:44" s="26" customFormat="1">
      <c r="A118" s="92"/>
      <c r="B118" s="50"/>
      <c r="C118" s="204"/>
      <c r="D118" s="204"/>
      <c r="E118" s="204"/>
      <c r="F118" s="204"/>
      <c r="G118" s="204"/>
      <c r="H118" s="204"/>
      <c r="I118" s="204"/>
      <c r="J118" s="204"/>
      <c r="K118" s="204"/>
      <c r="L118" s="51"/>
      <c r="M118" s="51"/>
      <c r="N118" s="50"/>
      <c r="O118" s="54"/>
      <c r="P118" s="54"/>
      <c r="Q118" s="54"/>
      <c r="R118" s="54"/>
      <c r="S118" s="52"/>
      <c r="T118" s="25"/>
      <c r="U118" s="25"/>
      <c r="V118" s="48"/>
      <c r="W118" s="38"/>
      <c r="X118" s="38"/>
      <c r="Y118" s="38"/>
      <c r="Z118" s="38"/>
      <c r="AA118" s="38"/>
      <c r="AB118" s="38"/>
      <c r="AC118" s="38"/>
      <c r="AD118" s="38"/>
      <c r="AE118" s="38"/>
      <c r="AF118" s="182"/>
      <c r="AG118" s="47"/>
    </row>
    <row r="119" spans="1:44" s="26" customFormat="1" ht="13.5">
      <c r="A119" s="91" t="s">
        <v>181</v>
      </c>
      <c r="B119" s="50"/>
      <c r="C119" s="204"/>
      <c r="D119" s="204"/>
      <c r="E119" s="204"/>
      <c r="F119" s="204"/>
      <c r="G119" s="204"/>
      <c r="H119" s="204"/>
      <c r="I119" s="204"/>
      <c r="J119" s="204"/>
      <c r="K119" s="204"/>
      <c r="L119" s="51"/>
      <c r="M119" s="51"/>
      <c r="N119" s="50"/>
      <c r="O119" s="54"/>
      <c r="P119" s="54"/>
      <c r="Q119" s="54"/>
      <c r="R119" s="54"/>
      <c r="S119" s="52"/>
      <c r="T119" s="25"/>
      <c r="U119" s="25"/>
      <c r="V119" s="48"/>
      <c r="W119" s="38"/>
      <c r="X119" s="38"/>
      <c r="Y119" s="38"/>
      <c r="Z119" s="38"/>
      <c r="AA119" s="38"/>
      <c r="AB119" s="38"/>
      <c r="AC119" s="38"/>
      <c r="AD119" s="38"/>
      <c r="AE119" s="38"/>
      <c r="AF119" s="182"/>
      <c r="AG119" s="47"/>
    </row>
    <row r="120" spans="1:44" s="26" customFormat="1">
      <c r="A120" s="92"/>
      <c r="B120" s="50"/>
      <c r="C120" s="204"/>
      <c r="D120" s="204"/>
      <c r="E120" s="204"/>
      <c r="F120" s="204"/>
      <c r="G120" s="204"/>
      <c r="H120" s="204"/>
      <c r="I120" s="204"/>
      <c r="J120" s="204"/>
      <c r="K120" s="204"/>
      <c r="L120" s="51"/>
      <c r="M120" s="51"/>
      <c r="N120" s="50"/>
      <c r="O120" s="54"/>
      <c r="P120" s="52"/>
      <c r="Q120" s="52"/>
      <c r="R120" s="52"/>
      <c r="S120" s="218"/>
      <c r="T120" s="244"/>
      <c r="U120" s="25"/>
      <c r="V120" s="48"/>
      <c r="W120" s="38"/>
      <c r="X120" s="38"/>
      <c r="Y120" s="38"/>
      <c r="Z120" s="38"/>
      <c r="AA120" s="38"/>
      <c r="AB120" s="38"/>
      <c r="AC120" s="38"/>
      <c r="AD120" s="38"/>
      <c r="AE120" s="38"/>
      <c r="AF120" s="182"/>
      <c r="AG120" s="47"/>
    </row>
    <row r="121" spans="1:44" s="26" customFormat="1" ht="13.5">
      <c r="A121" s="93" t="s">
        <v>42</v>
      </c>
      <c r="B121" s="50"/>
      <c r="C121" s="204"/>
      <c r="D121" s="204"/>
      <c r="E121" s="204"/>
      <c r="F121" s="204"/>
      <c r="G121" s="204"/>
      <c r="H121" s="204"/>
      <c r="I121" s="204"/>
      <c r="J121" s="204"/>
      <c r="K121" s="204"/>
      <c r="L121" s="38"/>
      <c r="M121" s="38"/>
      <c r="N121" s="50"/>
      <c r="O121" s="54"/>
      <c r="P121" s="54"/>
      <c r="Q121" s="54"/>
      <c r="R121" s="245"/>
      <c r="S121" s="218"/>
      <c r="T121" s="244"/>
      <c r="U121" s="27"/>
      <c r="V121" s="48"/>
      <c r="W121" s="38"/>
      <c r="X121" s="38"/>
      <c r="Y121" s="38"/>
      <c r="Z121" s="38"/>
      <c r="AA121" s="38"/>
      <c r="AB121" s="38"/>
      <c r="AC121" s="38"/>
      <c r="AD121" s="38"/>
      <c r="AE121" s="38"/>
      <c r="AF121" s="182"/>
    </row>
    <row r="122" spans="1:44" s="26" customFormat="1" ht="13.5">
      <c r="A122" s="93" t="s">
        <v>43</v>
      </c>
      <c r="B122" s="166"/>
      <c r="C122" s="205"/>
      <c r="D122" s="205"/>
      <c r="E122" s="205"/>
      <c r="F122" s="205"/>
      <c r="G122" s="205"/>
      <c r="H122" s="205"/>
      <c r="I122" s="205"/>
      <c r="J122" s="205"/>
      <c r="K122" s="205"/>
      <c r="L122" s="48"/>
      <c r="M122" s="48"/>
      <c r="N122" s="166"/>
      <c r="O122" s="52"/>
      <c r="P122" s="52"/>
      <c r="Q122" s="52"/>
      <c r="R122" s="218"/>
      <c r="S122" s="218"/>
      <c r="T122" s="244"/>
      <c r="U122" s="25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182"/>
    </row>
    <row r="123" spans="1:44" s="26" customFormat="1" ht="13.5">
      <c r="A123" s="93"/>
      <c r="B123" s="166"/>
      <c r="C123" s="205"/>
      <c r="D123" s="205"/>
      <c r="E123" s="205"/>
      <c r="F123" s="205"/>
      <c r="G123" s="205"/>
      <c r="H123" s="205"/>
      <c r="I123" s="205"/>
      <c r="J123" s="205"/>
      <c r="K123" s="205"/>
      <c r="L123" s="48"/>
      <c r="M123" s="48"/>
      <c r="N123" s="166"/>
      <c r="O123" s="52"/>
      <c r="P123" s="52"/>
      <c r="Q123" s="52"/>
      <c r="R123" s="218"/>
      <c r="S123" s="218"/>
      <c r="T123" s="244"/>
      <c r="U123" s="25"/>
      <c r="V123" s="48"/>
      <c r="W123" s="48"/>
      <c r="X123" s="48"/>
      <c r="Y123" s="48"/>
      <c r="Z123" s="48"/>
      <c r="AA123" s="48"/>
      <c r="AB123" s="48"/>
      <c r="AC123" s="48"/>
      <c r="AD123" s="48"/>
      <c r="AE123" s="167"/>
      <c r="AF123" s="182"/>
    </row>
    <row r="124" spans="1:44" s="26" customFormat="1" ht="14.25" thickBot="1">
      <c r="A124" s="168"/>
      <c r="B124" s="169"/>
      <c r="C124" s="206"/>
      <c r="D124" s="206"/>
      <c r="E124" s="206"/>
      <c r="F124" s="206"/>
      <c r="G124" s="206"/>
      <c r="H124" s="206"/>
      <c r="I124" s="206"/>
      <c r="J124" s="206"/>
      <c r="K124" s="206"/>
      <c r="L124" s="170"/>
      <c r="M124" s="170"/>
      <c r="N124" s="169"/>
      <c r="O124" s="171"/>
      <c r="P124" s="171"/>
      <c r="Q124" s="171"/>
      <c r="R124" s="219"/>
      <c r="S124" s="219"/>
      <c r="T124" s="243"/>
      <c r="U124" s="172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3"/>
      <c r="AF124" s="182"/>
    </row>
    <row r="125" spans="1:44" s="26" customFormat="1" ht="15" thickTop="1" thickBot="1">
      <c r="A125" s="174"/>
      <c r="B125" s="175"/>
      <c r="C125" s="207"/>
      <c r="D125" s="207"/>
      <c r="E125" s="207"/>
      <c r="F125" s="207"/>
      <c r="G125" s="207"/>
      <c r="H125" s="207"/>
      <c r="I125" s="207"/>
      <c r="J125" s="207"/>
      <c r="K125" s="207"/>
      <c r="L125" s="47"/>
      <c r="M125" s="47"/>
      <c r="N125" s="175"/>
      <c r="O125" s="176"/>
      <c r="P125" s="176"/>
      <c r="Q125" s="176"/>
      <c r="R125" s="220"/>
      <c r="S125" s="220"/>
      <c r="T125" s="220"/>
      <c r="U125" s="176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</row>
    <row r="126" spans="1:44" ht="13.5" thickBot="1">
      <c r="W126" s="47"/>
      <c r="AH126" s="39"/>
      <c r="AI126" s="40"/>
      <c r="AJ126" s="40"/>
      <c r="AK126" s="40"/>
      <c r="AL126" s="40"/>
      <c r="AM126" s="40"/>
      <c r="AN126" s="40"/>
      <c r="AO126" s="40"/>
      <c r="AP126" s="40"/>
      <c r="AQ126" s="40"/>
      <c r="AR126" s="41"/>
    </row>
    <row r="127" spans="1:44" ht="13.5" thickBot="1">
      <c r="AH127" s="42"/>
      <c r="AI127" s="251" t="s">
        <v>59</v>
      </c>
      <c r="AJ127" s="252"/>
      <c r="AK127" s="2"/>
      <c r="AL127" s="2"/>
      <c r="AM127" s="251" t="s">
        <v>49</v>
      </c>
      <c r="AN127" s="253"/>
      <c r="AO127" s="253"/>
      <c r="AP127" s="253"/>
      <c r="AQ127" s="252"/>
      <c r="AR127" s="43"/>
    </row>
    <row r="128" spans="1:44" ht="13.5" thickBot="1">
      <c r="AH128" s="42"/>
      <c r="AI128" s="28" t="s">
        <v>57</v>
      </c>
      <c r="AJ128" s="28" t="s">
        <v>58</v>
      </c>
      <c r="AK128" s="2"/>
      <c r="AL128" s="29" t="s">
        <v>60</v>
      </c>
      <c r="AM128" s="30">
        <v>0</v>
      </c>
      <c r="AN128" s="31">
        <v>1</v>
      </c>
      <c r="AO128" s="31">
        <v>2</v>
      </c>
      <c r="AP128" s="31">
        <v>3</v>
      </c>
      <c r="AQ128" s="31">
        <v>4</v>
      </c>
      <c r="AR128" s="43"/>
    </row>
    <row r="129" spans="2:44">
      <c r="AH129" s="42"/>
      <c r="AI129" s="22">
        <v>0</v>
      </c>
      <c r="AJ129" s="32">
        <v>0</v>
      </c>
      <c r="AK129" s="2"/>
      <c r="AL129" s="33">
        <v>1</v>
      </c>
      <c r="AM129" s="34">
        <v>0</v>
      </c>
      <c r="AN129" s="34">
        <v>145</v>
      </c>
      <c r="AO129" s="35">
        <v>165</v>
      </c>
      <c r="AP129" s="34">
        <v>185</v>
      </c>
      <c r="AQ129" s="34">
        <v>205</v>
      </c>
      <c r="AR129" s="43"/>
    </row>
    <row r="130" spans="2:44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AH130" s="42"/>
      <c r="AI130" s="22">
        <v>1</v>
      </c>
      <c r="AJ130" s="32">
        <v>75</v>
      </c>
      <c r="AK130" s="2"/>
      <c r="AL130" s="36">
        <v>2</v>
      </c>
      <c r="AM130" s="34">
        <v>0</v>
      </c>
      <c r="AN130" s="34">
        <v>120</v>
      </c>
      <c r="AO130" s="35">
        <v>140</v>
      </c>
      <c r="AP130" s="34">
        <v>160</v>
      </c>
      <c r="AQ130" s="34">
        <v>180</v>
      </c>
      <c r="AR130" s="43"/>
    </row>
    <row r="131" spans="2:44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AH131" s="42"/>
      <c r="AI131" s="22">
        <v>2</v>
      </c>
      <c r="AJ131" s="32">
        <v>100</v>
      </c>
      <c r="AK131" s="2"/>
      <c r="AL131" s="36">
        <v>3</v>
      </c>
      <c r="AM131" s="34">
        <v>0</v>
      </c>
      <c r="AN131" s="34">
        <v>95</v>
      </c>
      <c r="AO131" s="35">
        <v>115</v>
      </c>
      <c r="AP131" s="34">
        <v>135</v>
      </c>
      <c r="AQ131" s="34">
        <v>155</v>
      </c>
      <c r="AR131" s="43"/>
    </row>
    <row r="132" spans="2:44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AH132" s="42"/>
      <c r="AI132" s="22">
        <v>3</v>
      </c>
      <c r="AJ132" s="32">
        <v>125</v>
      </c>
      <c r="AK132" s="2"/>
      <c r="AL132" s="37">
        <v>4</v>
      </c>
      <c r="AM132" s="34">
        <v>0</v>
      </c>
      <c r="AN132" s="34">
        <v>95</v>
      </c>
      <c r="AO132" s="35">
        <v>115</v>
      </c>
      <c r="AP132" s="34">
        <v>135</v>
      </c>
      <c r="AQ132" s="34">
        <v>155</v>
      </c>
      <c r="AR132" s="43"/>
    </row>
    <row r="133" spans="2:44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AH133" s="42"/>
      <c r="AI133" s="22">
        <v>4</v>
      </c>
      <c r="AJ133" s="32">
        <v>150</v>
      </c>
      <c r="AK133" s="1"/>
      <c r="AL133" s="36">
        <v>5</v>
      </c>
      <c r="AM133" s="34">
        <v>0</v>
      </c>
      <c r="AN133" s="34">
        <v>60</v>
      </c>
      <c r="AO133" s="35">
        <v>80</v>
      </c>
      <c r="AP133" s="34">
        <v>100</v>
      </c>
      <c r="AQ133" s="34">
        <v>120</v>
      </c>
      <c r="AR133" s="43"/>
    </row>
    <row r="134" spans="2:4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AH134" s="42"/>
      <c r="AI134" s="1"/>
      <c r="AJ134" s="1"/>
      <c r="AK134" s="1"/>
      <c r="AL134" s="1"/>
      <c r="AM134" s="1"/>
      <c r="AN134" s="1"/>
      <c r="AO134" s="1"/>
      <c r="AP134" s="1"/>
      <c r="AQ134" s="1"/>
      <c r="AR134" s="43"/>
    </row>
    <row r="135" spans="2:44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AH135" s="42"/>
      <c r="AI135" s="1"/>
      <c r="AJ135" s="1"/>
      <c r="AK135" s="1"/>
      <c r="AL135" s="1"/>
      <c r="AM135" s="1"/>
      <c r="AN135" s="1"/>
      <c r="AO135" s="1"/>
      <c r="AP135" s="1"/>
      <c r="AQ135" s="1"/>
      <c r="AR135" s="43"/>
    </row>
    <row r="136" spans="2:44" ht="13.5" thickBo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AH136" s="44"/>
      <c r="AI136" s="45"/>
      <c r="AJ136" s="45"/>
      <c r="AK136" s="45"/>
      <c r="AL136" s="45"/>
      <c r="AM136" s="45"/>
      <c r="AN136" s="45"/>
      <c r="AO136" s="45"/>
      <c r="AP136" s="45"/>
      <c r="AQ136" s="45"/>
      <c r="AR136" s="46"/>
    </row>
  </sheetData>
  <sheetProtection password="CC3D" sheet="1" objects="1" scenarios="1"/>
  <dataConsolidate/>
  <mergeCells count="23">
    <mergeCell ref="A2:U3"/>
    <mergeCell ref="Z2:AC2"/>
    <mergeCell ref="V2:Y3"/>
    <mergeCell ref="A11:U11"/>
    <mergeCell ref="V11:Y11"/>
    <mergeCell ref="V4:Y4"/>
    <mergeCell ref="V5:Y5"/>
    <mergeCell ref="V6:Y6"/>
    <mergeCell ref="A6:M6"/>
    <mergeCell ref="A7:M7"/>
    <mergeCell ref="A8:M8"/>
    <mergeCell ref="V10:AC10"/>
    <mergeCell ref="N7:O7"/>
    <mergeCell ref="Q9:R9"/>
    <mergeCell ref="Q6:R6"/>
    <mergeCell ref="V7:Y7"/>
    <mergeCell ref="A9:M9"/>
    <mergeCell ref="N6:O6"/>
    <mergeCell ref="N8:O8"/>
    <mergeCell ref="AI127:AJ127"/>
    <mergeCell ref="AM127:AQ127"/>
    <mergeCell ref="V8:Y8"/>
    <mergeCell ref="V9:Y9"/>
  </mergeCells>
  <conditionalFormatting sqref="AD7:AE9 Z11:AE11 Z4:AC9">
    <cfRule type="expression" dxfId="5" priority="6">
      <formula>$Q$9="REFLECTIVE ONLY"</formula>
    </cfRule>
  </conditionalFormatting>
  <conditionalFormatting sqref="V10:AC10">
    <cfRule type="expression" dxfId="4" priority="4">
      <formula>$Q$9="LOGO &amp; REFLECTIVE"</formula>
    </cfRule>
    <cfRule type="expression" dxfId="3" priority="5">
      <formula>$Q$9="REFLECTIVE ONLY"</formula>
    </cfRule>
  </conditionalFormatting>
  <conditionalFormatting sqref="AA4:AC9 AA11:AC11">
    <cfRule type="expression" dxfId="2" priority="3">
      <formula>$Q$9="LOGO &amp; REFLECTIVE"</formula>
    </cfRule>
  </conditionalFormatting>
  <conditionalFormatting sqref="V29:V32 V34:V43 V45:V48 V50:V59 V61:V71 V73:V83 V85:V95 V97:V107 V19:V27">
    <cfRule type="expression" dxfId="1" priority="2">
      <formula>$Q$9&lt;&gt;"REFLECTIVE ONLY"</formula>
    </cfRule>
  </conditionalFormatting>
  <conditionalFormatting sqref="Q6">
    <cfRule type="expression" dxfId="0" priority="1">
      <formula>$Q$6=""</formula>
    </cfRule>
  </conditionalFormatting>
  <dataValidations count="3">
    <dataValidation type="list" allowBlank="1" showInputMessage="1" showErrorMessage="1" sqref="Q9">
      <formula1>"NONE, REFLECTIVE ONLY, LOGO &amp; REFLECTIVE"</formula1>
    </dataValidation>
    <dataValidation type="list" allowBlank="1" showInputMessage="1" showErrorMessage="1" sqref="Z5:AC6">
      <formula1>"Yes, No"</formula1>
    </dataValidation>
    <dataValidation type="list" allowBlank="1" showInputMessage="1" showErrorMessage="1" sqref="Z4:AC4">
      <formula1>"1,2,3,4"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 </vt:lpstr>
      <vt:lpstr>Price Calculator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Noel</dc:creator>
  <cp:lastModifiedBy>a31q0zz</cp:lastModifiedBy>
  <dcterms:created xsi:type="dcterms:W3CDTF">2012-02-27T20:40:13Z</dcterms:created>
  <dcterms:modified xsi:type="dcterms:W3CDTF">2014-01-29T22:35:39Z</dcterms:modified>
</cp:coreProperties>
</file>