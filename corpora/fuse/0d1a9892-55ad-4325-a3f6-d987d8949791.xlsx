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2" windowWidth="11352" windowHeight="7932"/>
  </bookViews>
  <sheets>
    <sheet name="Figure 1 Chart" sheetId="11" r:id="rId1"/>
    <sheet name="Figure 1 Data" sheetId="8" r:id="rId2"/>
  </sheets>
  <calcPr calcId="125725"/>
</workbook>
</file>

<file path=xl/calcChain.xml><?xml version="1.0" encoding="utf-8"?>
<calcChain xmlns="http://schemas.openxmlformats.org/spreadsheetml/2006/main">
  <c r="G6" i="8"/>
  <c r="F6"/>
  <c r="E48"/>
  <c r="G47"/>
  <c r="F47"/>
  <c r="E47"/>
  <c r="E49"/>
  <c r="H46"/>
  <c r="I45"/>
  <c r="H45"/>
  <c r="H44"/>
  <c r="H43"/>
</calcChain>
</file>

<file path=xl/sharedStrings.xml><?xml version="1.0" encoding="utf-8"?>
<sst xmlns="http://schemas.openxmlformats.org/spreadsheetml/2006/main" count="59" uniqueCount="47">
  <si>
    <t>Railways</t>
  </si>
  <si>
    <t>Highways</t>
  </si>
  <si>
    <t>Waterways*</t>
  </si>
  <si>
    <t>http://www.cnt.org.br/</t>
  </si>
  <si>
    <t>BOLETIM ESTATÍSTICO - CNT, December 2005</t>
  </si>
  <si>
    <t>RODOVIÁRIO</t>
  </si>
  <si>
    <t>http://www.cnt.org.br/cnt/downloads/becnt/becnt_122005.pdf</t>
  </si>
  <si>
    <t>Último Boletim Estatístico</t>
  </si>
  <si>
    <t>Boletim CNT - Janeiro 2007.</t>
  </si>
  <si>
    <t>Boletins Estatístico Anteriores</t>
  </si>
  <si>
    <t>Boletim CNT - Dezembro 2006.</t>
  </si>
  <si>
    <t>Boletim CNT - Dezembro 2005.</t>
  </si>
  <si>
    <t>http://www.cnt.org.br/arquivos/downloads/becnt_2006_12.pdf</t>
  </si>
  <si>
    <t>Modal share fro Brazil</t>
  </si>
  <si>
    <t>Confederação Nacional do Transporte – CNT, April 10, 2007</t>
  </si>
  <si>
    <t>Air</t>
  </si>
  <si>
    <t>2007 data, June 24, 2008.</t>
  </si>
  <si>
    <t>% change</t>
  </si>
  <si>
    <t>06-07</t>
  </si>
  <si>
    <t>2008*</t>
  </si>
  <si>
    <t>Waterways</t>
  </si>
  <si>
    <t>Brazil</t>
  </si>
  <si>
    <t>Modal share fro Brazil, 2007</t>
  </si>
  <si>
    <t>U.S.</t>
  </si>
  <si>
    <t>U.S. Modal Share, 2007</t>
  </si>
  <si>
    <t xml:space="preserve">Mode of transportation </t>
  </si>
  <si>
    <t>%share</t>
  </si>
  <si>
    <t>Truck</t>
  </si>
  <si>
    <t>Rail</t>
  </si>
  <si>
    <t>Lakes and inland waterways</t>
  </si>
  <si>
    <t>Others</t>
  </si>
  <si>
    <t>All modes</t>
  </si>
  <si>
    <t>Others*</t>
  </si>
  <si>
    <t>*Pipeline and multiple modes</t>
  </si>
  <si>
    <t>Confederação Nacional do Transporte (CNT)</t>
  </si>
  <si>
    <r>
      <rPr>
        <sz val="10"/>
        <rFont val="Arial"/>
        <family val="2"/>
      </rPr>
      <t>Source: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U.S. Department of Transportation (DOT) and</t>
    </r>
  </si>
  <si>
    <t>Other</t>
  </si>
  <si>
    <t>Total</t>
  </si>
  <si>
    <t>*Air, pipeline and multiple modes</t>
  </si>
  <si>
    <t>Agência Nacional de Transportes Terrestres (ANTT)</t>
  </si>
  <si>
    <t>In 2007, trucks were the predominant mode for trasnporting general cargo in Brazil whereas in the U.S., rail is the major mode of transport .</t>
  </si>
  <si>
    <t>Modal share US-Brazil, 2007</t>
  </si>
  <si>
    <t>http://www.bts.gov/publications/commodity_flow_survey/preliminary_tables_december_2008/html/table_02.html</t>
  </si>
  <si>
    <t>SOURCE: U.S. Department of Transportation (DOT), December 2008.</t>
  </si>
  <si>
    <t>Figure 1.  U.S.-Brazil modal share for general cargo, 2007</t>
  </si>
  <si>
    <t>*Ocean, air, pipeline, multiple modes, etc.</t>
  </si>
  <si>
    <t>Sources:  U.S. Department of Transportation (DOT); Confederação Nacional do Transporte (CNT) and Agencia Nacional de Transportes Terrestres (ANTT)</t>
  </si>
</sst>
</file>

<file path=xl/styles.xml><?xml version="1.0" encoding="utf-8"?>
<styleSheet xmlns="http://schemas.openxmlformats.org/spreadsheetml/2006/main">
  <numFmts count="1">
    <numFmt numFmtId="166" formatCode="0.0%"/>
  </numFmts>
  <fonts count="9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sz val="8"/>
      <color indexed="63"/>
      <name val="Verdana"/>
      <family val="2"/>
    </font>
    <font>
      <b/>
      <sz val="9"/>
      <color indexed="62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9" fontId="0" fillId="0" borderId="0" xfId="0" applyNumberFormat="1"/>
    <xf numFmtId="166" fontId="0" fillId="0" borderId="0" xfId="0" applyNumberFormat="1"/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1" applyAlignment="1" applyProtection="1"/>
    <xf numFmtId="0" fontId="5" fillId="0" borderId="0" xfId="0" applyFont="1"/>
    <xf numFmtId="10" fontId="0" fillId="0" borderId="0" xfId="0" applyNumberFormat="1"/>
    <xf numFmtId="0" fontId="7" fillId="0" borderId="0" xfId="0" applyFont="1"/>
    <xf numFmtId="0" fontId="7" fillId="0" borderId="0" xfId="0" quotePrefix="1" applyFont="1"/>
    <xf numFmtId="0" fontId="6" fillId="0" borderId="0" xfId="0" applyFont="1"/>
    <xf numFmtId="0" fontId="5" fillId="0" borderId="0" xfId="2" applyFont="1"/>
    <xf numFmtId="0" fontId="6" fillId="0" borderId="0" xfId="2"/>
    <xf numFmtId="0" fontId="5" fillId="0" borderId="0" xfId="2" applyFont="1" applyAlignment="1">
      <alignment horizontal="left"/>
    </xf>
    <xf numFmtId="2" fontId="0" fillId="0" borderId="0" xfId="0" applyNumberFormat="1"/>
    <xf numFmtId="166" fontId="0" fillId="0" borderId="0" xfId="3" applyNumberFormat="1" applyFont="1"/>
    <xf numFmtId="0" fontId="5" fillId="2" borderId="4" xfId="0" applyFont="1" applyFill="1" applyBorder="1"/>
    <xf numFmtId="166" fontId="0" fillId="3" borderId="4" xfId="0" applyNumberFormat="1" applyFill="1" applyBorder="1"/>
    <xf numFmtId="0" fontId="6" fillId="3" borderId="4" xfId="2" applyFont="1" applyFill="1" applyBorder="1" applyAlignment="1">
      <alignment horizontal="left" wrapText="1" indent="1"/>
    </xf>
    <xf numFmtId="0" fontId="6" fillId="3" borderId="4" xfId="0" applyFont="1" applyFill="1" applyBorder="1"/>
    <xf numFmtId="166" fontId="6" fillId="3" borderId="4" xfId="2" applyNumberFormat="1" applyFont="1" applyFill="1" applyBorder="1" applyAlignment="1">
      <alignment horizontal="right" wrapText="1"/>
    </xf>
    <xf numFmtId="3" fontId="0" fillId="0" borderId="0" xfId="0" applyNumberFormat="1"/>
    <xf numFmtId="9" fontId="6" fillId="3" borderId="4" xfId="2" applyNumberFormat="1" applyFont="1" applyFill="1" applyBorder="1" applyAlignment="1">
      <alignment horizontal="right" wrapText="1"/>
    </xf>
    <xf numFmtId="0" fontId="6" fillId="0" borderId="0" xfId="0" applyFont="1" applyAlignment="1"/>
    <xf numFmtId="0" fontId="0" fillId="0" borderId="0" xfId="0" applyAlignment="1"/>
    <xf numFmtId="0" fontId="5" fillId="0" borderId="0" xfId="2" applyFont="1" applyAlignment="1">
      <alignment horizontal="left"/>
    </xf>
    <xf numFmtId="0" fontId="6" fillId="0" borderId="3" xfId="2" applyFont="1" applyBorder="1" applyAlignment="1">
      <alignment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/>
    <xf numFmtId="0" fontId="0" fillId="0" borderId="5" xfId="0" applyBorder="1" applyAlignment="1"/>
    <xf numFmtId="0" fontId="0" fillId="0" borderId="2" xfId="0" applyBorder="1" applyAlignment="1"/>
    <xf numFmtId="0" fontId="8" fillId="0" borderId="0" xfId="0" applyFont="1"/>
  </cellXfs>
  <cellStyles count="4">
    <cellStyle name="Hyperlink" xfId="1" builtinId="8"/>
    <cellStyle name="Normal" xfId="0" builtinId="0"/>
    <cellStyle name="Normal 2" xfId="2"/>
    <cellStyle name="Percent" xfId="3" builtinId="5"/>
  </cellStyles>
  <dxfs count="0"/>
  <tableStyles count="0" defaultTableStyle="TableStyleMedium9" defaultPivotStyle="PivotStyleLight16"/>
  <colors>
    <mruColors>
      <color rgb="FF99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3834460728320319"/>
          <c:y val="0.16865140694622474"/>
          <c:w val="0.8004472080443138"/>
          <c:h val="0.67676078706722154"/>
        </c:manualLayout>
      </c:layout>
      <c:barChart>
        <c:barDir val="col"/>
        <c:grouping val="clustered"/>
        <c:ser>
          <c:idx val="0"/>
          <c:order val="0"/>
          <c:tx>
            <c:strRef>
              <c:f>'Figure 1 Data'!$B$13</c:f>
              <c:strCache>
                <c:ptCount val="1"/>
                <c:pt idx="0">
                  <c:v>U.S.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'Figure 1 Data'!$C$12:$F$12</c:f>
              <c:strCache>
                <c:ptCount val="4"/>
                <c:pt idx="0">
                  <c:v>Highways</c:v>
                </c:pt>
                <c:pt idx="1">
                  <c:v>Railways</c:v>
                </c:pt>
                <c:pt idx="2">
                  <c:v>Waterways</c:v>
                </c:pt>
                <c:pt idx="3">
                  <c:v>Others*</c:v>
                </c:pt>
              </c:strCache>
            </c:strRef>
          </c:cat>
          <c:val>
            <c:numRef>
              <c:f>'Figure 1 Data'!$C$13:$F$13</c:f>
              <c:numCache>
                <c:formatCode>0.0%</c:formatCode>
                <c:ptCount val="4"/>
                <c:pt idx="0">
                  <c:v>0.68817357207444951</c:v>
                </c:pt>
                <c:pt idx="1">
                  <c:v>0.14815915971977342</c:v>
                </c:pt>
                <c:pt idx="2">
                  <c:v>3.033255202391406E-2</c:v>
                </c:pt>
                <c:pt idx="3">
                  <c:v>0.13333471618186302</c:v>
                </c:pt>
              </c:numCache>
            </c:numRef>
          </c:val>
        </c:ser>
        <c:ser>
          <c:idx val="1"/>
          <c:order val="1"/>
          <c:tx>
            <c:strRef>
              <c:f>'Figure 1 Data'!$B$14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99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'Figure 1 Data'!$C$12:$F$12</c:f>
              <c:strCache>
                <c:ptCount val="4"/>
                <c:pt idx="0">
                  <c:v>Highways</c:v>
                </c:pt>
                <c:pt idx="1">
                  <c:v>Railways</c:v>
                </c:pt>
                <c:pt idx="2">
                  <c:v>Waterways</c:v>
                </c:pt>
                <c:pt idx="3">
                  <c:v>Others*</c:v>
                </c:pt>
              </c:strCache>
            </c:strRef>
          </c:cat>
          <c:val>
            <c:numRef>
              <c:f>'Figure 1 Data'!$C$14:$F$14</c:f>
              <c:numCache>
                <c:formatCode>0.0%</c:formatCode>
                <c:ptCount val="4"/>
                <c:pt idx="0">
                  <c:v>0.61099999999999999</c:v>
                </c:pt>
                <c:pt idx="1">
                  <c:v>0.20699999999999999</c:v>
                </c:pt>
                <c:pt idx="2">
                  <c:v>0.13600000000000001</c:v>
                </c:pt>
                <c:pt idx="3">
                  <c:v>5.0000000000000044E-2</c:v>
                </c:pt>
              </c:numCache>
            </c:numRef>
          </c:val>
        </c:ser>
        <c:axId val="89264896"/>
        <c:axId val="89266432"/>
      </c:barChart>
      <c:catAx>
        <c:axId val="8926489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 pitchFamily="34" charset="0"/>
                <a:ea typeface="Times New Roman"/>
                <a:cs typeface="Arial" pitchFamily="34" charset="0"/>
              </a:defRPr>
            </a:pPr>
            <a:endParaRPr lang="en-US"/>
          </a:p>
        </c:txPr>
        <c:crossAx val="89266432"/>
        <c:crosses val="autoZero"/>
        <c:auto val="1"/>
        <c:lblAlgn val="ctr"/>
        <c:lblOffset val="100"/>
        <c:tickLblSkip val="1"/>
        <c:tickMarkSkip val="1"/>
      </c:catAx>
      <c:valAx>
        <c:axId val="89266432"/>
        <c:scaling>
          <c:orientation val="minMax"/>
          <c:max val="0.8"/>
        </c:scaling>
        <c:axPos val="l"/>
        <c:numFmt formatCode="0%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 pitchFamily="34" charset="0"/>
                <a:ea typeface="Times New Roman"/>
                <a:cs typeface="Arial" pitchFamily="34" charset="0"/>
              </a:defRPr>
            </a:pPr>
            <a:endParaRPr lang="en-US"/>
          </a:p>
        </c:txPr>
        <c:crossAx val="89264896"/>
        <c:crosses val="autoZero"/>
        <c:crossBetween val="between"/>
        <c:majorUnit val="0.2"/>
      </c:valAx>
      <c:spPr>
        <a:solidFill>
          <a:schemeClr val="bg2"/>
        </a:solidFill>
        <a:ln w="3175">
          <a:solidFill>
            <a:srgbClr val="000000"/>
          </a:solidFill>
        </a:ln>
      </c:spPr>
    </c:plotArea>
    <c:legend>
      <c:legendPos val="t"/>
      <c:layout>
        <c:manualLayout>
          <c:xMode val="edge"/>
          <c:yMode val="edge"/>
          <c:x val="0.41356464062367221"/>
          <c:y val="4.8106168257630214E-2"/>
          <c:w val="0.21431055162006676"/>
          <c:h val="6.9807635510529403E-2"/>
        </c:manualLayout>
      </c:layout>
      <c:spPr>
        <a:solidFill>
          <a:schemeClr val="bg2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 pitchFamily="34" charset="0"/>
              <a:ea typeface="Times New Roman"/>
              <a:cs typeface="Arial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accent1">
        <a:lumMod val="40000"/>
        <a:lumOff val="60000"/>
      </a:schemeClr>
    </a:solidFill>
    <a:ln w="12700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49212598500000038" footer="0.49212598500000038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11</xdr:col>
      <xdr:colOff>184786</xdr:colOff>
      <xdr:row>28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pic>
      <xdr:nvPicPr>
        <xdr:cNvPr id="8408" name="Picture 2" descr="ic_pd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8577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pic>
      <xdr:nvPicPr>
        <xdr:cNvPr id="8409" name="Picture 3" descr="ic_pd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5054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pic>
      <xdr:nvPicPr>
        <xdr:cNvPr id="8410" name="Picture 4" descr="ic_pd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991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nt.org.br/arquivos/downloads/becnt_2005_12.pdf" TargetMode="External"/><Relationship Id="rId2" Type="http://schemas.openxmlformats.org/officeDocument/2006/relationships/hyperlink" Target="http://www.cnt.org.br/arquivos/downloads/becnt_2006_12.pdf" TargetMode="External"/><Relationship Id="rId1" Type="http://schemas.openxmlformats.org/officeDocument/2006/relationships/hyperlink" Target="http://www.cnt.org.br/arquivos/downloads/becnt_2007_01.pdf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6:C31"/>
  <sheetViews>
    <sheetView tabSelected="1" workbookViewId="0">
      <selection activeCell="E34" sqref="E34"/>
    </sheetView>
  </sheetViews>
  <sheetFormatPr defaultRowHeight="13.2"/>
  <sheetData>
    <row r="6" spans="3:3" ht="15.6">
      <c r="C6" s="31" t="s">
        <v>44</v>
      </c>
    </row>
    <row r="30" spans="3:3">
      <c r="C30" t="s">
        <v>45</v>
      </c>
    </row>
    <row r="31" spans="3:3">
      <c r="C31" t="s">
        <v>46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13"/>
  </sheetPr>
  <dimension ref="A1:N61"/>
  <sheetViews>
    <sheetView zoomScaleNormal="100" workbookViewId="0">
      <selection activeCell="I21" sqref="I21"/>
    </sheetView>
  </sheetViews>
  <sheetFormatPr defaultRowHeight="13.2"/>
  <cols>
    <col min="2" max="2" width="12.33203125" customWidth="1"/>
    <col min="5" max="5" width="11.5546875" customWidth="1"/>
    <col min="10" max="10" width="9.88671875" customWidth="1"/>
  </cols>
  <sheetData>
    <row r="1" spans="2:14">
      <c r="B1" s="16" t="s">
        <v>22</v>
      </c>
      <c r="C1" s="16"/>
      <c r="D1" s="16"/>
    </row>
    <row r="2" spans="2:14">
      <c r="B2" s="16"/>
      <c r="C2" s="16" t="s">
        <v>21</v>
      </c>
      <c r="D2" s="16" t="s">
        <v>23</v>
      </c>
    </row>
    <row r="3" spans="2:14">
      <c r="B3" s="19" t="s">
        <v>1</v>
      </c>
      <c r="C3" s="17">
        <v>0.61099999999999999</v>
      </c>
      <c r="D3" s="22">
        <v>0.68817357207444951</v>
      </c>
    </row>
    <row r="4" spans="2:14">
      <c r="B4" s="19" t="s">
        <v>0</v>
      </c>
      <c r="C4" s="17">
        <v>0.20699999999999999</v>
      </c>
      <c r="D4" s="22">
        <v>0.14815915971977342</v>
      </c>
    </row>
    <row r="5" spans="2:14">
      <c r="B5" s="19" t="s">
        <v>20</v>
      </c>
      <c r="C5" s="17">
        <v>0.13600000000000001</v>
      </c>
      <c r="D5" s="22">
        <v>3.033255202391406E-2</v>
      </c>
    </row>
    <row r="6" spans="2:14">
      <c r="B6" s="18" t="s">
        <v>32</v>
      </c>
      <c r="C6" s="17">
        <v>5.0000000000000044E-2</v>
      </c>
      <c r="D6" s="22">
        <v>0.13333471618186302</v>
      </c>
      <c r="F6" s="2">
        <f>SUM(C6:C6)</f>
        <v>5.0000000000000044E-2</v>
      </c>
      <c r="G6" s="2">
        <f>SUM(D6:D6)</f>
        <v>0.13333471618186302</v>
      </c>
    </row>
    <row r="7" spans="2:14">
      <c r="B7" s="26" t="s">
        <v>38</v>
      </c>
      <c r="C7" s="27"/>
      <c r="D7" s="27"/>
      <c r="E7" s="1"/>
    </row>
    <row r="8" spans="2:14">
      <c r="B8" s="25" t="s">
        <v>35</v>
      </c>
      <c r="C8" s="24"/>
      <c r="D8" s="24"/>
      <c r="E8" s="24"/>
    </row>
    <row r="9" spans="2:14">
      <c r="B9" s="23" t="s">
        <v>34</v>
      </c>
      <c r="C9" s="24"/>
      <c r="D9" s="24"/>
      <c r="E9" s="24"/>
    </row>
    <row r="11" spans="2:14">
      <c r="B11" s="28" t="s">
        <v>41</v>
      </c>
      <c r="C11" s="29"/>
      <c r="D11" s="29"/>
      <c r="E11" s="29"/>
      <c r="F11" s="30"/>
      <c r="H11" s="9" t="s">
        <v>18</v>
      </c>
    </row>
    <row r="12" spans="2:14">
      <c r="B12" s="16"/>
      <c r="C12" s="16" t="s">
        <v>1</v>
      </c>
      <c r="D12" s="16" t="s">
        <v>0</v>
      </c>
      <c r="E12" s="16" t="s">
        <v>20</v>
      </c>
      <c r="F12" s="16" t="s">
        <v>32</v>
      </c>
      <c r="H12" s="8"/>
      <c r="K12">
        <v>1997</v>
      </c>
      <c r="L12">
        <v>1998</v>
      </c>
      <c r="M12">
        <v>1999</v>
      </c>
      <c r="N12">
        <v>2000</v>
      </c>
    </row>
    <row r="13" spans="2:14">
      <c r="B13" s="19" t="s">
        <v>23</v>
      </c>
      <c r="C13" s="17">
        <v>0.68817357207444951</v>
      </c>
      <c r="D13" s="20">
        <v>0.14815915971977342</v>
      </c>
      <c r="E13" s="17">
        <v>3.033255202391406E-2</v>
      </c>
      <c r="F13" s="17">
        <v>0.13333471618186302</v>
      </c>
      <c r="H13" s="7"/>
      <c r="I13" s="1"/>
      <c r="J13" s="1"/>
      <c r="K13" s="1">
        <v>0.63</v>
      </c>
      <c r="L13" s="1">
        <v>0.63</v>
      </c>
      <c r="M13" s="1">
        <v>0.62</v>
      </c>
      <c r="N13" s="1">
        <v>0.6</v>
      </c>
    </row>
    <row r="14" spans="2:14">
      <c r="B14" s="19" t="s">
        <v>21</v>
      </c>
      <c r="C14" s="17">
        <v>0.61099999999999999</v>
      </c>
      <c r="D14" s="20">
        <v>0.20699999999999999</v>
      </c>
      <c r="E14" s="17">
        <v>0.13600000000000001</v>
      </c>
      <c r="F14" s="17">
        <v>5.0000000000000044E-2</v>
      </c>
      <c r="H14" s="7"/>
      <c r="I14" s="1"/>
      <c r="J14" s="1"/>
      <c r="K14" s="1"/>
      <c r="L14" s="1"/>
      <c r="M14" s="1"/>
      <c r="N14" s="1"/>
    </row>
    <row r="15" spans="2:14">
      <c r="H15" s="7"/>
      <c r="I15" s="1"/>
      <c r="J15" s="1"/>
      <c r="K15" s="1">
        <v>0.21</v>
      </c>
      <c r="L15" s="1">
        <v>0.2</v>
      </c>
      <c r="M15" s="1">
        <v>0.19</v>
      </c>
      <c r="N15" s="1">
        <v>0.21</v>
      </c>
    </row>
    <row r="16" spans="2:14">
      <c r="B16" s="26" t="s">
        <v>33</v>
      </c>
      <c r="C16" s="27"/>
      <c r="D16" s="27"/>
      <c r="E16" s="1"/>
    </row>
    <row r="17" spans="1:8">
      <c r="B17" s="25" t="s">
        <v>35</v>
      </c>
      <c r="C17" s="24"/>
      <c r="D17" s="24"/>
      <c r="E17" s="24"/>
      <c r="F17" s="1"/>
      <c r="G17" s="1"/>
    </row>
    <row r="18" spans="1:8">
      <c r="B18" s="23" t="s">
        <v>34</v>
      </c>
      <c r="C18" s="24"/>
      <c r="D18" s="24"/>
      <c r="E18" s="24"/>
      <c r="F18" s="1"/>
      <c r="G18" s="1"/>
    </row>
    <row r="19" spans="1:8">
      <c r="B19" s="10" t="s">
        <v>39</v>
      </c>
      <c r="C19" s="13"/>
      <c r="F19" s="1"/>
      <c r="G19" s="1"/>
    </row>
    <row r="20" spans="1:8">
      <c r="B20" s="13"/>
      <c r="C20" s="13"/>
      <c r="F20" s="1"/>
      <c r="G20" s="1"/>
    </row>
    <row r="21" spans="1:8">
      <c r="B21" s="13"/>
      <c r="C21" s="13"/>
      <c r="F21" s="1"/>
      <c r="G21" s="1"/>
    </row>
    <row r="22" spans="1:8">
      <c r="A22" s="8" t="s">
        <v>16</v>
      </c>
      <c r="D22" s="1"/>
      <c r="F22" s="1"/>
      <c r="G22" s="1"/>
    </row>
    <row r="23" spans="1:8">
      <c r="A23" t="s">
        <v>14</v>
      </c>
    </row>
    <row r="24" spans="1:8">
      <c r="A24" t="s">
        <v>3</v>
      </c>
    </row>
    <row r="25" spans="1:8">
      <c r="A25" t="s">
        <v>4</v>
      </c>
    </row>
    <row r="26" spans="1:8">
      <c r="A26" t="s">
        <v>5</v>
      </c>
    </row>
    <row r="27" spans="1:8">
      <c r="A27" t="s">
        <v>6</v>
      </c>
      <c r="H27" s="10" t="s">
        <v>40</v>
      </c>
    </row>
    <row r="29" spans="1:8">
      <c r="A29" s="3" t="s">
        <v>7</v>
      </c>
      <c r="H29" t="s">
        <v>42</v>
      </c>
    </row>
    <row r="30" spans="1:8">
      <c r="A30" s="4" t="s">
        <v>12</v>
      </c>
    </row>
    <row r="31" spans="1:8">
      <c r="A31" s="5" t="s">
        <v>8</v>
      </c>
    </row>
    <row r="33" spans="1:14">
      <c r="A33" s="3" t="s">
        <v>9</v>
      </c>
    </row>
    <row r="34" spans="1:14">
      <c r="A34" s="4"/>
    </row>
    <row r="35" spans="1:14">
      <c r="A35" s="5" t="s">
        <v>10</v>
      </c>
    </row>
    <row r="37" spans="1:14">
      <c r="A37" t="s">
        <v>12</v>
      </c>
    </row>
    <row r="38" spans="1:14">
      <c r="A38" s="5" t="s">
        <v>11</v>
      </c>
    </row>
    <row r="39" spans="1:14">
      <c r="K39" s="26"/>
      <c r="L39" s="27"/>
      <c r="M39" s="27"/>
      <c r="N39" s="1"/>
    </row>
    <row r="40" spans="1:14">
      <c r="K40" s="25"/>
      <c r="L40" s="24"/>
      <c r="M40" s="24"/>
      <c r="N40" s="24"/>
    </row>
    <row r="41" spans="1:14">
      <c r="B41" t="s">
        <v>13</v>
      </c>
      <c r="H41" s="9" t="s">
        <v>18</v>
      </c>
      <c r="K41" s="23"/>
      <c r="L41" s="24"/>
      <c r="M41" s="24"/>
      <c r="N41" s="24"/>
    </row>
    <row r="42" spans="1:14">
      <c r="B42" s="6"/>
      <c r="C42" s="6">
        <v>2004</v>
      </c>
      <c r="D42" s="6">
        <v>2005</v>
      </c>
      <c r="E42" s="6">
        <v>2006</v>
      </c>
      <c r="F42" s="6">
        <v>2007</v>
      </c>
      <c r="G42" s="6" t="s">
        <v>19</v>
      </c>
      <c r="H42" s="8" t="s">
        <v>17</v>
      </c>
    </row>
    <row r="43" spans="1:14">
      <c r="B43" s="6" t="s">
        <v>1</v>
      </c>
      <c r="C43" s="2">
        <v>0.61099999999999999</v>
      </c>
      <c r="D43" s="2">
        <v>0.61099999999999999</v>
      </c>
      <c r="E43" s="2">
        <v>0.61099999999999999</v>
      </c>
      <c r="F43" s="2">
        <v>0.55300000000000005</v>
      </c>
      <c r="G43" s="2">
        <v>0.57999999999999996</v>
      </c>
      <c r="H43" s="7">
        <f>(F43-E43)/E43</f>
        <v>-9.4926350245499086E-2</v>
      </c>
      <c r="I43" s="1"/>
    </row>
    <row r="44" spans="1:14">
      <c r="B44" s="6" t="s">
        <v>0</v>
      </c>
      <c r="C44" s="2">
        <v>0.20699999999999999</v>
      </c>
      <c r="D44" s="2">
        <v>0.20699999999999999</v>
      </c>
      <c r="E44" s="2">
        <v>0.20699999999999999</v>
      </c>
      <c r="F44" s="2">
        <v>0.22700000000000001</v>
      </c>
      <c r="G44" s="2">
        <v>0.28000000000000003</v>
      </c>
      <c r="H44" s="7">
        <f>(F44-E44)/E44</f>
        <v>9.6618357487922801E-2</v>
      </c>
      <c r="I44" s="1"/>
    </row>
    <row r="45" spans="1:14">
      <c r="B45" s="6" t="s">
        <v>2</v>
      </c>
      <c r="C45" s="2">
        <v>0.13600000000000001</v>
      </c>
      <c r="D45" s="2">
        <v>0.13600000000000001</v>
      </c>
      <c r="E45" s="2">
        <v>0.13600000000000001</v>
      </c>
      <c r="F45" s="2">
        <v>0.219</v>
      </c>
      <c r="G45" s="2">
        <v>0.14000000000000001</v>
      </c>
      <c r="H45" s="7">
        <f>(F45-E45)/E45</f>
        <v>0.61029411764705876</v>
      </c>
      <c r="I45" s="7">
        <f>SUM(G43:G45)</f>
        <v>1</v>
      </c>
    </row>
    <row r="46" spans="1:14">
      <c r="B46" s="6" t="s">
        <v>15</v>
      </c>
      <c r="C46" s="2">
        <v>4.5999999999999999E-2</v>
      </c>
      <c r="D46" s="2">
        <v>4.5999999999999999E-2</v>
      </c>
      <c r="E46" s="2">
        <v>4.0000000000000001E-3</v>
      </c>
      <c r="F46" s="7">
        <v>5.9999999999999995E-4</v>
      </c>
      <c r="G46" s="7"/>
      <c r="H46" s="7">
        <f>(F46-E46)/E46</f>
        <v>-0.85000000000000009</v>
      </c>
      <c r="I46" s="1"/>
    </row>
    <row r="47" spans="1:14">
      <c r="D47" s="1"/>
      <c r="E47" s="2">
        <f>SUM(E43:E46)</f>
        <v>0.95799999999999996</v>
      </c>
      <c r="F47" s="1">
        <f>SUM(F43:F46)</f>
        <v>0.99960000000000004</v>
      </c>
      <c r="G47" s="1">
        <f>SUM(G43:G46)</f>
        <v>1</v>
      </c>
    </row>
    <row r="48" spans="1:14">
      <c r="B48" s="6" t="s">
        <v>36</v>
      </c>
      <c r="E48" s="15">
        <f>1-F49</f>
        <v>4.2000000000000037E-2</v>
      </c>
    </row>
    <row r="49" spans="2:6">
      <c r="B49" s="6" t="s">
        <v>37</v>
      </c>
      <c r="E49" s="7">
        <f>SUM(E47:E48)</f>
        <v>1</v>
      </c>
      <c r="F49" s="14">
        <v>0.95799999999999996</v>
      </c>
    </row>
    <row r="50" spans="2:6">
      <c r="B50" s="11"/>
      <c r="C50" s="12"/>
      <c r="D50" s="12"/>
    </row>
    <row r="54" spans="2:6">
      <c r="B54" t="s">
        <v>24</v>
      </c>
    </row>
    <row r="55" spans="2:6">
      <c r="B55" t="s">
        <v>25</v>
      </c>
      <c r="C55" t="s">
        <v>26</v>
      </c>
    </row>
    <row r="56" spans="2:6">
      <c r="B56" t="s">
        <v>27</v>
      </c>
      <c r="C56" s="1">
        <v>0.68817357207444951</v>
      </c>
    </row>
    <row r="57" spans="2:6">
      <c r="B57" t="s">
        <v>28</v>
      </c>
      <c r="C57" s="1">
        <v>0.14815915971977342</v>
      </c>
    </row>
    <row r="58" spans="2:6">
      <c r="B58" t="s">
        <v>29</v>
      </c>
      <c r="C58" s="1">
        <v>3.033255202391406E-2</v>
      </c>
    </row>
    <row r="59" spans="2:6">
      <c r="B59" t="s">
        <v>30</v>
      </c>
      <c r="C59" s="1">
        <v>0.13333471618186302</v>
      </c>
    </row>
    <row r="60" spans="2:6">
      <c r="B60" t="s">
        <v>31</v>
      </c>
      <c r="C60" s="21">
        <v>100</v>
      </c>
    </row>
    <row r="61" spans="2:6">
      <c r="B61" t="s">
        <v>43</v>
      </c>
    </row>
  </sheetData>
  <mergeCells count="10">
    <mergeCell ref="B7:D7"/>
    <mergeCell ref="B8:E8"/>
    <mergeCell ref="B9:E9"/>
    <mergeCell ref="B11:F11"/>
    <mergeCell ref="B16:D16"/>
    <mergeCell ref="B18:E18"/>
    <mergeCell ref="B17:E17"/>
    <mergeCell ref="K39:M39"/>
    <mergeCell ref="K40:N40"/>
    <mergeCell ref="K41:N41"/>
  </mergeCells>
  <phoneticPr fontId="0" type="noConversion"/>
  <hyperlinks>
    <hyperlink ref="A31" r:id="rId1" display="http://www.cnt.org.br/arquivos/downloads/becnt_2007_01.pdf"/>
    <hyperlink ref="A35" r:id="rId2" display="http://www.cnt.org.br/arquivos/downloads/becnt_2006_12.pdf"/>
    <hyperlink ref="A38" r:id="rId3" display="http://www.cnt.org.br/arquivos/downloads/becnt_2005_12.pdf"/>
  </hyperlinks>
  <pageMargins left="0.75" right="0.75" top="1" bottom="1" header="0.49212598499999999" footer="0.49212598499999999"/>
  <pageSetup orientation="portrait" r:id="rId4"/>
  <headerFooter alignWithMargins="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1 Chart</vt:lpstr>
      <vt:lpstr>Figure 1 Data</vt:lpstr>
    </vt:vector>
  </TitlesOfParts>
  <Company>SOHO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Inside</dc:creator>
  <cp:lastModifiedBy>Government User</cp:lastModifiedBy>
  <cp:lastPrinted>2008-06-24T13:58:07Z</cp:lastPrinted>
  <dcterms:created xsi:type="dcterms:W3CDTF">2005-06-14T12:59:05Z</dcterms:created>
  <dcterms:modified xsi:type="dcterms:W3CDTF">2009-08-11T16:20:08Z</dcterms:modified>
</cp:coreProperties>
</file>